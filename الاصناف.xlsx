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bbous Al Basta\OneDrive\Imports\dabbous.basta@gmail.com - Google Drive\ITEM_PRICES\"/>
    </mc:Choice>
  </mc:AlternateContent>
  <xr:revisionPtr revIDLastSave="297" documentId="13_ncr:1_{40B28AEA-4E20-4509-A25B-39E3A20B6D33}" xr6:coauthVersionLast="47" xr6:coauthVersionMax="47" xr10:uidLastSave="{DCB7AFA5-9AC4-4A96-9B9A-79CFF4CDE165}"/>
  <bookViews>
    <workbookView xWindow="-108" yWindow="-108" windowWidth="23256" windowHeight="12456" xr2:uid="{00000000-000D-0000-FFFF-FFFF00000000}"/>
  </bookViews>
  <sheets>
    <sheet name="الاصناف" sheetId="1" r:id="rId1"/>
    <sheet name="النتائج" sheetId="4" r:id="rId2"/>
    <sheet name="المسعّر" sheetId="5" r:id="rId3"/>
  </sheets>
  <definedNames>
    <definedName name="_xlnm._FilterDatabase" localSheetId="0" hidden="1">الاصناف!$A$1:$AT$3595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5" l="1" a="1"/>
  <c r="A2" i="5"/>
  <c r="A7" i="4" a="1"/>
  <c r="B17" i="4" s="1"/>
  <c r="C500" i="4" l="1"/>
  <c r="B500" i="4"/>
  <c r="C499" i="4"/>
  <c r="B499" i="4"/>
  <c r="C498" i="4"/>
  <c r="B498" i="4"/>
  <c r="C497" i="4"/>
  <c r="B497" i="4"/>
  <c r="C496" i="4"/>
  <c r="B496" i="4"/>
  <c r="C495" i="4"/>
  <c r="B495" i="4"/>
  <c r="C494" i="4"/>
  <c r="B494" i="4"/>
  <c r="C493" i="4"/>
  <c r="B493" i="4"/>
  <c r="C492" i="4"/>
  <c r="B492" i="4"/>
  <c r="C491" i="4"/>
  <c r="B491" i="4"/>
  <c r="C490" i="4"/>
  <c r="B490" i="4"/>
  <c r="C489" i="4"/>
  <c r="B489" i="4"/>
  <c r="C488" i="4"/>
  <c r="B488" i="4"/>
  <c r="C487" i="4"/>
  <c r="B487" i="4"/>
  <c r="C486" i="4"/>
  <c r="B486" i="4"/>
  <c r="C485" i="4"/>
  <c r="B485" i="4"/>
  <c r="C484" i="4"/>
  <c r="B484" i="4"/>
  <c r="C483" i="4"/>
  <c r="B483" i="4"/>
  <c r="C482" i="4"/>
  <c r="B482" i="4"/>
  <c r="C481" i="4"/>
  <c r="B481" i="4"/>
  <c r="C480" i="4"/>
  <c r="B480" i="4"/>
  <c r="C479" i="4"/>
  <c r="B479" i="4"/>
  <c r="C478" i="4"/>
  <c r="B478" i="4"/>
  <c r="C477" i="4"/>
  <c r="B477" i="4"/>
  <c r="C476" i="4"/>
  <c r="B476" i="4"/>
  <c r="C475" i="4"/>
  <c r="B475" i="4"/>
  <c r="C474" i="4"/>
  <c r="B474" i="4"/>
  <c r="C473" i="4"/>
  <c r="B473" i="4"/>
  <c r="C472" i="4"/>
  <c r="B472" i="4"/>
  <c r="C471" i="4"/>
  <c r="B471" i="4"/>
  <c r="C470" i="4"/>
  <c r="B470" i="4"/>
  <c r="C469" i="4"/>
  <c r="B469" i="4"/>
  <c r="C468" i="4"/>
  <c r="B468" i="4"/>
  <c r="C467" i="4"/>
  <c r="B467" i="4"/>
  <c r="C466" i="4"/>
  <c r="B466" i="4"/>
  <c r="C465" i="4"/>
  <c r="B465" i="4"/>
  <c r="C464" i="4"/>
  <c r="B464" i="4"/>
  <c r="C463" i="4"/>
  <c r="B463" i="4"/>
  <c r="C462" i="4"/>
  <c r="B462" i="4"/>
  <c r="C461" i="4"/>
  <c r="B461" i="4"/>
  <c r="C460" i="4"/>
  <c r="B460" i="4"/>
  <c r="C459" i="4"/>
  <c r="B459" i="4"/>
  <c r="C458" i="4"/>
  <c r="B458" i="4"/>
  <c r="C457" i="4"/>
  <c r="B457" i="4"/>
  <c r="C456" i="4"/>
  <c r="B456" i="4"/>
  <c r="C455" i="4"/>
  <c r="B455" i="4"/>
  <c r="C454" i="4"/>
  <c r="B454" i="4"/>
  <c r="C453" i="4"/>
  <c r="B453" i="4"/>
  <c r="C452" i="4"/>
  <c r="B452" i="4"/>
  <c r="C451" i="4"/>
  <c r="B451" i="4"/>
  <c r="C450" i="4"/>
  <c r="B450" i="4"/>
  <c r="C449" i="4"/>
  <c r="B449" i="4"/>
  <c r="C448" i="4"/>
  <c r="B448" i="4"/>
  <c r="C447" i="4"/>
  <c r="B447" i="4"/>
  <c r="C446" i="4"/>
  <c r="B446" i="4"/>
  <c r="C445" i="4"/>
  <c r="B445" i="4"/>
  <c r="C444" i="4"/>
  <c r="B444" i="4"/>
  <c r="C443" i="4"/>
  <c r="B443" i="4"/>
  <c r="C442" i="4"/>
  <c r="B442" i="4"/>
  <c r="C441" i="4"/>
  <c r="B441" i="4"/>
  <c r="C440" i="4"/>
  <c r="B440" i="4"/>
  <c r="C439" i="4"/>
  <c r="B439" i="4"/>
  <c r="C438" i="4"/>
  <c r="B438" i="4"/>
  <c r="C437" i="4"/>
  <c r="B437" i="4"/>
  <c r="C436" i="4"/>
  <c r="B436" i="4"/>
  <c r="C435" i="4"/>
  <c r="B435" i="4"/>
  <c r="C434" i="4"/>
  <c r="B434" i="4"/>
  <c r="C433" i="4"/>
  <c r="B433" i="4"/>
  <c r="C432" i="4"/>
  <c r="B432" i="4"/>
  <c r="C431" i="4"/>
  <c r="B431" i="4"/>
  <c r="C430" i="4"/>
  <c r="B430" i="4"/>
  <c r="C429" i="4"/>
  <c r="B429" i="4"/>
  <c r="C428" i="4"/>
  <c r="B428" i="4"/>
  <c r="C427" i="4"/>
  <c r="B427" i="4"/>
  <c r="C426" i="4"/>
  <c r="B426" i="4"/>
  <c r="C425" i="4"/>
  <c r="B425" i="4"/>
  <c r="C424" i="4"/>
  <c r="B424" i="4"/>
  <c r="C423" i="4"/>
  <c r="B423" i="4"/>
  <c r="C422" i="4"/>
  <c r="B422" i="4"/>
  <c r="C421" i="4"/>
  <c r="B421" i="4"/>
  <c r="C420" i="4"/>
  <c r="B420" i="4"/>
  <c r="C419" i="4"/>
  <c r="B419" i="4"/>
  <c r="C418" i="4"/>
  <c r="B418" i="4"/>
  <c r="C417" i="4"/>
  <c r="B417" i="4"/>
  <c r="C416" i="4"/>
  <c r="B416" i="4"/>
  <c r="C415" i="4"/>
  <c r="B415" i="4"/>
  <c r="C414" i="4"/>
  <c r="B414" i="4"/>
  <c r="C413" i="4"/>
  <c r="B413" i="4"/>
  <c r="C412" i="4"/>
  <c r="B412" i="4"/>
  <c r="C411" i="4"/>
  <c r="B411" i="4"/>
  <c r="C410" i="4"/>
  <c r="B410" i="4"/>
  <c r="C409" i="4"/>
  <c r="B409" i="4"/>
  <c r="C408" i="4"/>
  <c r="B408" i="4"/>
  <c r="C407" i="4"/>
  <c r="B407" i="4"/>
  <c r="C406" i="4"/>
  <c r="B406" i="4"/>
  <c r="C405" i="4"/>
  <c r="B405" i="4"/>
  <c r="C404" i="4"/>
  <c r="B404" i="4"/>
  <c r="C403" i="4"/>
  <c r="B403" i="4"/>
  <c r="C402" i="4"/>
  <c r="B402" i="4"/>
  <c r="C401" i="4"/>
  <c r="B401" i="4"/>
  <c r="C400" i="4"/>
  <c r="B400" i="4"/>
  <c r="C399" i="4"/>
  <c r="B399" i="4"/>
  <c r="C398" i="4"/>
  <c r="B398" i="4"/>
  <c r="C397" i="4"/>
  <c r="B397" i="4"/>
  <c r="C396" i="4"/>
  <c r="B396" i="4"/>
  <c r="C395" i="4"/>
  <c r="B395" i="4"/>
  <c r="C394" i="4"/>
  <c r="B394" i="4"/>
  <c r="C393" i="4"/>
  <c r="B393" i="4"/>
  <c r="C392" i="4"/>
  <c r="B392" i="4"/>
  <c r="C391" i="4"/>
  <c r="B391" i="4"/>
  <c r="C390" i="4"/>
  <c r="B390" i="4"/>
  <c r="C389" i="4"/>
  <c r="B389" i="4"/>
  <c r="C388" i="4"/>
  <c r="B388" i="4"/>
  <c r="C387" i="4"/>
  <c r="B387" i="4"/>
  <c r="C386" i="4"/>
  <c r="B386" i="4"/>
  <c r="C385" i="4"/>
  <c r="B385" i="4"/>
  <c r="C384" i="4"/>
  <c r="B384" i="4"/>
  <c r="C383" i="4"/>
  <c r="B383" i="4"/>
  <c r="C382" i="4"/>
  <c r="B382" i="4"/>
  <c r="C381" i="4"/>
  <c r="B381" i="4"/>
  <c r="C380" i="4"/>
  <c r="B380" i="4"/>
  <c r="C379" i="4"/>
  <c r="B379" i="4"/>
  <c r="C378" i="4"/>
  <c r="B378" i="4"/>
  <c r="C377" i="4"/>
  <c r="B377" i="4"/>
  <c r="C376" i="4"/>
  <c r="B376" i="4"/>
  <c r="C375" i="4"/>
  <c r="B375" i="4"/>
  <c r="C374" i="4"/>
  <c r="B374" i="4"/>
  <c r="C373" i="4"/>
  <c r="B373" i="4"/>
  <c r="C372" i="4"/>
  <c r="B372" i="4"/>
  <c r="C371" i="4"/>
  <c r="B371" i="4"/>
  <c r="C370" i="4"/>
  <c r="B370" i="4"/>
  <c r="C369" i="4"/>
  <c r="B369" i="4"/>
  <c r="C368" i="4"/>
  <c r="B368" i="4"/>
  <c r="C367" i="4"/>
  <c r="B367" i="4"/>
  <c r="C366" i="4"/>
  <c r="B366" i="4"/>
  <c r="C365" i="4"/>
  <c r="B365" i="4"/>
  <c r="C364" i="4"/>
  <c r="B364" i="4"/>
  <c r="C363" i="4"/>
  <c r="B363" i="4"/>
  <c r="C362" i="4"/>
  <c r="B362" i="4"/>
  <c r="C361" i="4"/>
  <c r="B361" i="4"/>
  <c r="C360" i="4"/>
  <c r="B360" i="4"/>
  <c r="C359" i="4"/>
  <c r="B359" i="4"/>
  <c r="C358" i="4"/>
  <c r="B358" i="4"/>
  <c r="C357" i="4"/>
  <c r="B357" i="4"/>
  <c r="C356" i="4"/>
  <c r="B356" i="4"/>
  <c r="C355" i="4"/>
  <c r="B355" i="4"/>
  <c r="C354" i="4"/>
  <c r="B354" i="4"/>
  <c r="C353" i="4"/>
  <c r="B353" i="4"/>
  <c r="C352" i="4"/>
  <c r="B352" i="4"/>
  <c r="C351" i="4"/>
  <c r="B351" i="4"/>
  <c r="C350" i="4"/>
  <c r="B350" i="4"/>
  <c r="C349" i="4"/>
  <c r="B349" i="4"/>
  <c r="C348" i="4"/>
  <c r="B348" i="4"/>
  <c r="C347" i="4"/>
  <c r="B347" i="4"/>
  <c r="C346" i="4"/>
  <c r="B346" i="4"/>
  <c r="C345" i="4"/>
  <c r="B345" i="4"/>
  <c r="C344" i="4"/>
  <c r="B344" i="4"/>
  <c r="C343" i="4"/>
  <c r="B343" i="4"/>
  <c r="C342" i="4"/>
  <c r="B342" i="4"/>
  <c r="C341" i="4"/>
  <c r="B341" i="4"/>
  <c r="C340" i="4"/>
  <c r="B340" i="4"/>
  <c r="C339" i="4"/>
  <c r="B339" i="4"/>
  <c r="C338" i="4"/>
  <c r="B338" i="4"/>
  <c r="C337" i="4"/>
  <c r="B337" i="4"/>
  <c r="C336" i="4"/>
  <c r="B336" i="4"/>
  <c r="C335" i="4"/>
  <c r="B335" i="4"/>
  <c r="C26" i="4"/>
  <c r="B86" i="4"/>
  <c r="B68" i="4"/>
  <c r="C68" i="4"/>
  <c r="C84" i="4"/>
  <c r="C61" i="4"/>
  <c r="C98" i="4"/>
  <c r="B78" i="4"/>
  <c r="C94" i="4"/>
  <c r="B74" i="4"/>
  <c r="C65" i="4"/>
  <c r="B88" i="4"/>
  <c r="C88" i="4"/>
  <c r="B52" i="4"/>
  <c r="B82" i="4"/>
  <c r="C78" i="4"/>
  <c r="B58" i="4"/>
  <c r="C74" i="4"/>
  <c r="B54" i="4"/>
  <c r="B69" i="4"/>
  <c r="B83" i="4"/>
  <c r="C83" i="4"/>
  <c r="B96" i="4"/>
  <c r="B53" i="4"/>
  <c r="C86" i="4"/>
  <c r="B91" i="4"/>
  <c r="B84" i="4"/>
  <c r="C76" i="4"/>
  <c r="C79" i="4"/>
  <c r="C75" i="4"/>
  <c r="B94" i="4"/>
  <c r="C85" i="4"/>
  <c r="C47" i="4"/>
  <c r="B71" i="4"/>
  <c r="B72" i="4"/>
  <c r="B62" i="4"/>
  <c r="C58" i="4"/>
  <c r="C82" i="4"/>
  <c r="C54" i="4"/>
  <c r="C95" i="4"/>
  <c r="C49" i="4"/>
  <c r="B56" i="4"/>
  <c r="B80" i="4"/>
  <c r="C66" i="4"/>
  <c r="C89" i="4"/>
  <c r="C77" i="4"/>
  <c r="C73" i="4"/>
  <c r="B46" i="4"/>
  <c r="B89" i="4"/>
  <c r="B63" i="4"/>
  <c r="C57" i="4"/>
  <c r="C53" i="4"/>
  <c r="B66" i="4"/>
  <c r="B48" i="4"/>
  <c r="C48" i="4"/>
  <c r="B65" i="4"/>
  <c r="C81" i="4"/>
  <c r="B98" i="4"/>
  <c r="C90" i="4"/>
  <c r="C67" i="4"/>
  <c r="C70" i="4"/>
  <c r="B92" i="4"/>
  <c r="C80" i="4"/>
  <c r="B99" i="4"/>
  <c r="C96" i="4"/>
  <c r="B95" i="4"/>
  <c r="B76" i="4"/>
  <c r="B85" i="4"/>
  <c r="C87" i="4"/>
  <c r="B50" i="4"/>
  <c r="C51" i="4"/>
  <c r="C60" i="4"/>
  <c r="B79" i="4"/>
  <c r="C56" i="4"/>
  <c r="B75" i="4"/>
  <c r="C92" i="4"/>
  <c r="B47" i="4"/>
  <c r="B51" i="4"/>
  <c r="B70" i="4"/>
  <c r="C71" i="4"/>
  <c r="B81" i="4"/>
  <c r="B59" i="4"/>
  <c r="B97" i="4"/>
  <c r="B55" i="4"/>
  <c r="C72" i="4"/>
  <c r="B67" i="4"/>
  <c r="C50" i="4"/>
  <c r="B90" i="4"/>
  <c r="C91" i="4"/>
  <c r="B61" i="4"/>
  <c r="C99" i="4"/>
  <c r="B77" i="4"/>
  <c r="B64" i="4"/>
  <c r="C52" i="4"/>
  <c r="B87" i="4"/>
  <c r="C64" i="4"/>
  <c r="C63" i="4"/>
  <c r="C59" i="4"/>
  <c r="B60" i="4"/>
  <c r="B57" i="4"/>
  <c r="B93" i="4"/>
  <c r="C46" i="4"/>
  <c r="B49" i="4"/>
  <c r="C69" i="4"/>
  <c r="C62" i="4"/>
  <c r="C97" i="4"/>
  <c r="C55" i="4"/>
  <c r="C93" i="4"/>
  <c r="B73" i="4"/>
  <c r="C40" i="4"/>
  <c r="B42" i="4"/>
  <c r="B36" i="4"/>
  <c r="C42" i="4"/>
  <c r="C43" i="4"/>
  <c r="B38" i="4"/>
  <c r="C41" i="4"/>
  <c r="B44" i="4"/>
  <c r="B35" i="4"/>
  <c r="C35" i="4"/>
  <c r="B41" i="4"/>
  <c r="B43" i="4"/>
  <c r="B37" i="4"/>
  <c r="C37" i="4"/>
  <c r="C38" i="4"/>
  <c r="C44" i="4"/>
  <c r="C45" i="4"/>
  <c r="C34" i="4"/>
  <c r="C36" i="4"/>
  <c r="B40" i="4"/>
  <c r="B34" i="4"/>
  <c r="B45" i="4"/>
  <c r="B28" i="4"/>
  <c r="B30" i="4"/>
  <c r="C23" i="4"/>
  <c r="B32" i="4"/>
  <c r="C30" i="4"/>
  <c r="B26" i="4"/>
  <c r="C24" i="4"/>
  <c r="B33" i="4"/>
  <c r="B24" i="4"/>
  <c r="C25" i="4"/>
  <c r="C29" i="4"/>
  <c r="C31" i="4"/>
  <c r="B29" i="4"/>
  <c r="B27" i="4"/>
  <c r="B23" i="4"/>
  <c r="B25" i="4"/>
  <c r="B31" i="4"/>
  <c r="C33" i="4"/>
  <c r="C32" i="4"/>
  <c r="C28" i="4"/>
  <c r="C27" i="4"/>
  <c r="C11" i="4"/>
  <c r="C334" i="4"/>
  <c r="B334" i="4"/>
  <c r="C333" i="4"/>
  <c r="B333" i="4"/>
  <c r="C332" i="4"/>
  <c r="B332" i="4"/>
  <c r="C331" i="4"/>
  <c r="B331" i="4"/>
  <c r="C330" i="4"/>
  <c r="B330" i="4"/>
  <c r="C329" i="4"/>
  <c r="B329" i="4"/>
  <c r="C328" i="4"/>
  <c r="B328" i="4"/>
  <c r="C327" i="4"/>
  <c r="B327" i="4"/>
  <c r="C326" i="4"/>
  <c r="B326" i="4"/>
  <c r="C325" i="4"/>
  <c r="B325" i="4"/>
  <c r="C324" i="4"/>
  <c r="B324" i="4"/>
  <c r="C323" i="4"/>
  <c r="B323" i="4"/>
  <c r="C322" i="4"/>
  <c r="B322" i="4"/>
  <c r="C321" i="4"/>
  <c r="B321" i="4"/>
  <c r="C320" i="4"/>
  <c r="B320" i="4"/>
  <c r="C319" i="4"/>
  <c r="B319" i="4"/>
  <c r="C318" i="4"/>
  <c r="B318" i="4"/>
  <c r="C317" i="4"/>
  <c r="B317" i="4"/>
  <c r="C316" i="4"/>
  <c r="B316" i="4"/>
  <c r="C315" i="4"/>
  <c r="B315" i="4"/>
  <c r="C314" i="4"/>
  <c r="B314" i="4"/>
  <c r="C313" i="4"/>
  <c r="B313" i="4"/>
  <c r="C312" i="4"/>
  <c r="B312" i="4"/>
  <c r="C311" i="4"/>
  <c r="B311" i="4"/>
  <c r="C310" i="4"/>
  <c r="B310" i="4"/>
  <c r="C309" i="4"/>
  <c r="B309" i="4"/>
  <c r="C308" i="4"/>
  <c r="B308" i="4"/>
  <c r="C307" i="4"/>
  <c r="B307" i="4"/>
  <c r="C306" i="4"/>
  <c r="B306" i="4"/>
  <c r="C305" i="4"/>
  <c r="B305" i="4"/>
  <c r="C304" i="4"/>
  <c r="B304" i="4"/>
  <c r="C303" i="4"/>
  <c r="B303" i="4"/>
  <c r="C302" i="4"/>
  <c r="B302" i="4"/>
  <c r="C301" i="4"/>
  <c r="B301" i="4"/>
  <c r="C300" i="4"/>
  <c r="B300" i="4"/>
  <c r="C299" i="4"/>
  <c r="B299" i="4"/>
  <c r="C298" i="4"/>
  <c r="B298" i="4"/>
  <c r="C297" i="4"/>
  <c r="B297" i="4"/>
  <c r="C296" i="4"/>
  <c r="B296" i="4"/>
  <c r="C295" i="4"/>
  <c r="B295" i="4"/>
  <c r="C294" i="4"/>
  <c r="B294" i="4"/>
  <c r="C293" i="4"/>
  <c r="B293" i="4"/>
  <c r="C292" i="4"/>
  <c r="B292" i="4"/>
  <c r="C291" i="4"/>
  <c r="B291" i="4"/>
  <c r="C290" i="4"/>
  <c r="B290" i="4"/>
  <c r="C289" i="4"/>
  <c r="B289" i="4"/>
  <c r="C288" i="4"/>
  <c r="B288" i="4"/>
  <c r="C287" i="4"/>
  <c r="B287" i="4"/>
  <c r="C286" i="4"/>
  <c r="B286" i="4"/>
  <c r="C285" i="4"/>
  <c r="B285" i="4"/>
  <c r="C284" i="4"/>
  <c r="B284" i="4"/>
  <c r="C283" i="4"/>
  <c r="B283" i="4"/>
  <c r="C282" i="4"/>
  <c r="B282" i="4"/>
  <c r="C281" i="4"/>
  <c r="B281" i="4"/>
  <c r="C280" i="4"/>
  <c r="B280" i="4"/>
  <c r="C279" i="4"/>
  <c r="B279" i="4"/>
  <c r="C278" i="4"/>
  <c r="B278" i="4"/>
  <c r="C277" i="4"/>
  <c r="B277" i="4"/>
  <c r="C276" i="4"/>
  <c r="B276" i="4"/>
  <c r="C275" i="4"/>
  <c r="B275" i="4"/>
  <c r="C274" i="4"/>
  <c r="B274" i="4"/>
  <c r="C273" i="4"/>
  <c r="B273" i="4"/>
  <c r="C272" i="4"/>
  <c r="B272" i="4"/>
  <c r="C271" i="4"/>
  <c r="B271" i="4"/>
  <c r="C270" i="4"/>
  <c r="B270" i="4"/>
  <c r="C269" i="4"/>
  <c r="B269" i="4"/>
  <c r="C268" i="4"/>
  <c r="B268" i="4"/>
  <c r="C267" i="4"/>
  <c r="B267" i="4"/>
  <c r="C266" i="4"/>
  <c r="B266" i="4"/>
  <c r="C265" i="4"/>
  <c r="B265" i="4"/>
  <c r="C264" i="4"/>
  <c r="B264" i="4"/>
  <c r="C263" i="4"/>
  <c r="B263" i="4"/>
  <c r="C262" i="4"/>
  <c r="B262" i="4"/>
  <c r="C261" i="4"/>
  <c r="B261" i="4"/>
  <c r="C260" i="4"/>
  <c r="B260" i="4"/>
  <c r="C259" i="4"/>
  <c r="B259" i="4"/>
  <c r="C258" i="4"/>
  <c r="B258" i="4"/>
  <c r="C257" i="4"/>
  <c r="B257" i="4"/>
  <c r="C256" i="4"/>
  <c r="B256" i="4"/>
  <c r="C255" i="4"/>
  <c r="B255" i="4"/>
  <c r="C254" i="4"/>
  <c r="B254" i="4"/>
  <c r="C253" i="4"/>
  <c r="B253" i="4"/>
  <c r="C252" i="4"/>
  <c r="B252" i="4"/>
  <c r="C251" i="4"/>
  <c r="B251" i="4"/>
  <c r="C250" i="4"/>
  <c r="B250" i="4"/>
  <c r="C249" i="4"/>
  <c r="B249" i="4"/>
  <c r="C248" i="4"/>
  <c r="B248" i="4"/>
  <c r="C247" i="4"/>
  <c r="B247" i="4"/>
  <c r="C246" i="4"/>
  <c r="B246" i="4"/>
  <c r="C245" i="4"/>
  <c r="B245" i="4"/>
  <c r="C244" i="4"/>
  <c r="B244" i="4"/>
  <c r="C243" i="4"/>
  <c r="B243" i="4"/>
  <c r="C242" i="4"/>
  <c r="B242" i="4"/>
  <c r="C241" i="4"/>
  <c r="B241" i="4"/>
  <c r="C240" i="4"/>
  <c r="B240" i="4"/>
  <c r="C239" i="4"/>
  <c r="B239" i="4"/>
  <c r="C238" i="4"/>
  <c r="B238" i="4"/>
  <c r="C237" i="4"/>
  <c r="B237" i="4"/>
  <c r="C236" i="4"/>
  <c r="B236" i="4"/>
  <c r="C235" i="4"/>
  <c r="B235" i="4"/>
  <c r="C234" i="4"/>
  <c r="B234" i="4"/>
  <c r="C233" i="4"/>
  <c r="B233" i="4"/>
  <c r="C232" i="4"/>
  <c r="B232" i="4"/>
  <c r="C231" i="4"/>
  <c r="B231" i="4"/>
  <c r="C230" i="4"/>
  <c r="B230" i="4"/>
  <c r="C229" i="4"/>
  <c r="B229" i="4"/>
  <c r="C228" i="4"/>
  <c r="B228" i="4"/>
  <c r="C227" i="4"/>
  <c r="B227" i="4"/>
  <c r="C226" i="4"/>
  <c r="B226" i="4"/>
  <c r="C225" i="4"/>
  <c r="B225" i="4"/>
  <c r="C224" i="4"/>
  <c r="B224" i="4"/>
  <c r="C223" i="4"/>
  <c r="B223" i="4"/>
  <c r="C222" i="4"/>
  <c r="B222" i="4"/>
  <c r="C221" i="4"/>
  <c r="B221" i="4"/>
  <c r="C220" i="4"/>
  <c r="B220" i="4"/>
  <c r="C219" i="4"/>
  <c r="B219" i="4"/>
  <c r="C218" i="4"/>
  <c r="B218" i="4"/>
  <c r="C217" i="4"/>
  <c r="B217" i="4"/>
  <c r="C216" i="4"/>
  <c r="B216" i="4"/>
  <c r="C215" i="4"/>
  <c r="B215" i="4"/>
  <c r="C214" i="4"/>
  <c r="B214" i="4"/>
  <c r="C213" i="4"/>
  <c r="B213" i="4"/>
  <c r="C212" i="4"/>
  <c r="B212" i="4"/>
  <c r="C211" i="4"/>
  <c r="B211" i="4"/>
  <c r="C210" i="4"/>
  <c r="B210" i="4"/>
  <c r="C209" i="4"/>
  <c r="B209" i="4"/>
  <c r="C208" i="4"/>
  <c r="B208" i="4"/>
  <c r="C207" i="4"/>
  <c r="B207" i="4"/>
  <c r="C206" i="4"/>
  <c r="B206" i="4"/>
  <c r="C205" i="4"/>
  <c r="B205" i="4"/>
  <c r="C204" i="4"/>
  <c r="B204" i="4"/>
  <c r="C203" i="4"/>
  <c r="B203" i="4"/>
  <c r="C202" i="4"/>
  <c r="B202" i="4"/>
  <c r="C201" i="4"/>
  <c r="B201" i="4"/>
  <c r="C200" i="4"/>
  <c r="B200" i="4"/>
  <c r="C199" i="4"/>
  <c r="B199" i="4"/>
  <c r="C198" i="4"/>
  <c r="B198" i="4"/>
  <c r="C197" i="4"/>
  <c r="B197" i="4"/>
  <c r="C196" i="4"/>
  <c r="B196" i="4"/>
  <c r="C195" i="4"/>
  <c r="B195" i="4"/>
  <c r="C194" i="4"/>
  <c r="B194" i="4"/>
  <c r="C193" i="4"/>
  <c r="B193" i="4"/>
  <c r="C192" i="4"/>
  <c r="B192" i="4"/>
  <c r="C191" i="4"/>
  <c r="B191" i="4"/>
  <c r="C190" i="4"/>
  <c r="B190" i="4"/>
  <c r="C189" i="4"/>
  <c r="B189" i="4"/>
  <c r="C188" i="4"/>
  <c r="B188" i="4"/>
  <c r="C187" i="4"/>
  <c r="B187" i="4"/>
  <c r="C186" i="4"/>
  <c r="B186" i="4"/>
  <c r="C185" i="4"/>
  <c r="B185" i="4"/>
  <c r="C184" i="4"/>
  <c r="B184" i="4"/>
  <c r="C183" i="4"/>
  <c r="B183" i="4"/>
  <c r="C182" i="4"/>
  <c r="B182" i="4"/>
  <c r="C181" i="4"/>
  <c r="B181" i="4"/>
  <c r="C180" i="4"/>
  <c r="B180" i="4"/>
  <c r="C179" i="4"/>
  <c r="B179" i="4"/>
  <c r="C178" i="4"/>
  <c r="B178" i="4"/>
  <c r="C177" i="4"/>
  <c r="B177" i="4"/>
  <c r="C176" i="4"/>
  <c r="B176" i="4"/>
  <c r="C175" i="4"/>
  <c r="B175" i="4"/>
  <c r="C174" i="4"/>
  <c r="B174" i="4"/>
  <c r="C173" i="4"/>
  <c r="B173" i="4"/>
  <c r="C172" i="4"/>
  <c r="B172" i="4"/>
  <c r="C171" i="4"/>
  <c r="B171" i="4"/>
  <c r="C170" i="4"/>
  <c r="B170" i="4"/>
  <c r="C169" i="4"/>
  <c r="B169" i="4"/>
  <c r="C168" i="4"/>
  <c r="B168" i="4"/>
  <c r="C167" i="4"/>
  <c r="B167" i="4"/>
  <c r="C166" i="4"/>
  <c r="B166" i="4"/>
  <c r="C165" i="4"/>
  <c r="B165" i="4"/>
  <c r="C164" i="4"/>
  <c r="B164" i="4"/>
  <c r="C163" i="4"/>
  <c r="B163" i="4"/>
  <c r="C162" i="4"/>
  <c r="B162" i="4"/>
  <c r="C161" i="4"/>
  <c r="B161" i="4"/>
  <c r="C160" i="4"/>
  <c r="B160" i="4"/>
  <c r="C159" i="4"/>
  <c r="B159" i="4"/>
  <c r="C158" i="4"/>
  <c r="B158" i="4"/>
  <c r="C157" i="4"/>
  <c r="B157" i="4"/>
  <c r="C156" i="4"/>
  <c r="B156" i="4"/>
  <c r="C155" i="4"/>
  <c r="B155" i="4"/>
  <c r="C154" i="4"/>
  <c r="B154" i="4"/>
  <c r="C153" i="4"/>
  <c r="B153" i="4"/>
  <c r="C152" i="4"/>
  <c r="B152" i="4"/>
  <c r="C151" i="4"/>
  <c r="B151" i="4"/>
  <c r="C150" i="4"/>
  <c r="B150" i="4"/>
  <c r="C149" i="4"/>
  <c r="B149" i="4"/>
  <c r="C148" i="4"/>
  <c r="B148" i="4"/>
  <c r="C147" i="4"/>
  <c r="B147" i="4"/>
  <c r="C146" i="4"/>
  <c r="B146" i="4"/>
  <c r="C145" i="4"/>
  <c r="B145" i="4"/>
  <c r="C144" i="4"/>
  <c r="B144" i="4"/>
  <c r="C143" i="4"/>
  <c r="B143" i="4"/>
  <c r="C142" i="4"/>
  <c r="B142" i="4"/>
  <c r="C141" i="4"/>
  <c r="B141" i="4"/>
  <c r="C140" i="4"/>
  <c r="B140" i="4"/>
  <c r="C139" i="4"/>
  <c r="B139" i="4"/>
  <c r="C138" i="4"/>
  <c r="B138" i="4"/>
  <c r="C137" i="4"/>
  <c r="B137" i="4"/>
  <c r="C136" i="4"/>
  <c r="B136" i="4"/>
  <c r="C135" i="4"/>
  <c r="B135" i="4"/>
  <c r="C134" i="4"/>
  <c r="B134" i="4"/>
  <c r="C133" i="4"/>
  <c r="B133" i="4"/>
  <c r="C132" i="4"/>
  <c r="B132" i="4"/>
  <c r="C131" i="4"/>
  <c r="B131" i="4"/>
  <c r="C130" i="4"/>
  <c r="B130" i="4"/>
  <c r="C129" i="4"/>
  <c r="B129" i="4"/>
  <c r="C128" i="4"/>
  <c r="B128" i="4"/>
  <c r="C127" i="4"/>
  <c r="B127" i="4"/>
  <c r="C126" i="4"/>
  <c r="B126" i="4"/>
  <c r="C125" i="4"/>
  <c r="B125" i="4"/>
  <c r="C124" i="4"/>
  <c r="B124" i="4"/>
  <c r="C123" i="4"/>
  <c r="B123" i="4"/>
  <c r="C122" i="4"/>
  <c r="B122" i="4"/>
  <c r="C121" i="4"/>
  <c r="B121" i="4"/>
  <c r="C120" i="4"/>
  <c r="B120" i="4"/>
  <c r="C119" i="4"/>
  <c r="B119" i="4"/>
  <c r="C118" i="4"/>
  <c r="B118" i="4"/>
  <c r="C117" i="4"/>
  <c r="B117" i="4"/>
  <c r="C116" i="4"/>
  <c r="B116" i="4"/>
  <c r="C115" i="4"/>
  <c r="B115" i="4"/>
  <c r="C114" i="4"/>
  <c r="B114" i="4"/>
  <c r="C113" i="4"/>
  <c r="B113" i="4"/>
  <c r="C112" i="4"/>
  <c r="B112" i="4"/>
  <c r="C111" i="4"/>
  <c r="B111" i="4"/>
  <c r="C110" i="4"/>
  <c r="B110" i="4"/>
  <c r="C109" i="4"/>
  <c r="B109" i="4"/>
  <c r="C108" i="4"/>
  <c r="B108" i="4"/>
  <c r="C107" i="4"/>
  <c r="B107" i="4"/>
  <c r="C106" i="4"/>
  <c r="B106" i="4"/>
  <c r="C105" i="4"/>
  <c r="B105" i="4"/>
  <c r="C104" i="4"/>
  <c r="B104" i="4"/>
  <c r="C103" i="4"/>
  <c r="B103" i="4"/>
  <c r="C102" i="4"/>
  <c r="B102" i="4"/>
  <c r="C101" i="4"/>
  <c r="B101" i="4"/>
  <c r="C100" i="4"/>
  <c r="B100" i="4"/>
  <c r="B13" i="4"/>
  <c r="C16" i="4"/>
  <c r="B15" i="4"/>
  <c r="B14" i="4"/>
  <c r="C17" i="4"/>
  <c r="B16" i="4"/>
  <c r="C10" i="4"/>
  <c r="C19" i="4"/>
  <c r="B9" i="4"/>
  <c r="B21" i="4"/>
  <c r="A7" i="4"/>
  <c r="B11" i="4"/>
  <c r="C22" i="4"/>
  <c r="C8" i="4"/>
  <c r="C20" i="4"/>
  <c r="B8" i="4"/>
  <c r="B10" i="4"/>
  <c r="B20" i="4"/>
  <c r="C13" i="4"/>
  <c r="C9" i="4"/>
  <c r="C18" i="4"/>
  <c r="C14" i="4"/>
  <c r="B22" i="4"/>
  <c r="B19" i="4"/>
  <c r="B12" i="4"/>
  <c r="B18" i="4"/>
  <c r="C21" i="4"/>
  <c r="C12" i="4"/>
  <c r="C15" i="4"/>
  <c r="B7" i="4" l="1"/>
  <c r="C7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 (2)" description="Connection to the 'Table1 (2)' query in the workbook." type="5" refreshedVersion="0" background="1" saveData="1">
    <dbPr connection="Provider=Microsoft.Mashup.OleDb.1;Data Source=$Workbook$;Location=&quot;Table1 (2)&quot;;Extended Properties=&quot;&quot;" command="SELECT * FROM [Table1 (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<sst xmlns="http://schemas.openxmlformats.org/spreadsheetml/2006/main" count="20070" uniqueCount="6054">
  <si>
    <t>COMP</t>
  </si>
  <si>
    <t>GOID</t>
  </si>
  <si>
    <t>BARCODE</t>
  </si>
  <si>
    <t>MAIN GOID</t>
  </si>
  <si>
    <t>Item_name</t>
  </si>
  <si>
    <t>Item_name2</t>
  </si>
  <si>
    <t>Sale1</t>
  </si>
  <si>
    <t>Sale2</t>
  </si>
  <si>
    <t>Sale3</t>
  </si>
  <si>
    <t>Sale4</t>
  </si>
  <si>
    <t>Sale5</t>
  </si>
  <si>
    <t>VAT</t>
  </si>
  <si>
    <t>Branch</t>
  </si>
  <si>
    <t>Qty</t>
  </si>
  <si>
    <t>HQty</t>
  </si>
  <si>
    <t>Cost</t>
  </si>
  <si>
    <t>TotalCost</t>
  </si>
  <si>
    <t>SET</t>
  </si>
  <si>
    <t>Category</t>
  </si>
  <si>
    <t>Unit</t>
  </si>
  <si>
    <t>Brand</t>
  </si>
  <si>
    <t>Origin</t>
  </si>
  <si>
    <t>Supplier</t>
  </si>
  <si>
    <t>Size</t>
  </si>
  <si>
    <t>Color</t>
  </si>
  <si>
    <t>Family</t>
  </si>
  <si>
    <t>Group</t>
  </si>
  <si>
    <t>HIGHT</t>
  </si>
  <si>
    <t>WEIGHT</t>
  </si>
  <si>
    <t>THICKNESS</t>
  </si>
  <si>
    <t>UMLASALEPRICE</t>
  </si>
  <si>
    <t>Sale1TTC</t>
  </si>
  <si>
    <t>Sale2TTC</t>
  </si>
  <si>
    <t>Sale3TTC</t>
  </si>
  <si>
    <t>Sale4TTC</t>
  </si>
  <si>
    <t>Sale5TTC</t>
  </si>
  <si>
    <t>Set_Name</t>
  </si>
  <si>
    <t>Category_Name</t>
  </si>
  <si>
    <t>Unit_Name</t>
  </si>
  <si>
    <t>Brand_Name</t>
  </si>
  <si>
    <t>Origin_Name</t>
  </si>
  <si>
    <t>Supplier_Name</t>
  </si>
  <si>
    <t>DSize_Name</t>
  </si>
  <si>
    <t>Color_Name</t>
  </si>
  <si>
    <t>Family_Name</t>
  </si>
  <si>
    <t>Group_Name</t>
  </si>
  <si>
    <t>NOUR26</t>
  </si>
  <si>
    <t>JNZR-T</t>
  </si>
  <si>
    <t>LEO  3HP 380V 2 TURB</t>
  </si>
  <si>
    <t>غنوم</t>
  </si>
  <si>
    <t>GKK</t>
  </si>
  <si>
    <t>LEO / COMET FLOW SWITCH  FS01</t>
  </si>
  <si>
    <t>PCS</t>
  </si>
  <si>
    <t>الشيخ احمد عز الدين</t>
  </si>
  <si>
    <t>JOINT</t>
  </si>
  <si>
    <t>LEO 15-90A/160 طلمبة اوتوماتيك</t>
  </si>
  <si>
    <t>GALON</t>
  </si>
  <si>
    <t>WHITE</t>
  </si>
  <si>
    <t>SET 1</t>
  </si>
  <si>
    <t>JAWZE</t>
  </si>
  <si>
    <t>LEO 2 HP 220V 2 TURBINE /66MTS</t>
  </si>
  <si>
    <t>علي  بازون</t>
  </si>
  <si>
    <t>JELEH</t>
  </si>
  <si>
    <t>LEO 24 LT  بالون ضغط</t>
  </si>
  <si>
    <t>HT</t>
  </si>
  <si>
    <t>LEO 2AC300H 4HP   2 TURB 380V</t>
  </si>
  <si>
    <t>ميوركس</t>
  </si>
  <si>
    <t>HBL</t>
  </si>
  <si>
    <t>LEO 2ACm150  2HP 220V موتير ليو توربين</t>
  </si>
  <si>
    <t>HBLGHSL</t>
  </si>
  <si>
    <t>LEO 2ACM150 طقم فراشات</t>
  </si>
  <si>
    <t>KILO</t>
  </si>
  <si>
    <t>LEO 3HP 220V 2TURB</t>
  </si>
  <si>
    <t>HAGAR10</t>
  </si>
  <si>
    <t>LEO 3HP 2XCM25/160A 220V 2 TURB</t>
  </si>
  <si>
    <t>حسن الحريري ترابة ورمل لبناني</t>
  </si>
  <si>
    <t>HAGAR12</t>
  </si>
  <si>
    <t>LEO 4 ACM/60 طلمبة ماء صامته</t>
  </si>
  <si>
    <t>HAGAR15</t>
  </si>
  <si>
    <t>LEO 4 ACM/75 طلمبة ماء صامتة</t>
  </si>
  <si>
    <t>HAGAR20</t>
  </si>
  <si>
    <t>LEO 4XCM 120C 1HP موتير ماء صامته ستانلس</t>
  </si>
  <si>
    <t>حسن الحريري - ترابة ورمل $</t>
  </si>
  <si>
    <t>HAGAR6</t>
  </si>
  <si>
    <t>LEO 65WQ25-22-3 4HP موتير فرامة</t>
  </si>
  <si>
    <t>HAGAR8</t>
  </si>
  <si>
    <t>LEO AJM 60H JET 0.75 HP موتير سارق</t>
  </si>
  <si>
    <t>السادة محلات واصف سنو المحترمين</t>
  </si>
  <si>
    <t>HAGAR</t>
  </si>
  <si>
    <t>LEO APM150  2 طلمبة ماء عادي</t>
  </si>
  <si>
    <t>HAG-FOF</t>
  </si>
  <si>
    <t>LEO EASY PTRESS/N</t>
  </si>
  <si>
    <t>علي قبيسي</t>
  </si>
  <si>
    <t>HD</t>
  </si>
  <si>
    <t>LEO EMHM 4-7 1.75HP طلمبة صامته فراش ستانلس</t>
  </si>
  <si>
    <t>LEO EMHM 8-4 3HP طلمبة صامته فراش ستانلس</t>
  </si>
  <si>
    <t>HRQ</t>
  </si>
  <si>
    <t>LEO EMHM4-6 1.5 HP موتير صامت  فراش</t>
  </si>
  <si>
    <t>عمر اسومه كهرباء</t>
  </si>
  <si>
    <t>HARK-C</t>
  </si>
  <si>
    <t>LEO EVPM 2-9 2HP طلمبة ماء عامودية</t>
  </si>
  <si>
    <t>HZAM</t>
  </si>
  <si>
    <t>LEO LVR 4-16 4 HP 380 V طلمبة عامودية</t>
  </si>
  <si>
    <t>HFF</t>
  </si>
  <si>
    <t>LEO LVR 4-22 5.5HP 380 V طلمبة عامودية</t>
  </si>
  <si>
    <t>LCICOLNSABI15*7.5</t>
  </si>
  <si>
    <t>LEO PQ50E طلمبة ماء اتوماتيك مع غطاء</t>
  </si>
  <si>
    <t>LECICO</t>
  </si>
  <si>
    <t>PROT</t>
  </si>
  <si>
    <t>LEO PRESS CONTROL</t>
  </si>
  <si>
    <t>HB</t>
  </si>
  <si>
    <t>LEO XKP2204 380V موتير مسبح</t>
  </si>
  <si>
    <t>السادة محلات الحنون المحترمين</t>
  </si>
  <si>
    <t>MIXHA1/2 TAK</t>
  </si>
  <si>
    <t>LEO بالون ضغط 100 ليتر</t>
  </si>
  <si>
    <t>MIXER</t>
  </si>
  <si>
    <t>وسام عيتاني</t>
  </si>
  <si>
    <t>LEO بالون ضغط 50 ليتر</t>
  </si>
  <si>
    <t>HANAF-T-C</t>
  </si>
  <si>
    <t>LEO موتير 0.5 حصان صامت ليو  3ACM45</t>
  </si>
  <si>
    <t>حسن قرمش</t>
  </si>
  <si>
    <t>HOQN</t>
  </si>
  <si>
    <t>LEO موتير 0.5 حصان ليو ACM37 TURBINE</t>
  </si>
  <si>
    <t>عمر كردلي</t>
  </si>
  <si>
    <t>GHSHNF</t>
  </si>
  <si>
    <t>LEO موتير 0.5 حصان ليو AJM 30سارق</t>
  </si>
  <si>
    <t>ربيع البسط</t>
  </si>
  <si>
    <t>LEO موتير 0.5 حصان ليو APM37</t>
  </si>
  <si>
    <t>LEO موتير 0.75 حصان صامت ليو ACM60</t>
  </si>
  <si>
    <t>LEO موتير 0.75 حصان ليو APM 60</t>
  </si>
  <si>
    <t>LEO موتير 1 حصان صامت ليو</t>
  </si>
  <si>
    <t>HANAFK</t>
  </si>
  <si>
    <t>LEO موتير 1 حصان ليو ACM75 TURBINE</t>
  </si>
  <si>
    <t>عازار</t>
  </si>
  <si>
    <t>TREM-H</t>
  </si>
  <si>
    <t>LEO موتير 1 حصان ليو AJM 75 طلمبة ماء سارق</t>
  </si>
  <si>
    <t>AZAR BROTHER SAL</t>
  </si>
  <si>
    <t>HL</t>
  </si>
  <si>
    <t>LEO موتير 1 حصان ليو APM 75 طلمبة ماء</t>
  </si>
  <si>
    <t>فوزي عيتاني</t>
  </si>
  <si>
    <t>LEO موتير 1 حصان ليو APM 90 طلمبة ماء</t>
  </si>
  <si>
    <t>LEO موتير 1.5 حصان دوبل توربين ليو</t>
  </si>
  <si>
    <t>F-NFLO-06007</t>
  </si>
  <si>
    <t>LEO موتير 1.5 حصان ليو APM 110 طلمبة ماء عادي</t>
  </si>
  <si>
    <t>HMB</t>
  </si>
  <si>
    <t>LEO موتير 1.5 حصان ليو توربين 1 XCM170</t>
  </si>
  <si>
    <t>LEO موتير 3 حصان دوبل توربين ليو</t>
  </si>
  <si>
    <t>LEO موتير 4 حصان دوبل توربين ليو</t>
  </si>
  <si>
    <t>WBR-770090</t>
  </si>
  <si>
    <t>LEO موتير اتوماتيك ليو LKSM350AU طرمبة مع برس كنترول</t>
  </si>
  <si>
    <t>شركة صالح اخوان للتجارة العامه / يورو</t>
  </si>
  <si>
    <t>LEO موتير اتوماتيك ليو XKSM13O طرمبة مع برس كنترول</t>
  </si>
  <si>
    <t>HMHF</t>
  </si>
  <si>
    <t>LEO موتير غاطسة ليو</t>
  </si>
  <si>
    <t>بلال عكش</t>
  </si>
  <si>
    <t>LEO موتير فرامة ليو</t>
  </si>
  <si>
    <t>HMHC</t>
  </si>
  <si>
    <t>LEO موتير نافورة ليو</t>
  </si>
  <si>
    <t>WTB3</t>
  </si>
  <si>
    <t>اتوماتيك موتير وستن WSTN</t>
  </si>
  <si>
    <t>ESY1 1/2</t>
  </si>
  <si>
    <t>اسافين 6 ملم</t>
  </si>
  <si>
    <t>المحترمين FIRM السادة</t>
  </si>
  <si>
    <t>ESYF1 1/2</t>
  </si>
  <si>
    <t>اسافين بلاط احمر</t>
  </si>
  <si>
    <t>ESYF1 1/2-B</t>
  </si>
  <si>
    <t>اسافين دق 6 ملم</t>
  </si>
  <si>
    <t>SBMGHL</t>
  </si>
  <si>
    <t>اسافين دق 8 ملم</t>
  </si>
  <si>
    <t>حسن المقداد</t>
  </si>
  <si>
    <t>PVCTFB1 1/2</t>
  </si>
  <si>
    <t>اصبع تلزيق</t>
  </si>
  <si>
    <t>PVC</t>
  </si>
  <si>
    <t>فراس</t>
  </si>
  <si>
    <t>ZRBT1 1/2</t>
  </si>
  <si>
    <t>ايزي فليكس 1 1/2 تركي</t>
  </si>
  <si>
    <t>ZRB</t>
  </si>
  <si>
    <t>السادة شركة عبد الحليم شهاب واولاده ش.م.م</t>
  </si>
  <si>
    <t>JLD1 1/2</t>
  </si>
  <si>
    <t>ايزي فليكس 1 1/2 صيني</t>
  </si>
  <si>
    <t>GH1 1/2</t>
  </si>
  <si>
    <t>ايزي فليكس 1 1/4 تركي</t>
  </si>
  <si>
    <t>RB1 1/2</t>
  </si>
  <si>
    <t>ايزي فليكس 1 1/4 صيني</t>
  </si>
  <si>
    <t>عبد الاحد</t>
  </si>
  <si>
    <t>RK1 1/2</t>
  </si>
  <si>
    <t>ايزي فليكس مع صباب 1 1/4 تركي</t>
  </si>
  <si>
    <t>عبد الله عيتاني وشركاه - ايكو</t>
  </si>
  <si>
    <t>SG1 1/2</t>
  </si>
  <si>
    <t>بار دوش دوبل غروهي صيني</t>
  </si>
  <si>
    <t>خوري انترناشيونال ش.م.ل</t>
  </si>
  <si>
    <t>SQ1 1/2</t>
  </si>
  <si>
    <t>بار دوش شاور بانل دوبل رمادي تركي</t>
  </si>
  <si>
    <t>SQI1 1/2</t>
  </si>
  <si>
    <t>بار دوش شاور بانل دوبل طاسة كبيرة ابيض تركي بريفا PRIVA</t>
  </si>
  <si>
    <t>شركه عبد الاحد / محل زين</t>
  </si>
  <si>
    <t>SKP 1 1/2</t>
  </si>
  <si>
    <t>بار دوش شاور بانل دوبل كروم اسود تركي بريفا PRIVA</t>
  </si>
  <si>
    <t>السيد محمود عمايا المحترم</t>
  </si>
  <si>
    <t>SK1 1/2</t>
  </si>
  <si>
    <t>بار دوش غروهي صيني</t>
  </si>
  <si>
    <t>خوري انترناشيونال ش.م.ل-يورو</t>
  </si>
  <si>
    <t>SMR1 1/2</t>
  </si>
  <si>
    <t>باكس المنيوم 16 ملم سعر المتر</t>
  </si>
  <si>
    <t>TI1 1/2</t>
  </si>
  <si>
    <t>باكس المنيوم 18 ملم سعر المتر</t>
  </si>
  <si>
    <t>زكريا شعر</t>
  </si>
  <si>
    <t>PVCKB1 1/2</t>
  </si>
  <si>
    <t>باكس المنيوم 20 ملم سعر المتر</t>
  </si>
  <si>
    <t>PIPE</t>
  </si>
  <si>
    <t>KHTS1 1/2</t>
  </si>
  <si>
    <t>باكس المنيوم 25 ملم سعر المتر</t>
  </si>
  <si>
    <t>TURKEY</t>
  </si>
  <si>
    <t>KHSH1 1/2</t>
  </si>
  <si>
    <t>باكس المنيوم 32 ملم سعر المتر</t>
  </si>
  <si>
    <t>KBA1 1/2</t>
  </si>
  <si>
    <t>بالون ضغط 24 لتر ليو LEO</t>
  </si>
  <si>
    <t>حسن حمدان</t>
  </si>
  <si>
    <t>PVCKZB1 1/2</t>
  </si>
  <si>
    <t>بانيو 150 سم تول ابيض ايطالي</t>
  </si>
  <si>
    <t>حسن المصري 2017</t>
  </si>
  <si>
    <t>PVCKFB1 1/2</t>
  </si>
  <si>
    <t>بانيو 160 سم تول ابيض ايطالي</t>
  </si>
  <si>
    <t>ZRBK1 1/2</t>
  </si>
  <si>
    <t>بانيو 170 سم تول ابيض ايطالي</t>
  </si>
  <si>
    <t>ZRBNB1 1/2</t>
  </si>
  <si>
    <t>برس كونترول كومت COMET</t>
  </si>
  <si>
    <t>PAC</t>
  </si>
  <si>
    <t>NRB-1 1/2</t>
  </si>
  <si>
    <t>برس كونترول ليو LEO</t>
  </si>
  <si>
    <t>PVCWBB1 1/2</t>
  </si>
  <si>
    <t>برس كونترول من فوق مونرو MONRO</t>
  </si>
  <si>
    <t>شركة حسن الجمل واولاده التجارية</t>
  </si>
  <si>
    <t>PVCWB1 1/2</t>
  </si>
  <si>
    <t>برميل اندركود مائي</t>
  </si>
  <si>
    <t>ZRBWD1 1/2</t>
  </si>
  <si>
    <t>برميل طرش نص كاوتشوك ابيض 100 بريمو PRIMO</t>
  </si>
  <si>
    <t>PVCWMB1 1/2</t>
  </si>
  <si>
    <t>برميل طرش نص كاوتشوك ابيض ماكس MAX</t>
  </si>
  <si>
    <t>ZRBT1 1/2*50</t>
  </si>
  <si>
    <t>برميل طرش نص كاوتشوك اوف وايت 101 بريمو PRIMO</t>
  </si>
  <si>
    <t>PPR</t>
  </si>
  <si>
    <t>SK-50*1 1/2</t>
  </si>
  <si>
    <t>برميل طرش نص كاوتشوك اوف وايت ماكس MAX</t>
  </si>
  <si>
    <t>ESY1 1/4</t>
  </si>
  <si>
    <t>برميل طرش نص كاوتشوك عاج 105 بريمو PRIMO</t>
  </si>
  <si>
    <t>اكوالينك</t>
  </si>
  <si>
    <t>SBMGHSE</t>
  </si>
  <si>
    <t>برميل طرش نص كاوتشوك عاج خفيف 104 بريمو PRIMO</t>
  </si>
  <si>
    <t>PVCTFB1 1/4</t>
  </si>
  <si>
    <t>برميل طرش نص كاوتشوك غاردينا 102 بريمو PRIMO</t>
  </si>
  <si>
    <t>ZRBT1 1/4</t>
  </si>
  <si>
    <t>برميل طرش نص كاوتشوك كريم ماكس MAX</t>
  </si>
  <si>
    <t>JLD1 1/4</t>
  </si>
  <si>
    <t>برميل عازل ابيض ماكس MAX</t>
  </si>
  <si>
    <t>GH1 1/4</t>
  </si>
  <si>
    <t>برميل معجونة سماكات ماكس MAX</t>
  </si>
  <si>
    <t>RB1 1/4</t>
  </si>
  <si>
    <t>برميل معجونة ناعمة ماكس MAX</t>
  </si>
  <si>
    <t>RBM1 1/4</t>
  </si>
  <si>
    <t>برميل نفط</t>
  </si>
  <si>
    <t>علي مراد</t>
  </si>
  <si>
    <t>ZRBRN1 1/4</t>
  </si>
  <si>
    <t>برميل ونش</t>
  </si>
  <si>
    <t>RK1 1/4</t>
  </si>
  <si>
    <t>بكادوش بورسلان مبروم ابيض 90*90 منزوع</t>
  </si>
  <si>
    <t>محمد عساف ابو عبدو</t>
  </si>
  <si>
    <t>ZRBRZ1 1/4</t>
  </si>
  <si>
    <t>بكادوش بورسلان مربع ابيض 80*80</t>
  </si>
  <si>
    <t>SG1 1/4</t>
  </si>
  <si>
    <t>بكادوش فيبر ابيض 80*100</t>
  </si>
  <si>
    <t>ZRBSZ1 1/4</t>
  </si>
  <si>
    <t>بكادوش فيبر ابيض 80*120 بركة</t>
  </si>
  <si>
    <t>SQ1 1/4</t>
  </si>
  <si>
    <t>بكادوش فيبر مبروم ابيض 80*80 عطريس</t>
  </si>
  <si>
    <t>SQI1 1/4</t>
  </si>
  <si>
    <t>بكادوش فيبر مبروم عاج 80*80</t>
  </si>
  <si>
    <t>عبد الاحد / يورو</t>
  </si>
  <si>
    <t>SK1 1/4</t>
  </si>
  <si>
    <t>بوكس 30*30</t>
  </si>
  <si>
    <t>SKM1 1/4</t>
  </si>
  <si>
    <t>بوكس 40*40</t>
  </si>
  <si>
    <t>SMR1 1/4</t>
  </si>
  <si>
    <t>بوكس 50*50</t>
  </si>
  <si>
    <t>TI1 1/4</t>
  </si>
  <si>
    <t>بوكس 55*55</t>
  </si>
  <si>
    <t>معمل عيتاني</t>
  </si>
  <si>
    <t>PVCKB1 1/4</t>
  </si>
  <si>
    <t>بيديه اطلنتس ابيض</t>
  </si>
  <si>
    <t>KHTS1 1/4</t>
  </si>
  <si>
    <t>بيديه اطلنتس بيج</t>
  </si>
  <si>
    <t>ابو علي صالح</t>
  </si>
  <si>
    <t>KHDB1 1/4</t>
  </si>
  <si>
    <t>بيديه اطلنتس عاج</t>
  </si>
  <si>
    <t>DLMIN</t>
  </si>
  <si>
    <t>KHSH1 1/4</t>
  </si>
  <si>
    <t>بيديه اطلنتس ملون</t>
  </si>
  <si>
    <t>KBA1 1/4</t>
  </si>
  <si>
    <t>بيديه تعليق ابيض صيني</t>
  </si>
  <si>
    <t>PVCKZB1 1/4</t>
  </si>
  <si>
    <t>بيديه زغرتا ابيض</t>
  </si>
  <si>
    <t>PVCKFB1 1/4</t>
  </si>
  <si>
    <t>بيديه زغرتا بيج</t>
  </si>
  <si>
    <t>ZRBK1 1/4</t>
  </si>
  <si>
    <t>بيديه زغرتا عاج</t>
  </si>
  <si>
    <t>ZRBNZ1 1/4</t>
  </si>
  <si>
    <t>بيديه زغرتا ملون</t>
  </si>
  <si>
    <t>ZRBNB1 1/4</t>
  </si>
  <si>
    <t>بيديه سيدني تعليق ابيض</t>
  </si>
  <si>
    <t>ZRBNB1 1/4-16</t>
  </si>
  <si>
    <t>بيديه سيدني تعليق بيج</t>
  </si>
  <si>
    <t>ND1 1/4</t>
  </si>
  <si>
    <t>بيديه سيدني تعليق عاج</t>
  </si>
  <si>
    <t>PVCWB1 1/4</t>
  </si>
  <si>
    <t>بيديه سيدني تعليق ملون</t>
  </si>
  <si>
    <t>تامر الكسم / فراس</t>
  </si>
  <si>
    <t>ZRBWD1 1/4</t>
  </si>
  <si>
    <t>بيديه صيني ابيض</t>
  </si>
  <si>
    <t>PVCWMB1 1/4</t>
  </si>
  <si>
    <t>بيديه صيني عاج</t>
  </si>
  <si>
    <t>D/1/2</t>
  </si>
  <si>
    <t>بيديه غاردينيا ابيض</t>
  </si>
  <si>
    <t>ZRBRZ1</t>
  </si>
  <si>
    <t>بيديه غاردينيا بيج</t>
  </si>
  <si>
    <t>JLD1</t>
  </si>
  <si>
    <t>بيديه غاردينيا عاج</t>
  </si>
  <si>
    <t>HQ1</t>
  </si>
  <si>
    <t>بيديه غاردينيا ملون</t>
  </si>
  <si>
    <t>RBM1</t>
  </si>
  <si>
    <t>بيديه فينيسيا ابيض</t>
  </si>
  <si>
    <t>RK1</t>
  </si>
  <si>
    <t>بيديه فينيسيا بيج</t>
  </si>
  <si>
    <t>SQI1</t>
  </si>
  <si>
    <t>بيديه فينيسيا عاج</t>
  </si>
  <si>
    <t>ZRBS1</t>
  </si>
  <si>
    <t>بيديه فينيسيا ملون</t>
  </si>
  <si>
    <t>SG1</t>
  </si>
  <si>
    <t>بيديه كاميليا ابيض</t>
  </si>
  <si>
    <t>SKR1-H</t>
  </si>
  <si>
    <t>بيديه كاميليا بيج</t>
  </si>
  <si>
    <t>ZRBSZ1</t>
  </si>
  <si>
    <t>بيديه كاميليا عاج</t>
  </si>
  <si>
    <t>BRSSSHB1</t>
  </si>
  <si>
    <t>بيديه كاميليا ملون</t>
  </si>
  <si>
    <t>منير عثمان</t>
  </si>
  <si>
    <t>SKM1</t>
  </si>
  <si>
    <t>بيديه لاغونا ارض ابيض</t>
  </si>
  <si>
    <t>عزام</t>
  </si>
  <si>
    <t>SF1</t>
  </si>
  <si>
    <t>بيديه لاغونا ارض بيج</t>
  </si>
  <si>
    <t>CHROMSHB1</t>
  </si>
  <si>
    <t>بيديه لاغونا ارض عاج</t>
  </si>
  <si>
    <t>حسام سنجر</t>
  </si>
  <si>
    <t>QN1</t>
  </si>
  <si>
    <t>بيديه لاغونا ارض ملون</t>
  </si>
  <si>
    <t>SKP1</t>
  </si>
  <si>
    <t>بيديه لاغونا تعليق ابيض</t>
  </si>
  <si>
    <t>PVCKZB1</t>
  </si>
  <si>
    <t>بيديه لاغونا تعليق بيج</t>
  </si>
  <si>
    <t>PVCKFB1</t>
  </si>
  <si>
    <t>بيديه لاغونا تعليق عاج</t>
  </si>
  <si>
    <t>SMR1</t>
  </si>
  <si>
    <t>بيديه لاغونا تعليق ملون</t>
  </si>
  <si>
    <t>ZRBK1</t>
  </si>
  <si>
    <t>بيديه موديل فينيسيا ابيض</t>
  </si>
  <si>
    <t>PVCWB1</t>
  </si>
  <si>
    <t>بيديه موديل فينيسيا عاج</t>
  </si>
  <si>
    <t>KHTS1</t>
  </si>
  <si>
    <t>تحويلة عامود دوش مع نربيج 1/2*1/2*3/4</t>
  </si>
  <si>
    <t>جان كلود يارد</t>
  </si>
  <si>
    <t>KHDB1</t>
  </si>
  <si>
    <t>تحويلة كرسي 6سم تركي</t>
  </si>
  <si>
    <t>BSPS40-1</t>
  </si>
  <si>
    <t>تطويلة عنق متحركة مع فلتر</t>
  </si>
  <si>
    <t>ZRBWD1</t>
  </si>
  <si>
    <t>تعليقة صابون بلاستيك ابيض</t>
  </si>
  <si>
    <t>ZRNT1/2</t>
  </si>
  <si>
    <t>ZRN</t>
  </si>
  <si>
    <t>CHROMT1/2</t>
  </si>
  <si>
    <t>تعليقة منشفة دوبل بلاستيك</t>
  </si>
  <si>
    <t>محمد شهاب</t>
  </si>
  <si>
    <t>HD1/2</t>
  </si>
  <si>
    <t>تعليقة ورق بلاستيك ابيض</t>
  </si>
  <si>
    <t>ZRBNZ1</t>
  </si>
  <si>
    <t>تفلون صغير 1-3</t>
  </si>
  <si>
    <t>HQQ1/2</t>
  </si>
  <si>
    <t>تفلون كبير خفيف 1-1 0.25g</t>
  </si>
  <si>
    <t>HQP1/2</t>
  </si>
  <si>
    <t>تفلون كبير سميك 1-2 0.42g</t>
  </si>
  <si>
    <t>RB1/2</t>
  </si>
  <si>
    <t>تلزيق اسود عريض</t>
  </si>
  <si>
    <t>ZRBRN1/2</t>
  </si>
  <si>
    <t>تلزيق بلاستيك 1 كيلو امريكي</t>
  </si>
  <si>
    <t>RKRGH1/2</t>
  </si>
  <si>
    <t>تلزيق بلاستيك 1/2 كيلو امريكي</t>
  </si>
  <si>
    <t>ZRNWD1</t>
  </si>
  <si>
    <t>تلزيق بلاستيك 1/4 كيلو امريكي</t>
  </si>
  <si>
    <t>تيج 10 ملم</t>
  </si>
  <si>
    <t>GEREN</t>
  </si>
  <si>
    <t>تيج 12 ملم</t>
  </si>
  <si>
    <t>JZM</t>
  </si>
  <si>
    <t>تيج 16 ملم</t>
  </si>
  <si>
    <t>JAF</t>
  </si>
  <si>
    <t>تيج 6 ملم</t>
  </si>
  <si>
    <t>سايبس/SIPES</t>
  </si>
  <si>
    <t>JNZR</t>
  </si>
  <si>
    <t>تيج 8 ملم</t>
  </si>
  <si>
    <t>جمل وشعبان</t>
  </si>
  <si>
    <t>PVCWMB1</t>
  </si>
  <si>
    <t>تيه اف بلاستيك 1</t>
  </si>
  <si>
    <t>BRSSSHBM1*1/2</t>
  </si>
  <si>
    <t>تيه اف بلاستيك 1 1/2</t>
  </si>
  <si>
    <t>CHROMSHM1*1/2</t>
  </si>
  <si>
    <t>تيه اف بلاستيك 1 1/2 KOKO</t>
  </si>
  <si>
    <t>SD110</t>
  </si>
  <si>
    <t>تيه اف بلاستيك 1 1/4</t>
  </si>
  <si>
    <t>BRSSSHBM1*3/4</t>
  </si>
  <si>
    <t>تيه اف بلاستيك 1 1/4 KOKO</t>
  </si>
  <si>
    <t>CHROMSHM1*3/4</t>
  </si>
  <si>
    <t>تيه اف بلاستيك 1 KOKO</t>
  </si>
  <si>
    <t>RK1/2</t>
  </si>
  <si>
    <t>تيه اف بلاستيك 1/2</t>
  </si>
  <si>
    <t>حسن المصري</t>
  </si>
  <si>
    <t>ZRBRZ1/2</t>
  </si>
  <si>
    <t>تيه اف بلاستيك 1/2 KOKO</t>
  </si>
  <si>
    <t>JLD1/2</t>
  </si>
  <si>
    <t>تيه اف بلاستيك 2</t>
  </si>
  <si>
    <t>CHROMSN1/2</t>
  </si>
  <si>
    <t>تيه اف بلاستيك 2 KOKO</t>
  </si>
  <si>
    <t>CHROMSZ1/2</t>
  </si>
  <si>
    <t>تيه اف بلاستيك 3</t>
  </si>
  <si>
    <t>ZRBSZ1/2</t>
  </si>
  <si>
    <t>تيه اف بلاستيك 3 KOKO</t>
  </si>
  <si>
    <t>SZI1/2</t>
  </si>
  <si>
    <t>تيه اف بلاستيك 3/4</t>
  </si>
  <si>
    <t>SZB1/2</t>
  </si>
  <si>
    <t>تيه اف بلاستيك 3/4 KOKO</t>
  </si>
  <si>
    <t>RBM1/2</t>
  </si>
  <si>
    <t>تيه اف بلاستيك 4</t>
  </si>
  <si>
    <t>SZD1/2</t>
  </si>
  <si>
    <t>تيه اف بلاستيك 4 KOKO</t>
  </si>
  <si>
    <t>تيه اف بلاستيك 5</t>
  </si>
  <si>
    <t>ؤ</t>
  </si>
  <si>
    <t>SZDI1/2</t>
  </si>
  <si>
    <t>تيه اف بلاستيك 5 KOKO</t>
  </si>
  <si>
    <t>SZDB1/2</t>
  </si>
  <si>
    <t>تيه اف بلاستيك 6</t>
  </si>
  <si>
    <t>ZRNRZ1/2</t>
  </si>
  <si>
    <t>تيه اف بلاستيك 6 KOKO</t>
  </si>
  <si>
    <t>SQ1/2</t>
  </si>
  <si>
    <t>تيه اف بلاستيك 8</t>
  </si>
  <si>
    <t>شركة قطيش للادوات الصحية</t>
  </si>
  <si>
    <t>SD1/2</t>
  </si>
  <si>
    <t>تيه اف بلاستيك 8 KOKO</t>
  </si>
  <si>
    <t>SQI1/2</t>
  </si>
  <si>
    <t>تيه اف بلاستيك اوروبي 110 KOKO</t>
  </si>
  <si>
    <t>SD1/2M</t>
  </si>
  <si>
    <t>تيه اف بلاستيك اوروبي 125 KOKO</t>
  </si>
  <si>
    <t>SQE1/2</t>
  </si>
  <si>
    <t>تيه اف بلاستيك اوروبي 160 KOKO</t>
  </si>
  <si>
    <t>SG1/2</t>
  </si>
  <si>
    <t>تيه اف بلاستيك اوروبي 200 KOKO</t>
  </si>
  <si>
    <t>SM1/2</t>
  </si>
  <si>
    <t>تيه اف بلاستيك اوروبي 50 KOKO</t>
  </si>
  <si>
    <t>CHROMSHB1/2</t>
  </si>
  <si>
    <t>تيه اف بلاستيك اوروبي 75 KOKO</t>
  </si>
  <si>
    <t>SZG1/2</t>
  </si>
  <si>
    <t>تيه اف بلاستيك بجوان الماني 110 ملم</t>
  </si>
  <si>
    <t>مؤسسة خوري للتجارة</t>
  </si>
  <si>
    <t>BRSSSHB1/2</t>
  </si>
  <si>
    <t>تيه اف بلاستيك بجوان الماني 125 ملم</t>
  </si>
  <si>
    <t>SHB1/2</t>
  </si>
  <si>
    <t>تيه اف بلاستيك بجوان الماني 160 ملم</t>
  </si>
  <si>
    <t>SHC1/2</t>
  </si>
  <si>
    <t>تيه اف بلاستيك بجوان الماني 200 ملم</t>
  </si>
  <si>
    <t>SKM1/2</t>
  </si>
  <si>
    <t>تيه اف بلاستيك بجوان الماني 50 ملم</t>
  </si>
  <si>
    <t>SMR1/2</t>
  </si>
  <si>
    <t>تيه اف بلاستيك بجوان الماني 75 ملم</t>
  </si>
  <si>
    <t>TB1/2</t>
  </si>
  <si>
    <t>تيه اف بلاستيك بجوان تركي 110 ملم</t>
  </si>
  <si>
    <t>ESLT1/2</t>
  </si>
  <si>
    <t>تيه اف بلاستيك بجوان تركي 125 ملم</t>
  </si>
  <si>
    <t>Lecico the lebanese ceramic industries co. s.a.l</t>
  </si>
  <si>
    <t>TI1/2</t>
  </si>
  <si>
    <t>تيه اف بلاستيك بجوان تركي 160 ملم</t>
  </si>
  <si>
    <t>SQB1/2</t>
  </si>
  <si>
    <t>تيه اف بلاستيك بجوان تركي 200 ملم</t>
  </si>
  <si>
    <t>SF1/2</t>
  </si>
  <si>
    <t>تيه اف بلاستيك بجوان تركي 50 ملم</t>
  </si>
  <si>
    <t>SQ1/2K</t>
  </si>
  <si>
    <t>تيه اف بلاستيك بجوان تركي 75 ملم</t>
  </si>
  <si>
    <t>HE</t>
  </si>
  <si>
    <t>TIW1/2</t>
  </si>
  <si>
    <t>تيه اكرك بلاستيك 2</t>
  </si>
  <si>
    <t>TB 1/2 F</t>
  </si>
  <si>
    <t>تيه اكرك بلاستيك 2 KOKO</t>
  </si>
  <si>
    <t>QN1/2</t>
  </si>
  <si>
    <t>تيه اكرك بلاستيك 3</t>
  </si>
  <si>
    <t>CHROMSHM1/2</t>
  </si>
  <si>
    <t>تيه اكرك بلاستيك 3 KOKO</t>
  </si>
  <si>
    <t>CHROMKN1/2</t>
  </si>
  <si>
    <t>تيه اكرك بلاستيك 4</t>
  </si>
  <si>
    <t>PVCKZB1/2</t>
  </si>
  <si>
    <t>تيه اكرك بلاستيك 4 KOKO</t>
  </si>
  <si>
    <t>CHROMKZ1/2</t>
  </si>
  <si>
    <t>تيه اكرك بلاستيك 5</t>
  </si>
  <si>
    <t>ZRBK1/2</t>
  </si>
  <si>
    <t>تيه اكرك بلاستيك 5 KOKO</t>
  </si>
  <si>
    <t>ZRBKTH1/2</t>
  </si>
  <si>
    <t>تيه اكرك بلاستيك 6</t>
  </si>
  <si>
    <t>RKSN-1/2</t>
  </si>
  <si>
    <t>تيه اكرك بلاستيك 6 KOKO</t>
  </si>
  <si>
    <t>محمد كلش</t>
  </si>
  <si>
    <t>ND1/2</t>
  </si>
  <si>
    <t>تيه اكرك بلاستيك 8</t>
  </si>
  <si>
    <t>PVCWB1/2</t>
  </si>
  <si>
    <t>تيه اكرك بلاستيك 8 KOKO</t>
  </si>
  <si>
    <t>ZRBWD1/2</t>
  </si>
  <si>
    <t>تيه اكرك بلاستيك اوروبي 110 KOKO</t>
  </si>
  <si>
    <t>CHROMWZ1/2</t>
  </si>
  <si>
    <t>تيه اكرك بلاستيك اوروبي 125 KOKO</t>
  </si>
  <si>
    <t>BRSSWZ1/2</t>
  </si>
  <si>
    <t>تيه اكرك بلاستيك اوروبي 160 KOKO</t>
  </si>
  <si>
    <t>PVCKB1/2</t>
  </si>
  <si>
    <t>تيه اكرك بلاستيك اوروبي 200 KOKO</t>
  </si>
  <si>
    <t>KHTK1/2</t>
  </si>
  <si>
    <t>تيه اكرك بلاستيك اوروبي 50 KOKO</t>
  </si>
  <si>
    <t>KHTS1/2</t>
  </si>
  <si>
    <t>تيه اكرك بلاستيك اوروبي 75 KOKO</t>
  </si>
  <si>
    <t>KHDB1/2</t>
  </si>
  <si>
    <t>تيه اكرك بلاستيك بجوان الماني 110 ملم</t>
  </si>
  <si>
    <t>KHSH1/2</t>
  </si>
  <si>
    <t>تيه اكرك بلاستيك بجوان الماني 125 ملم</t>
  </si>
  <si>
    <t>KHSK1/2</t>
  </si>
  <si>
    <t>تيه اكرك بلاستيك بجوان الماني 160 ملم</t>
  </si>
  <si>
    <t>CHINA</t>
  </si>
  <si>
    <t>POLIS - VENUS ياسين</t>
  </si>
  <si>
    <t>KHSS1/2</t>
  </si>
  <si>
    <t>تيه اكرك بلاستيك بجوان الماني 200 ملم</t>
  </si>
  <si>
    <t>شركة كوراني</t>
  </si>
  <si>
    <t>BRSSQW1/2</t>
  </si>
  <si>
    <t>تيه اكرك بلاستيك بجوان الماني 50 ملم</t>
  </si>
  <si>
    <t>BRSSWZT1/2</t>
  </si>
  <si>
    <t>تيه اكرك بلاستيك بجوان الماني 75 ملم</t>
  </si>
  <si>
    <t>CHROMW1/2</t>
  </si>
  <si>
    <t>تيه اكرك بلاستيك بجوان تركي 110 ملم</t>
  </si>
  <si>
    <t>محمد حوسو</t>
  </si>
  <si>
    <t>BRSSSHM1/2*2/8</t>
  </si>
  <si>
    <t>تيه اكرك بلاستيك بجوان تركي 125 ملم</t>
  </si>
  <si>
    <t>CHROMSHM1/2*3/8</t>
  </si>
  <si>
    <t>تيه اكرك بلاستيك بجوان تركي 160 ملم</t>
  </si>
  <si>
    <t>SSH1/2</t>
  </si>
  <si>
    <t>تيه اكرك بلاستيك بجوان تركي 200 ملم</t>
  </si>
  <si>
    <t>NB50-1/2*3/8</t>
  </si>
  <si>
    <t>تيه اكرك بلاستيك بجوان تركي 50 ملم</t>
  </si>
  <si>
    <t>PVCD</t>
  </si>
  <si>
    <t>CHROMWZM1/2*3/8</t>
  </si>
  <si>
    <t>تيه اكرك بلاستيك بجوان تركي 75 ملم</t>
  </si>
  <si>
    <t>MASF10*10</t>
  </si>
  <si>
    <t>تيه اكرك مخالف بلاستيك بجوان الماني 110*125 ملم</t>
  </si>
  <si>
    <t>NRBG-H</t>
  </si>
  <si>
    <t>تيه اكرك مخالف بلاستيك بجوان الماني 110*160 ملم</t>
  </si>
  <si>
    <t>ZRBNZ1/2</t>
  </si>
  <si>
    <t>تيه اكرك مخالف بلاستيك بجوان الماني 125*160 ملم</t>
  </si>
  <si>
    <t>ZRBNZ1/2-16</t>
  </si>
  <si>
    <t>تيه اكرك مخالف بلاستيك بجوان الماني 50*110 ملم</t>
  </si>
  <si>
    <t>ZRBNB1/2</t>
  </si>
  <si>
    <t>-</t>
  </si>
  <si>
    <t>تيه اكرك مخالف بلاستيك بجوان الماني 50*75 ملم</t>
  </si>
  <si>
    <t>ZRBNB1/2-16</t>
  </si>
  <si>
    <t>تيه اكرك مخالف بلاستيك بجوان الماني 75*110 ملم</t>
  </si>
  <si>
    <t>NTGM100</t>
  </si>
  <si>
    <t>تيه اكرك مخالف بلاستيك بجوان تركي 110*125 ملم</t>
  </si>
  <si>
    <t>NTG</t>
  </si>
  <si>
    <t>NB-B1/2</t>
  </si>
  <si>
    <t>تيه اكرك مخالف بلاستيك بجوان تركي 110*160 ملم</t>
  </si>
  <si>
    <t>PVCES100</t>
  </si>
  <si>
    <t>تيه اكرك مخالف بلاستيك بجوان تركي 125*160 ملم</t>
  </si>
  <si>
    <t>PVCE</t>
  </si>
  <si>
    <t>VLXA100</t>
  </si>
  <si>
    <t>تيه اكرك مخالف بلاستيك بجوان تركي 50*110 ملم</t>
  </si>
  <si>
    <t>فيلوكس</t>
  </si>
  <si>
    <t>MSRQM100</t>
  </si>
  <si>
    <t>تيه اكرك مخالف بلاستيك بجوان تركي 50*75 ملم</t>
  </si>
  <si>
    <t>NB100</t>
  </si>
  <si>
    <t>تيه اكرك مخالف بلاستيك بجوان تركي 75*110 ملم</t>
  </si>
  <si>
    <t>KHZSM1000</t>
  </si>
  <si>
    <t>تيه انتاية كروم 16*1/2</t>
  </si>
  <si>
    <t>SOMO</t>
  </si>
  <si>
    <t>PVCETFZ110</t>
  </si>
  <si>
    <t>تيه انتاية كروم 18*1/2</t>
  </si>
  <si>
    <t>PVCETYN110</t>
  </si>
  <si>
    <t>تيه انتاية كروم 20*1/2</t>
  </si>
  <si>
    <t>CHROMSHBM1/2*3/8</t>
  </si>
  <si>
    <t>تيه بسن انتاية 20*1/2 زراعي</t>
  </si>
  <si>
    <t>BRSSSHBM1/2*3/8</t>
  </si>
  <si>
    <t>تيه بسن انتاية 25*3/4 زراعي</t>
  </si>
  <si>
    <t>RB110</t>
  </si>
  <si>
    <t>تيه بسن انتاية 32*1 زراعي</t>
  </si>
  <si>
    <t>CHROMKM1/2*3/8</t>
  </si>
  <si>
    <t>تيه بسن انتاية 40*1 1/4 زراعي</t>
  </si>
  <si>
    <t>PVCES110</t>
  </si>
  <si>
    <t>تيه بسن انتاية 50*1 1/2 زراعي</t>
  </si>
  <si>
    <t>PVCEKB110</t>
  </si>
  <si>
    <t>تيه بسن انتاية 63*2 زراعي</t>
  </si>
  <si>
    <t>السيد جعفر مراد المحترم</t>
  </si>
  <si>
    <t>PVCEKZZ110</t>
  </si>
  <si>
    <t>تيه بسن انتاية تلحيم 20*1/2 ابيض تركي</t>
  </si>
  <si>
    <t>DER-M 10*40</t>
  </si>
  <si>
    <t>تيه بسن انتاية تلحيم 20*1/2 اخضر تركي</t>
  </si>
  <si>
    <t>DER-M 10*60</t>
  </si>
  <si>
    <t>تيه بسن انتاية تلحيم 25*1/2 ابيض تركي</t>
  </si>
  <si>
    <t>KW100 W</t>
  </si>
  <si>
    <t>تيه بسن انتاية تلحيم 25*1/2 اخضر تركي</t>
  </si>
  <si>
    <t>KHZSM100</t>
  </si>
  <si>
    <t>تيه بسن انتاية تلحيم 25*3/4 ابيض تركي</t>
  </si>
  <si>
    <t>ابو محمود المنجد</t>
  </si>
  <si>
    <t>PVCEKFZ110</t>
  </si>
  <si>
    <t>تيه بسن انتاية تلحيم 25*3/4 اخضر تركي</t>
  </si>
  <si>
    <t>PVCEW110</t>
  </si>
  <si>
    <t>تيه بسن انتاية تلحيم 32*1 ابيض تركي</t>
  </si>
  <si>
    <t>MSRA100</t>
  </si>
  <si>
    <t>تيه بسن انتاية تلحيم 32*1 اخضر تركي</t>
  </si>
  <si>
    <t>PVCEWM110*100</t>
  </si>
  <si>
    <t>تيه بسن انتاية تلحيم 32*1/2 ابيض تركي</t>
  </si>
  <si>
    <t>MSRAM100</t>
  </si>
  <si>
    <t>تيه بسن انتاية تلحيم 32*1/2 اخضر تركي</t>
  </si>
  <si>
    <t>شركة عيتاني للصناعة والتجارة - بورسلان</t>
  </si>
  <si>
    <t>MSMAM100</t>
  </si>
  <si>
    <t>تيه بسن انتاية تلحيم 32*3/4 ابيض تركي</t>
  </si>
  <si>
    <t>PORSLNQ100</t>
  </si>
  <si>
    <t>تيه بسن انتاية تلحيم 32*3/4 اخضر تركي</t>
  </si>
  <si>
    <t>SHFJQ100</t>
  </si>
  <si>
    <t>تيه بسن ذكر تلحيم 20*1/2 اخضر تركي</t>
  </si>
  <si>
    <t>RSS1200</t>
  </si>
  <si>
    <t>تيه بسن ذكر تلحيم 25*1/2 اخضر تركي</t>
  </si>
  <si>
    <t>خوري انترناشونال - يورو / محل زين</t>
  </si>
  <si>
    <t>VLXQM100</t>
  </si>
  <si>
    <t>تيه بسن ذكر تلحيم 25*3/4 اخضر تركي</t>
  </si>
  <si>
    <t>NS100</t>
  </si>
  <si>
    <t>تيه بسن ذكر تلحيم 32*1 اخضر تركي</t>
  </si>
  <si>
    <t>RB125</t>
  </si>
  <si>
    <t>تيه بسن ذكر تلحيم 32*1/2 اخضر تركي</t>
  </si>
  <si>
    <t>BKDSHB100*80</t>
  </si>
  <si>
    <t>تيه بسن ذكر تلحيم 32*3/4 اخضر تركي</t>
  </si>
  <si>
    <t>سامر المصري</t>
  </si>
  <si>
    <t>NTGS1000</t>
  </si>
  <si>
    <t>تيه تلحيم 20 ملم ابيض تركي</t>
  </si>
  <si>
    <t>KHZOMT1000</t>
  </si>
  <si>
    <t>تيه تلحيم 20 ملم اخضر تركي</t>
  </si>
  <si>
    <t>KHZSM1000B</t>
  </si>
  <si>
    <t>تيه تلحيم 25 ملم ابيض تركي</t>
  </si>
  <si>
    <t>KHZSS1000</t>
  </si>
  <si>
    <t>تيه تلحيم 25 ملم اخضر تركي</t>
  </si>
  <si>
    <t>NSH125</t>
  </si>
  <si>
    <t>تيه تلحيم 32 ملم ابيض تركي</t>
  </si>
  <si>
    <t>KHZSM1000T3</t>
  </si>
  <si>
    <t>تيه تلحيم 32 ملم اخضر تركي</t>
  </si>
  <si>
    <t>KHZSMT1000</t>
  </si>
  <si>
    <t>تيه تلحيم 40 ملم ابيض تركي</t>
  </si>
  <si>
    <t>MUREXM1000</t>
  </si>
  <si>
    <t>تيه تلحيم 40 ملم اخضر تركي</t>
  </si>
  <si>
    <t>MUREX</t>
  </si>
  <si>
    <t>NTGS3L1000</t>
  </si>
  <si>
    <t>تيه تلحيم 50 ملم ابيض تركي</t>
  </si>
  <si>
    <t>NTGT3L1000</t>
  </si>
  <si>
    <t>تيه تلحيم 50 ملم اخضر تركي</t>
  </si>
  <si>
    <t>NTGM1000</t>
  </si>
  <si>
    <t>تيه تلحيم 63 ملم ابيض تركي</t>
  </si>
  <si>
    <t>NTGM3L1000</t>
  </si>
  <si>
    <t>تيه تلحيم 63 ملم اخضر تركي</t>
  </si>
  <si>
    <t>RSS1000</t>
  </si>
  <si>
    <t>تيه حديد اسود 1 1/2 AFLB</t>
  </si>
  <si>
    <t>KHZSM10000</t>
  </si>
  <si>
    <t>تيه حديد اسود 1 1/4 AFLB</t>
  </si>
  <si>
    <t>NTGM10000</t>
  </si>
  <si>
    <t>تيه حديد اسود 1 AFLB</t>
  </si>
  <si>
    <t>NSH125B</t>
  </si>
  <si>
    <t>تيه حديد اسود 1/2 AFLB</t>
  </si>
  <si>
    <t>عبد زين</t>
  </si>
  <si>
    <t>PVCESB125*75*50</t>
  </si>
  <si>
    <t>تيه حديد اسود 2 AFLB</t>
  </si>
  <si>
    <t>PVCETYZ110</t>
  </si>
  <si>
    <t>تيه حديد اسود 3 AFLB</t>
  </si>
  <si>
    <t>PVCTDSB110</t>
  </si>
  <si>
    <t>تيه حديد اسود 3/4 AFLB</t>
  </si>
  <si>
    <t>PVCETSNZ110</t>
  </si>
  <si>
    <t>تيه حديد اسود 4 AFLB</t>
  </si>
  <si>
    <t>شركه الجمل / محل زين</t>
  </si>
  <si>
    <t>PVCTSB110</t>
  </si>
  <si>
    <t>تيه حديد مزيبق 1 1/2 AFL</t>
  </si>
  <si>
    <t>JM15*15</t>
  </si>
  <si>
    <t>تيه حديد مزيبق 1 1/2 HE</t>
  </si>
  <si>
    <t>MP15*15-T</t>
  </si>
  <si>
    <t>تيه حديد مزيبق 1 1/4 AFL</t>
  </si>
  <si>
    <t>شركة الدار</t>
  </si>
  <si>
    <t>PVCDS110</t>
  </si>
  <si>
    <t>تيه حديد مزيبق 1 1/4 HE</t>
  </si>
  <si>
    <t>شكر</t>
  </si>
  <si>
    <t>SDF-110</t>
  </si>
  <si>
    <t>تيه حديد مزيبق 1 AFL</t>
  </si>
  <si>
    <t>SMR110</t>
  </si>
  <si>
    <t>تيه حديد مزيبق 1 HE</t>
  </si>
  <si>
    <t>GHR15*15</t>
  </si>
  <si>
    <t>تيه حديد مزيبق 1/2 AFL</t>
  </si>
  <si>
    <t>PVCDK110</t>
  </si>
  <si>
    <t>تيه حديد مزيبق 1/2 HE</t>
  </si>
  <si>
    <t>PVCDKZ110</t>
  </si>
  <si>
    <t>تيه حديد مزيبق 2 AFL</t>
  </si>
  <si>
    <t>PVCEKZN110</t>
  </si>
  <si>
    <t>تيه حديد مزيبق 2 HE</t>
  </si>
  <si>
    <t>MPW15*15</t>
  </si>
  <si>
    <t>تيه حديد مزيبق 3 AFL</t>
  </si>
  <si>
    <t>PVCEKFN110</t>
  </si>
  <si>
    <t>تيه حديد مزيبق 3 HE</t>
  </si>
  <si>
    <t>MPM15*15</t>
  </si>
  <si>
    <t>تيه حديد مزيبق 3/4 AFL</t>
  </si>
  <si>
    <t>PVCEKM110</t>
  </si>
  <si>
    <t>تيه حديد مزيبق 3/4 HE</t>
  </si>
  <si>
    <t>LW-15-15</t>
  </si>
  <si>
    <t>تيه حديد مزيبق 4 AFL</t>
  </si>
  <si>
    <t>PVCDW110</t>
  </si>
  <si>
    <t>تيه حديد مزيبق 4 HE</t>
  </si>
  <si>
    <t>PVCEW110*100</t>
  </si>
  <si>
    <t>تيه دوبل 20*20*20 زراعي</t>
  </si>
  <si>
    <t>MC15*15</t>
  </si>
  <si>
    <t>تيه دوبل 25*25*25 زراعي</t>
  </si>
  <si>
    <t>RESHE-12*110</t>
  </si>
  <si>
    <t>تيه دوبل 32*32*32 زراعي</t>
  </si>
  <si>
    <t>PVCEWM110*50</t>
  </si>
  <si>
    <t>تيه دوبل 40*40*40 زراعي</t>
  </si>
  <si>
    <t>INTER PLAST انتر بلاست / يورو</t>
  </si>
  <si>
    <t>RESHE-6*110</t>
  </si>
  <si>
    <t>تيه دوبل 50*50*50 زراعي</t>
  </si>
  <si>
    <t>PVCERB110</t>
  </si>
  <si>
    <t>تيه دوبل 63*63*63 زراعي</t>
  </si>
  <si>
    <t>PVCDW110*63</t>
  </si>
  <si>
    <t>تيه دوبل اكرك بلاستيك 4</t>
  </si>
  <si>
    <t>PVCETYM110*75</t>
  </si>
  <si>
    <t>تيه دوبل اكرك بلاستيك 4 KOKO</t>
  </si>
  <si>
    <t>PVCDW110*75</t>
  </si>
  <si>
    <t>تيه دوبل اكرك بلاستيك بجوان تركي 110 ملم</t>
  </si>
  <si>
    <t>PVCEWM110*75</t>
  </si>
  <si>
    <t>تيه دوبل سنتير بلاستيك اوروبي 110 KOKO</t>
  </si>
  <si>
    <t>PVCEWM110*90</t>
  </si>
  <si>
    <t>تيه دوبل سنتير بلاستيك بجوان الماني 110 ملم</t>
  </si>
  <si>
    <t>PVCDW110*90</t>
  </si>
  <si>
    <t>تيه دوبل سنتير بلاستيك بجوان تركي 110 ملم</t>
  </si>
  <si>
    <t>THER-120</t>
  </si>
  <si>
    <t>تيه دوبل كروم 16*16*16</t>
  </si>
  <si>
    <t>BKDSHB120*80</t>
  </si>
  <si>
    <t>تيه دوبل كروم 18*18*18</t>
  </si>
  <si>
    <t>ND150</t>
  </si>
  <si>
    <t>تيه دوبل كروم 20*20*20</t>
  </si>
  <si>
    <t>RSS1200F</t>
  </si>
  <si>
    <t>تيه دوبل كروم 25*25*25</t>
  </si>
  <si>
    <t>PVCETFN125</t>
  </si>
  <si>
    <t>تيه دوبل كروم 32*32*32</t>
  </si>
  <si>
    <t>PVCETFZ125</t>
  </si>
  <si>
    <t>تيه ذكر كروم 16*1/2</t>
  </si>
  <si>
    <t>PVCETYZ125</t>
  </si>
  <si>
    <t>تيه ذكر كروم 18*1/2</t>
  </si>
  <si>
    <t>RSS1500</t>
  </si>
  <si>
    <t>تيه سنتير بلاستيك 4</t>
  </si>
  <si>
    <t>PVCES125</t>
  </si>
  <si>
    <t>تيه سنتير بلاستيك 4 KOKO</t>
  </si>
  <si>
    <t>SMR125</t>
  </si>
  <si>
    <t>تيه سنتير بلاستيك اوروبي 110 KOKO</t>
  </si>
  <si>
    <t>PVCEKB125</t>
  </si>
  <si>
    <t>تيه سنتير بلاستيك بجوان الماني 110 ملم</t>
  </si>
  <si>
    <t>موسى</t>
  </si>
  <si>
    <t>SHFJQ125</t>
  </si>
  <si>
    <t>تيه سنتير بلاستيك بجوان تركي 110 ملم</t>
  </si>
  <si>
    <t>PVCEKZZ125</t>
  </si>
  <si>
    <t>تيه صليب بلاستيك بجوان تركي 110 ملم</t>
  </si>
  <si>
    <t>PVCEKFZ125</t>
  </si>
  <si>
    <t>تيه مخالف تلحيم 25*20*25 ملم اخضر تركي</t>
  </si>
  <si>
    <t>KLBS16</t>
  </si>
  <si>
    <t>تيه مخالف تلحيم 25*25*20 ملم اخضر تركي</t>
  </si>
  <si>
    <t>مشتريات صبرا</t>
  </si>
  <si>
    <t>PEXTN16*1/2</t>
  </si>
  <si>
    <t>تيه مخالف تلحيم 32*20*20 ملم اخضر تركي</t>
  </si>
  <si>
    <t>PEX</t>
  </si>
  <si>
    <t>رامي</t>
  </si>
  <si>
    <t>PVCEW125</t>
  </si>
  <si>
    <t>تيه مخالف تلحيم 32*20*32 ملم اخضر تركي</t>
  </si>
  <si>
    <t>PVCETYM125*110</t>
  </si>
  <si>
    <t>تيه مخالف تلحيم 32*25*25 ملم اخضر تركي</t>
  </si>
  <si>
    <t>PVCEWM125*110</t>
  </si>
  <si>
    <t>تيه مخالف تلحيم 32*25*32 ملم اخضر تركي</t>
  </si>
  <si>
    <t>PVCETFM125*160</t>
  </si>
  <si>
    <t>تيه مخالف تلحيم 40*20*40 ملم اخضر تركي</t>
  </si>
  <si>
    <t>BRSSTN16*1/2</t>
  </si>
  <si>
    <t>تيه مخالف تلحيم 40*25*40 ملم اخضر تركي</t>
  </si>
  <si>
    <t>BKDOUSH135*180</t>
  </si>
  <si>
    <t>تيه مخالف تلحيم 40*32*40 ملم اخضر تركي</t>
  </si>
  <si>
    <t>NTGST1350</t>
  </si>
  <si>
    <t>تيه مخالف تلحيم 50*20*50 ملم اخضر تركي</t>
  </si>
  <si>
    <t>PEXTZ16*1/2</t>
  </si>
  <si>
    <t>تيه مخالف تلحيم 50*25*50 ملم اخضر تركي</t>
  </si>
  <si>
    <t>PEXRN16*1/2</t>
  </si>
  <si>
    <t>تيه مخالف تلحيم 50*32*50 ملم اخضر تركي</t>
  </si>
  <si>
    <t>PEXRZ16*1/2</t>
  </si>
  <si>
    <t>تيه مخالف تلحيم 50*40*50 ملم اخضر تركي</t>
  </si>
  <si>
    <t>BRSRZ16*1/2</t>
  </si>
  <si>
    <t>تيه مخالف تلحيم 63*32*63 ملم اخضر تركي</t>
  </si>
  <si>
    <t>PEXKN16*1/2</t>
  </si>
  <si>
    <t>تيه مخالف تلحيم 63*40*63 ملم اخضر تركي</t>
  </si>
  <si>
    <t>PEXKS16*1/2</t>
  </si>
  <si>
    <t>تيه مخالف تلحيم 63*50*63 ملم اخضر تركي</t>
  </si>
  <si>
    <t>MPS15*15</t>
  </si>
  <si>
    <t>تيه مخالف حديد اسود 1 1/2*2 AFLB</t>
  </si>
  <si>
    <t>PEXKZ16*1/2</t>
  </si>
  <si>
    <t>تيه مخالف حديد اسود 1 1/4*1 1/2 AFLB</t>
  </si>
  <si>
    <t>MSRQM150/C</t>
  </si>
  <si>
    <t>تيه مخالف حديد اسود 1 1/4*2 AFLB</t>
  </si>
  <si>
    <t>MSRA150</t>
  </si>
  <si>
    <t>تيه مخالف حديد اسود 1*1 1/2 AFLB</t>
  </si>
  <si>
    <t>PORSLNQ150</t>
  </si>
  <si>
    <t>تيه مخالف حديد اسود 1*1 1/4 AFLB</t>
  </si>
  <si>
    <t>SHFJQ150</t>
  </si>
  <si>
    <t>تيه مخالف حديد اسود 1*2 AFLB</t>
  </si>
  <si>
    <t>MSRQM150</t>
  </si>
  <si>
    <t>تيه مخالف حديد اسود 1/2*1 AFLB</t>
  </si>
  <si>
    <t>VLXQM150</t>
  </si>
  <si>
    <t>تيه مخالف حديد اسود 1/2*2 AFLB</t>
  </si>
  <si>
    <t>PEXTZ16*1/2*16</t>
  </si>
  <si>
    <t>تيه مخالف حديد اسود 1/2*3/4 AFLB</t>
  </si>
  <si>
    <t>KHZSM1500</t>
  </si>
  <si>
    <t>تيه مخالف حديد اسود 2 1/2*3 AFLB</t>
  </si>
  <si>
    <t>PEXRD16*16</t>
  </si>
  <si>
    <t>تيه مخالف حديد اسود 2*3 AFLB</t>
  </si>
  <si>
    <t>A013A</t>
  </si>
  <si>
    <t>تيه مخالف حديد اسود 2*4 AFLB</t>
  </si>
  <si>
    <t>PEXA16</t>
  </si>
  <si>
    <t>تيه مخالف حديد اسود 3/4*1 AFLB</t>
  </si>
  <si>
    <t>عبد الرزاق</t>
  </si>
  <si>
    <t>PEXA16*16</t>
  </si>
  <si>
    <t>تيه مخالف حديد اسود 3/4*2 AFLB</t>
  </si>
  <si>
    <t>ZRBNB16</t>
  </si>
  <si>
    <t>تيه مخالف حديد مزيبق 1 1/2*2 AFL</t>
  </si>
  <si>
    <t>PEXKD16*16</t>
  </si>
  <si>
    <t>تيه مخالف حديد مزيبق 1 1/2*2 HE</t>
  </si>
  <si>
    <t>PEXTD16*16*16</t>
  </si>
  <si>
    <t>تيه مخالف حديد مزيبق 1 1/4*1 1/2 AFL</t>
  </si>
  <si>
    <t>PEXA18</t>
  </si>
  <si>
    <t>تيه مخالف حديد مزيبق 1 1/4*1 1/2 HE</t>
  </si>
  <si>
    <t>KLBS18</t>
  </si>
  <si>
    <t>تيه مخالف حديد مزيبق 1 1/4*2 AFL</t>
  </si>
  <si>
    <t>PEXTN18*1/2</t>
  </si>
  <si>
    <t>تيه مخالف حديد مزيبق 1 1/4*2 HE</t>
  </si>
  <si>
    <t>PEXTZ18*1/2</t>
  </si>
  <si>
    <t>تيه مخالف حديد مزيبق 1*1 1/2 AFL</t>
  </si>
  <si>
    <t>PEXRN18*1/2</t>
  </si>
  <si>
    <t>تيه مخالف حديد مزيبق 1*1 1/2 HE</t>
  </si>
  <si>
    <t>PEXRZ18*1/2</t>
  </si>
  <si>
    <t>تيه مخالف حديد مزيبق 1*1 1/4 AFL</t>
  </si>
  <si>
    <t>PEXKN18*1/2</t>
  </si>
  <si>
    <t>تيه مخالف حديد مزيبق 1*1 1/4 HE</t>
  </si>
  <si>
    <t>PEXKS18*1/2</t>
  </si>
  <si>
    <t>تيه مخالف حديد مزيبق 1*2 AFL</t>
  </si>
  <si>
    <t>PEXKZ18*1/2</t>
  </si>
  <si>
    <t>تيه مخالف حديد مزيبق 1*2 HE</t>
  </si>
  <si>
    <t>PEXTN18*1/2*18</t>
  </si>
  <si>
    <t>تيه مخالف حديد مزيبق 1/2*1 AFL</t>
  </si>
  <si>
    <t>PEXRD18*18</t>
  </si>
  <si>
    <t>تيه مخالف حديد مزيبق 1/2*1 HE</t>
  </si>
  <si>
    <t>PEXKD18*18</t>
  </si>
  <si>
    <t>تيه مخالف حديد مزيبق 1/2*2 AFL</t>
  </si>
  <si>
    <t>DER-16*3.9</t>
  </si>
  <si>
    <t>تيه مخالف حديد مزيبق 1/2*2 HE</t>
  </si>
  <si>
    <t>شركة ابراهيم الطبش- يورو</t>
  </si>
  <si>
    <t>PVCETFZ160</t>
  </si>
  <si>
    <t>تيه مخالف حديد مزيبق 1/2*3/4 AFL</t>
  </si>
  <si>
    <t>PVCETYZ160</t>
  </si>
  <si>
    <t>تيه مخالف حديد مزيبق 1/2*3/4 HE</t>
  </si>
  <si>
    <t>RB160</t>
  </si>
  <si>
    <t>تيه مخالف حديد مزيبق 2 1/2*3 AFL</t>
  </si>
  <si>
    <t>PVCES160</t>
  </si>
  <si>
    <t>تيه مخالف حديد مزيبق 2 1/2*3 HE</t>
  </si>
  <si>
    <t>SMR160</t>
  </si>
  <si>
    <t>تيه مخالف حديد مزيبق 2*3 AFL</t>
  </si>
  <si>
    <t>PVCEKB160</t>
  </si>
  <si>
    <t>تيه مخالف حديد مزيبق 2*3 HE</t>
  </si>
  <si>
    <t>PVCEKZZ160</t>
  </si>
  <si>
    <t>تيه مخالف حديد مزيبق 2*4 AFL</t>
  </si>
  <si>
    <t>PVCEKFN160</t>
  </si>
  <si>
    <t>تيه مخالف حديد مزيبق 2*4 HE</t>
  </si>
  <si>
    <t>PVCEKFZ160</t>
  </si>
  <si>
    <t>تيه مخالف حديد مزيبق 3/4*1 AFL</t>
  </si>
  <si>
    <t>PVCEW160</t>
  </si>
  <si>
    <t>تيه مخالف حديد مزيبق 3/4*1 HE</t>
  </si>
  <si>
    <t>PVCETYM160*110</t>
  </si>
  <si>
    <t>تيه مخالف حديد مزيبق 3/4*2 AFL</t>
  </si>
  <si>
    <t>PVCEWM160*110</t>
  </si>
  <si>
    <t>تيه مخالف حديد مزيبق 3/4*2 HE</t>
  </si>
  <si>
    <t>PVCERB160*110*75</t>
  </si>
  <si>
    <t>جرن مجلى صناعي 60*45</t>
  </si>
  <si>
    <t>PVCEWM160*125</t>
  </si>
  <si>
    <t>جرن مجلى صناعي 70*50</t>
  </si>
  <si>
    <t>RESHE-6*160</t>
  </si>
  <si>
    <t>جرن مجلى صناعي 80*50</t>
  </si>
  <si>
    <t>PVCEWM160*75</t>
  </si>
  <si>
    <t>جرن مجلى غميق 50*40</t>
  </si>
  <si>
    <t>PEXTD18*18*18</t>
  </si>
  <si>
    <t>حبل غسيل ملبس 1 كغ</t>
  </si>
  <si>
    <t>A-249B</t>
  </si>
  <si>
    <t>حجر 10 سم</t>
  </si>
  <si>
    <t>GARRZN</t>
  </si>
  <si>
    <t>حجر 12 سم</t>
  </si>
  <si>
    <t>GARRN S</t>
  </si>
  <si>
    <t>حجر 15 سم</t>
  </si>
  <si>
    <t>حجر 20 سم</t>
  </si>
  <si>
    <t>حجر 6 سم</t>
  </si>
  <si>
    <t>حجر 8 سم</t>
  </si>
  <si>
    <t>PEXRN18*3/4</t>
  </si>
  <si>
    <t>حراق 40 سم MALI</t>
  </si>
  <si>
    <t>PEXRZ18*3/4</t>
  </si>
  <si>
    <t>حمالة صابون 15*7.5 ابيض</t>
  </si>
  <si>
    <t>RB2 1/2</t>
  </si>
  <si>
    <t>حمالة صابون 15*7.5 عاج</t>
  </si>
  <si>
    <t>PVCTFB2</t>
  </si>
  <si>
    <t>حنفية شك كبس 1/2 NEW</t>
  </si>
  <si>
    <t>PVCTYB2</t>
  </si>
  <si>
    <t>حنفية غسالة CRYSTAL</t>
  </si>
  <si>
    <t>GH2</t>
  </si>
  <si>
    <t>حنفية غلة بلاستيك 1/2 مسكة اورنج</t>
  </si>
  <si>
    <t>RB2</t>
  </si>
  <si>
    <t>حنفية غلة بلاستيك قصير 1/2</t>
  </si>
  <si>
    <t>PVCSBB2</t>
  </si>
  <si>
    <t>حنفية فيتاس قصيرة تركي</t>
  </si>
  <si>
    <t>PVCSPB2</t>
  </si>
  <si>
    <t>حنفية لوكس برم عنق طويل بريمكس BREMIX</t>
  </si>
  <si>
    <t>PVCSPBQ2</t>
  </si>
  <si>
    <t>حنفية لوكس برم عنق طويل سينيور SENIOR</t>
  </si>
  <si>
    <t>PVCKB2</t>
  </si>
  <si>
    <t>حنفية مجلى حائط برم تركي بريفا BRIVA</t>
  </si>
  <si>
    <t>PVCKZB2</t>
  </si>
  <si>
    <t>حنفية مجلى حائط برم توليدو TOLIDO 1014</t>
  </si>
  <si>
    <t>RESHE-18*260</t>
  </si>
  <si>
    <t>حنفية مجلى حائط برم متحركة بلاستيك</t>
  </si>
  <si>
    <t>PVCKFB2</t>
  </si>
  <si>
    <t>حنفية مجلى حائط فيتاس تركي بريفا BRIVA</t>
  </si>
  <si>
    <t>PVCKTB2</t>
  </si>
  <si>
    <t>حنفية مجلى شك برم تركي بريفا BRIVA</t>
  </si>
  <si>
    <t>BKDOUSH180*150</t>
  </si>
  <si>
    <t>حنفية مجلى شك فيتاس تركي بريفا BRIVA</t>
  </si>
  <si>
    <t>BKDOUSH180*155</t>
  </si>
  <si>
    <t>خزان ما بلاستيك ميوركس مستطيل 300 لتر</t>
  </si>
  <si>
    <t>BKDOUSH180*170</t>
  </si>
  <si>
    <t>خزان ماء بلاستيك سومو بطح 400 لتر</t>
  </si>
  <si>
    <t>BKDOUSH180*175</t>
  </si>
  <si>
    <t>خزان ماء بلاستيك سومو تابوت 500 لتر</t>
  </si>
  <si>
    <t>PVCWB2</t>
  </si>
  <si>
    <t>خزان ماء بلاستيك سومو صهريج 1000 لتر</t>
  </si>
  <si>
    <t>PVCD2 1/2</t>
  </si>
  <si>
    <t>خزان ماء بلاستيك سومو صهريج 2000 لتر</t>
  </si>
  <si>
    <t>SQ2 1/2</t>
  </si>
  <si>
    <t>خزان ماء بلاستيك سومو صهريج 400 لتر</t>
  </si>
  <si>
    <t>PVC2*1 1/2</t>
  </si>
  <si>
    <t>خزان ماء بلاستيك سومو مازوت 2000 لتر</t>
  </si>
  <si>
    <t>PVCKMB2*1 1/4</t>
  </si>
  <si>
    <t>خزان ماء بلاستيك سومو مبروم 100 لتر</t>
  </si>
  <si>
    <t>ZRBT2</t>
  </si>
  <si>
    <t>خزان ماء بلاستيك سومو مبروم 1000 لتر HD</t>
  </si>
  <si>
    <t>PVCTSB2</t>
  </si>
  <si>
    <t>خزان ماء بلاستيك سومو مبروم 10000 لتر</t>
  </si>
  <si>
    <t>HEWM2*11/4.</t>
  </si>
  <si>
    <t>خزان ماء بلاستيك سومو مبروم 1500 لتر</t>
  </si>
  <si>
    <t>HEWM2*3</t>
  </si>
  <si>
    <t>خزان ماء بلاستيك سومو مبروم 2000 لتر HD</t>
  </si>
  <si>
    <t>ZRBRN2</t>
  </si>
  <si>
    <t>خزان ماء بلاستيك سومو مبروم 3 طبقات 1000 لتر</t>
  </si>
  <si>
    <t>RK2</t>
  </si>
  <si>
    <t>خزان ماء بلاستيك سومو مبروم 3 طبقات 2000 لتر</t>
  </si>
  <si>
    <t>ZRBRZ2</t>
  </si>
  <si>
    <t>خزان ماء بلاستيك سومو مبروم 300 لتر</t>
  </si>
  <si>
    <t>RA2</t>
  </si>
  <si>
    <t>خزان ماء بلاستيك سومو مبروم 3000 لتر</t>
  </si>
  <si>
    <t>PVCSSB2*5</t>
  </si>
  <si>
    <t>خزان ماء بلاستيك سومو مبروم 4000 لتر</t>
  </si>
  <si>
    <t>SG2</t>
  </si>
  <si>
    <t>خزان ماء بلاستيك سومو مبروم 500 لتر</t>
  </si>
  <si>
    <t>SQ2</t>
  </si>
  <si>
    <t>خزان ماء بلاستيك سومو مبروم 60 لتر</t>
  </si>
  <si>
    <t>SQI2</t>
  </si>
  <si>
    <t>خزان ماء بلاستيك سومو مبروم بطح 2000 لتر</t>
  </si>
  <si>
    <t>PEXA20</t>
  </si>
  <si>
    <t>خزان ماء بلاستيك سومو مبروم طويل 1000 لتر</t>
  </si>
  <si>
    <t>PPRSN20</t>
  </si>
  <si>
    <t>خزان ماء بلاستيك سومو مستطيل 300 لتر</t>
  </si>
  <si>
    <t>SK2</t>
  </si>
  <si>
    <t>خزان ماء بلاستيك ميوركس مبروم 1000 لتر</t>
  </si>
  <si>
    <t>SKM2</t>
  </si>
  <si>
    <t>خزان ماء بلاستيك ميوركس مبروم 2000 لتر</t>
  </si>
  <si>
    <t>SMR2</t>
  </si>
  <si>
    <t>خزان ماء بلاستيك نصار بطح 400 لتر</t>
  </si>
  <si>
    <t>TI2</t>
  </si>
  <si>
    <t>خزان ماء بلاستيك نصار صهريج 1000 لتر</t>
  </si>
  <si>
    <t>PPRSQ20</t>
  </si>
  <si>
    <t>خزان ماء بلاستيك نصار صهريج 200 لتر</t>
  </si>
  <si>
    <t>KHTS2</t>
  </si>
  <si>
    <t>خزان ماء بلاستيك نصار صهريج 2000 لتر</t>
  </si>
  <si>
    <t>INTER PLAST انتر بلاست</t>
  </si>
  <si>
    <t>KHSS2</t>
  </si>
  <si>
    <t>خزان ماء بلاستيك نصار صهريج 3 طبقات 1000 لتر</t>
  </si>
  <si>
    <t>شركة ابناء منير النقوزي</t>
  </si>
  <si>
    <t>ZRBK2"</t>
  </si>
  <si>
    <t>خزان ماء بلاستيك نصار صهريج 400 لتر</t>
  </si>
  <si>
    <t>PPRDJ20</t>
  </si>
  <si>
    <t>خزان ماء بلاستيك نصار صهريج 500 لتر</t>
  </si>
  <si>
    <t>PPRQW20</t>
  </si>
  <si>
    <t>خزان ماء بلاستيك نصار طويل 3 طبقات 1000 لتر</t>
  </si>
  <si>
    <t>ZRBK2</t>
  </si>
  <si>
    <t>خزان ماء بلاستيك نصار مبروم 100 لتر</t>
  </si>
  <si>
    <t>ZR 20KT</t>
  </si>
  <si>
    <t>خزان ماء بلاستيك نصار مبروم 1000 لتر</t>
  </si>
  <si>
    <t>ZRBNB2</t>
  </si>
  <si>
    <t>خزان ماء بلاستيك نصار مبروم 10000 لتر</t>
  </si>
  <si>
    <t>KLBS20</t>
  </si>
  <si>
    <t>خزان ماء بلاستيك نصار مبروم 2000 لتر</t>
  </si>
  <si>
    <t>ZRBWD2</t>
  </si>
  <si>
    <t>خزان ماء بلاستيك نصار مبروم 20000 لتر</t>
  </si>
  <si>
    <t>PVCWMB2</t>
  </si>
  <si>
    <t>خزان ماء بلاستيك نصار مبروم 2500 لتر</t>
  </si>
  <si>
    <t>ZRB -20</t>
  </si>
  <si>
    <t>خزان ماء بلاستيك نصار مبروم 3 طبقات 1000 لتر</t>
  </si>
  <si>
    <t>PPRKZ20</t>
  </si>
  <si>
    <t>خزان ماء بلاستيك نصار مبروم 3 طبقات 2000 لتر</t>
  </si>
  <si>
    <t>PPRWBZ20*1/2</t>
  </si>
  <si>
    <t>خزان ماء بلاستيك نصار مبروم 3 طبقات 300 لتر</t>
  </si>
  <si>
    <t>PPRTBN20*1/2</t>
  </si>
  <si>
    <t>خزان ماء بلاستيك نصار مبروم 3 طبقات 3000 لتر</t>
  </si>
  <si>
    <t>HEWM2*4</t>
  </si>
  <si>
    <t>خزان ماء بلاستيك نصار مبروم 3 طبقات 4000 لتر</t>
  </si>
  <si>
    <t>PPRQWN20*1/2</t>
  </si>
  <si>
    <t>خزان ماء بلاستيك نصار مبروم 3 طبقات 500 لتر</t>
  </si>
  <si>
    <t>ZRBRZ2*63</t>
  </si>
  <si>
    <t>خزان ماء بلاستيك نصار مبروم 300 لتر</t>
  </si>
  <si>
    <t>ZRBK2*63</t>
  </si>
  <si>
    <t>خزان ماء بلاستيك نصار مبروم 500 لتر</t>
  </si>
  <si>
    <t>ZRBK2*63-T</t>
  </si>
  <si>
    <t>خزان ماء بلاستيك نصار مبروم 6000 لتر</t>
  </si>
  <si>
    <t>PPRQWZ20*1/2</t>
  </si>
  <si>
    <t>خزان ماء بلاستيك نصار مستطيل 1350 لتر</t>
  </si>
  <si>
    <t>PVCDT20</t>
  </si>
  <si>
    <t>خزانة انكستريه 40 سم ابيض بريفا BRIVA PA 2503</t>
  </si>
  <si>
    <t>PPRGT20</t>
  </si>
  <si>
    <t>خزانة انكستريه 40 سم ابيض ناشف بريفا BRIVA PA 2503</t>
  </si>
  <si>
    <t>PPRG</t>
  </si>
  <si>
    <t>PPRKBN20*1/2</t>
  </si>
  <si>
    <t>خزانة انكستريه 40 سم احمربريفا BRIVA PA 2503</t>
  </si>
  <si>
    <t>PPRGSN20</t>
  </si>
  <si>
    <t>خزانة انكستريه 60 سم ابيض بريفا BRIVA PA 2501</t>
  </si>
  <si>
    <t>PVCDSG20</t>
  </si>
  <si>
    <t>خزانة انكستريه 60 سم ابيض بريفا BRIVA PA 2505</t>
  </si>
  <si>
    <t>PPRKBNS20*1/2</t>
  </si>
  <si>
    <t>خزانة انكستريه 60 سم ابيض بريفا BRIVA PA 2507</t>
  </si>
  <si>
    <t>PPRGSG20</t>
  </si>
  <si>
    <t>خزانة انكستريه 60 سم ابيض+احمر بريفا BRIVA PA 2505</t>
  </si>
  <si>
    <t>ZRBSZ20</t>
  </si>
  <si>
    <t>خزانة انكستريه 60 سم ابيض+اسود بريفا BRIVA PA 2505</t>
  </si>
  <si>
    <t>PPRKBZ20*1/2</t>
  </si>
  <si>
    <t>خزانة انكستريه 60 سم خشبي احمر بريفا BRIVA PA 2504</t>
  </si>
  <si>
    <t>PPRGDJ20</t>
  </si>
  <si>
    <t>خزانة انكستريه 60 سم خشبي احمر بريفا BRIVA PA 2507</t>
  </si>
  <si>
    <t>PVCDK20</t>
  </si>
  <si>
    <t>خزانة انكستريه 60 سم خشبي بريفا BRIVA PA 2501</t>
  </si>
  <si>
    <t>JM20*20</t>
  </si>
  <si>
    <t>خزانة انكستريه 60 سم خشبي بريفا BRIVA PA 2504</t>
  </si>
  <si>
    <t>MP20*20-T</t>
  </si>
  <si>
    <t>خزانة انكستريه 60 سم خشبي بريفا BRIVA PA 2507</t>
  </si>
  <si>
    <t>GHR20*20B</t>
  </si>
  <si>
    <t>خزانة انكستريه 60 سم رمادي بريفا BRIVA PA 2501</t>
  </si>
  <si>
    <t>PVCDKZ20</t>
  </si>
  <si>
    <t>خزانة انكستريه 60 سم رمادي غامق بريفا BRIVA PA 2504</t>
  </si>
  <si>
    <t>PVCDKZ20-T</t>
  </si>
  <si>
    <t>خزانة انكستريه 80 سم ابيض بريفا BRIVA PA 2501</t>
  </si>
  <si>
    <t>ZRBK20</t>
  </si>
  <si>
    <t>خزانة انكستريه 80 سم ابيض بريفا BRIVA PA 2508</t>
  </si>
  <si>
    <t>MPW20*20</t>
  </si>
  <si>
    <t>خزانة انكستريه 80 سم اسود بريفا BRIVA PA 2508</t>
  </si>
  <si>
    <t>PPRGKZ20</t>
  </si>
  <si>
    <t>خزانة انكستريه 80 سم بني غامق بريفا BRIVA PA 2502</t>
  </si>
  <si>
    <t>PPRGKF20</t>
  </si>
  <si>
    <t>خزانة انكستريه 80 سم خشبي احمر بريفا BRIVA PA 2501</t>
  </si>
  <si>
    <t>NB20</t>
  </si>
  <si>
    <t>خزانة انكستريه 80 سم خشبي احمر بريفا BRIVA PA 2506</t>
  </si>
  <si>
    <t>السيد ايلي مجدلاني المحترم</t>
  </si>
  <si>
    <t>NM20</t>
  </si>
  <si>
    <t>خزانة انكستريه 80 سم خشبي بريفا BRIVA PA 2501</t>
  </si>
  <si>
    <t>PVCDW20</t>
  </si>
  <si>
    <t>خزانة انكستريه 80 سم رمادي بريفا BRIVA PA 2501</t>
  </si>
  <si>
    <t>PPRGW20</t>
  </si>
  <si>
    <t>خزانة انكستريه 80 سم رمادي بريفا BRIVA PA 2508</t>
  </si>
  <si>
    <t>MPM20*20</t>
  </si>
  <si>
    <t>خزانة انكستريه تعليق 60 سم ابيض وطني</t>
  </si>
  <si>
    <t>PEXTN20*1/2</t>
  </si>
  <si>
    <t>خلاط بيديه فيتاس تركي</t>
  </si>
  <si>
    <t>MPS20*20</t>
  </si>
  <si>
    <t>خلاط بيديه فيتاس غروهي يوروسمارت</t>
  </si>
  <si>
    <t>PPRGTBN20*1/2</t>
  </si>
  <si>
    <t>خلاط بيديه فيتاس فيوري</t>
  </si>
  <si>
    <t>PEXRN20*1/2</t>
  </si>
  <si>
    <t>خلاط بيديه فيتاس ويبرت</t>
  </si>
  <si>
    <t>PEXRZ20*1/2</t>
  </si>
  <si>
    <t>خلاط بيديه كلاسيك تركي</t>
  </si>
  <si>
    <t>ZRBT1/2</t>
  </si>
  <si>
    <t>خلاط بيديه كلاسيك فيوري</t>
  </si>
  <si>
    <t>PPRGQWN20*1/2</t>
  </si>
  <si>
    <t>خلاط بيديه كلاسيك ويبرت</t>
  </si>
  <si>
    <t>ND200</t>
  </si>
  <si>
    <t>خلاط دوش برم بلاستيك مرخم</t>
  </si>
  <si>
    <t>RSS2000</t>
  </si>
  <si>
    <t>خلاط دوش برم توليدو TOLIDO 1012</t>
  </si>
  <si>
    <t>PPRGKBN20*1/2</t>
  </si>
  <si>
    <t>خلاط دوش فيتاس اسود افجيلار AVGILAR</t>
  </si>
  <si>
    <t>ZRBNB1</t>
  </si>
  <si>
    <t xml:space="preserve">خلاط دوش فيتاس بلاستيك </t>
  </si>
  <si>
    <t>PPRGKBNS20*1/2</t>
  </si>
  <si>
    <t>خلاط دوش فيتاس تركيAVGILAR</t>
  </si>
  <si>
    <t>ZRBNB1-16</t>
  </si>
  <si>
    <t>خلاط دوش فيتاس غروهي صيني Z</t>
  </si>
  <si>
    <t>PPRGKBZ20*1/2</t>
  </si>
  <si>
    <t>خلاط دوش فيتاس غروهي يوروسمارت</t>
  </si>
  <si>
    <t>PEXKS20*1/2</t>
  </si>
  <si>
    <t>خلاط دوش فيتاس فيوري</t>
  </si>
  <si>
    <t>PPRWBN20*1/2</t>
  </si>
  <si>
    <t>خلاط دوش فيتاس مرخم</t>
  </si>
  <si>
    <t>PPRGWBN20*1/2</t>
  </si>
  <si>
    <t>خلاط دوش فيتاس نحاس صيني</t>
  </si>
  <si>
    <t>PPRGWBZ20*1/2</t>
  </si>
  <si>
    <t>خلاط دوش فيتاس ويبرت</t>
  </si>
  <si>
    <t>ZRB20*1/2</t>
  </si>
  <si>
    <t>خلاط دوش كلاسيك تركي</t>
  </si>
  <si>
    <t>PVCDWE20*1/2</t>
  </si>
  <si>
    <t>خلاط دوش كلاسيك فيوري</t>
  </si>
  <si>
    <t>PVCDWZ20*1/2</t>
  </si>
  <si>
    <t>خلاط دوش كلاسيك ويبرت</t>
  </si>
  <si>
    <t>MOTRDAB1.36</t>
  </si>
  <si>
    <t>خلاط شطافة فيتاس داملا DAMLA</t>
  </si>
  <si>
    <t>DAB</t>
  </si>
  <si>
    <t>PEXRD20*20</t>
  </si>
  <si>
    <t>خلاط مجلى حائط برم LCP</t>
  </si>
  <si>
    <t>MOTRLEO1/2</t>
  </si>
  <si>
    <t>خلاط مجلى حائط برم بلاستيك</t>
  </si>
  <si>
    <t>LEO</t>
  </si>
  <si>
    <t>MOTRLEO3/4</t>
  </si>
  <si>
    <t>خلاط مجلى حائط برم توليدو TOLIDO 1011</t>
  </si>
  <si>
    <t>GHR20*20</t>
  </si>
  <si>
    <t>خلاط مجلى حائط فيتاس بلاستيك</t>
  </si>
  <si>
    <t>PEXKD20*20</t>
  </si>
  <si>
    <t>خلاط مجلى حائط فيتاس تركي</t>
  </si>
  <si>
    <t>MOTRLEO1</t>
  </si>
  <si>
    <t>خلاط مجلى حائط فيتاس غروهي صيني</t>
  </si>
  <si>
    <t>TB 1/2 G</t>
  </si>
  <si>
    <t>خلاط مجلى حائط فيتاس غروهي يوروسمارت</t>
  </si>
  <si>
    <t>ND1</t>
  </si>
  <si>
    <t>خلاط مجلى حائط فيتاس فيوري</t>
  </si>
  <si>
    <t>PVCTFB1</t>
  </si>
  <si>
    <t>خلاط مجلى حائط فيتاس ويبرت</t>
  </si>
  <si>
    <t>PEXTD20*20*20</t>
  </si>
  <si>
    <t>خلاط مجلى حائط كلاسيك تركي</t>
  </si>
  <si>
    <t>SQ1</t>
  </si>
  <si>
    <t>خلاط مجلى حائط كلاسيك فيوري</t>
  </si>
  <si>
    <t>ZRBWD25*20</t>
  </si>
  <si>
    <t>خلاط مجلى حائط كلاسيك ويبرت</t>
  </si>
  <si>
    <t>PEXRN20*3/4</t>
  </si>
  <si>
    <t>خلاط مجلى شك برم بلاستيك</t>
  </si>
  <si>
    <t>PEXRZ20*3/4</t>
  </si>
  <si>
    <t>خلاط مجلى شك سحب فيوري</t>
  </si>
  <si>
    <t>PEXKN20*3/4</t>
  </si>
  <si>
    <t>خلاط مجلى شك عنق عالي فيوري</t>
  </si>
  <si>
    <t>RESHE-20*310</t>
  </si>
  <si>
    <t>خلاط مجلى شك فيتاس ايراني بريميرا PRIMERA</t>
  </si>
  <si>
    <t>NTGS200</t>
  </si>
  <si>
    <t>خلاط مجلى شك فيتاس بلاستيك مرخم</t>
  </si>
  <si>
    <t>RB200</t>
  </si>
  <si>
    <t>خلاط مجلى شك فيتاس تركي</t>
  </si>
  <si>
    <t>عبد الاحد غير رسمي*</t>
  </si>
  <si>
    <t>PVCES200</t>
  </si>
  <si>
    <t>خلاط مجلى شك فيتاس غروهي يوروسمارت</t>
  </si>
  <si>
    <t>SMR200</t>
  </si>
  <si>
    <t>خلاط مجلى شك فيتاس فيوري</t>
  </si>
  <si>
    <t>PVCEKB200</t>
  </si>
  <si>
    <t>خلاط مجلى شك فيتاس هانس تركي HANS</t>
  </si>
  <si>
    <t>PORSLNQ200</t>
  </si>
  <si>
    <t>خلاط مجلى شك فيتاس ويبرت</t>
  </si>
  <si>
    <t>SHFJQ200</t>
  </si>
  <si>
    <t>خلاط مجلى شك كلاسيك تركي</t>
  </si>
  <si>
    <t>PVCEKFZ200</t>
  </si>
  <si>
    <t>خلاط مجلى شك كلاسيك فيوري</t>
  </si>
  <si>
    <t>L200M</t>
  </si>
  <si>
    <t>خلاط مجلى شك كلاسيك ويبرت</t>
  </si>
  <si>
    <t>SK1</t>
  </si>
  <si>
    <t>خلاط مجلى شك مع شرب فيوري</t>
  </si>
  <si>
    <t>PVCEW200</t>
  </si>
  <si>
    <t>خلاط مغسلة برم بلاستيك</t>
  </si>
  <si>
    <t>PVCEWM200*110</t>
  </si>
  <si>
    <t>خلاط مغسلة ظاهر ثقبين برم توليدو TOLIDO 1015</t>
  </si>
  <si>
    <t>PVCEWM200*160</t>
  </si>
  <si>
    <t>خلاط مغسلة فيتاس بريفا BRIVA 502</t>
  </si>
  <si>
    <t>NTGS2000</t>
  </si>
  <si>
    <t>خلاط مغسلة فيتاس بلاستيك</t>
  </si>
  <si>
    <t>KHZOMT2000</t>
  </si>
  <si>
    <t>خلاط مغسلة فيتاس تركي</t>
  </si>
  <si>
    <t>KHZSS2000</t>
  </si>
  <si>
    <t>خلاط مغسلة فيتاس غروهي صيني</t>
  </si>
  <si>
    <t>KHZSMZ2000</t>
  </si>
  <si>
    <t>خلاط مغسلة فيتاس غروهي صيني Z</t>
  </si>
  <si>
    <t>KHZSM2000</t>
  </si>
  <si>
    <t>خلاط مغسلة فيتاس غروهي يوروسمارت</t>
  </si>
  <si>
    <t>KHZSM2000T3</t>
  </si>
  <si>
    <t>خلاط مغسلة فيتاس فيوري</t>
  </si>
  <si>
    <t>KHZSB2000</t>
  </si>
  <si>
    <t>خلاط مغسلة فيتاس نحاس صيني</t>
  </si>
  <si>
    <t>NTGM2000</t>
  </si>
  <si>
    <t>خلاط مغسلة فيتاس ويبرت</t>
  </si>
  <si>
    <t>NTGM3L2000</t>
  </si>
  <si>
    <t>خلاط مغسلة كلاسيك تركي</t>
  </si>
  <si>
    <t>TI1</t>
  </si>
  <si>
    <t>خلاط مغسلة كلاسيك فيوري</t>
  </si>
  <si>
    <t>NTGM20000</t>
  </si>
  <si>
    <t>خلاط مغسلة كلاسيك ويبرت</t>
  </si>
  <si>
    <t>RESHE-12*210</t>
  </si>
  <si>
    <t>خلاط مغسلة مونو برم LCP</t>
  </si>
  <si>
    <t>RESHE-16*210</t>
  </si>
  <si>
    <t>خلاط مغسلة مونو برم ايراني كهرمان KAHARMAN</t>
  </si>
  <si>
    <t>RESHE-18*210</t>
  </si>
  <si>
    <t>خلاط مغسلة مونو برم تركي AVGILAR</t>
  </si>
  <si>
    <t>3Y5P0106</t>
  </si>
  <si>
    <t>خلاط مغسلة مونو برم تركي OZELIS</t>
  </si>
  <si>
    <t>البواب</t>
  </si>
  <si>
    <t>COP22</t>
  </si>
  <si>
    <t>خلاط مغسلة مونو برم توليدو TOLIDO 1013</t>
  </si>
  <si>
    <t>جوزيف حجار</t>
  </si>
  <si>
    <t>KB22</t>
  </si>
  <si>
    <t>خلاط مغسلة مونو برم ثابت AZR</t>
  </si>
  <si>
    <t>B114</t>
  </si>
  <si>
    <t>داخون 5" 1.5 م</t>
  </si>
  <si>
    <t>YARA</t>
  </si>
  <si>
    <t>داخون 5" 3 م</t>
  </si>
  <si>
    <t>M22*22</t>
  </si>
  <si>
    <t>راس صباب كبس 1 1/4 بافاريا BAVARYA</t>
  </si>
  <si>
    <t>GRM23325</t>
  </si>
  <si>
    <t>راس صباب كبس 1 1/4 ستانلس</t>
  </si>
  <si>
    <t>B23335</t>
  </si>
  <si>
    <t>ردياتير شوفاج 10 شفرات ايطالي شيمن بلو SHEMIN BLUE</t>
  </si>
  <si>
    <t>RESHE-24*310</t>
  </si>
  <si>
    <t>ردياتير منشفة ابيض 120*50</t>
  </si>
  <si>
    <t>PEXA25</t>
  </si>
  <si>
    <t>ردياتير منشفة ابيض 80*50</t>
  </si>
  <si>
    <t>خالد زين</t>
  </si>
  <si>
    <t>PVCDT25</t>
  </si>
  <si>
    <t>رف 50سم ابيض</t>
  </si>
  <si>
    <t>PPRT25</t>
  </si>
  <si>
    <t>رف 50سم بيج</t>
  </si>
  <si>
    <t>PPRGT25</t>
  </si>
  <si>
    <t>رف 50سم عاج</t>
  </si>
  <si>
    <t>PPRSN25</t>
  </si>
  <si>
    <t>رف 50سم ملون</t>
  </si>
  <si>
    <t>PPRSG25</t>
  </si>
  <si>
    <t>رف 60سم ابيض</t>
  </si>
  <si>
    <t>PPRSQ25</t>
  </si>
  <si>
    <t>رف 60سم بيج</t>
  </si>
  <si>
    <t>PPRGSG25</t>
  </si>
  <si>
    <t>رف 60سم عاج</t>
  </si>
  <si>
    <t>ZRBSZ25</t>
  </si>
  <si>
    <t>رف 60سم ملون</t>
  </si>
  <si>
    <t>PPRDJ25</t>
  </si>
  <si>
    <t>رف 70سم ابيض</t>
  </si>
  <si>
    <t>PPRGDJ25</t>
  </si>
  <si>
    <t>رف 70سم بيج</t>
  </si>
  <si>
    <t>PPRGKA25</t>
  </si>
  <si>
    <t>رف 70سم عاج</t>
  </si>
  <si>
    <t>PVCDK25</t>
  </si>
  <si>
    <t>رف 70سم ملون</t>
  </si>
  <si>
    <t>PPRGK25</t>
  </si>
  <si>
    <t>رف بلاستيك 50 سم</t>
  </si>
  <si>
    <t>PVCDQW25</t>
  </si>
  <si>
    <t>ركور انتاية 20*1/2 زراعي</t>
  </si>
  <si>
    <t>PPRQW25</t>
  </si>
  <si>
    <t>ركور انتاية 25*3/4 زراعي</t>
  </si>
  <si>
    <t>PPRGQW25</t>
  </si>
  <si>
    <t>ركور انتاية 32*1 زراعي</t>
  </si>
  <si>
    <t>ZR 25KT</t>
  </si>
  <si>
    <t>ركور انتاية 40*1 1/4 زراعي</t>
  </si>
  <si>
    <t>PVCDKZ25</t>
  </si>
  <si>
    <t>ركور انتاية 50*1 1/2 زراعي</t>
  </si>
  <si>
    <t>PVCDKF25</t>
  </si>
  <si>
    <t>ركور انتاية 63*2 زراعي</t>
  </si>
  <si>
    <t>PPRKZ25</t>
  </si>
  <si>
    <t>ركور انتاية كروم 16*1/2</t>
  </si>
  <si>
    <t>PPRGKZ25</t>
  </si>
  <si>
    <t>ركور انتاية كروم 18*1/2</t>
  </si>
  <si>
    <t>PPRKF25</t>
  </si>
  <si>
    <t>ركور انتاية كروم 18*3/4</t>
  </si>
  <si>
    <t>PPRGKF25</t>
  </si>
  <si>
    <t>ركور انتاية كروم 20*1/2</t>
  </si>
  <si>
    <t>PVCDW25</t>
  </si>
  <si>
    <t>ركور انتاية كروم 20*3/4</t>
  </si>
  <si>
    <t>PPRW25</t>
  </si>
  <si>
    <t>ركور انتاية كروم 25*3/4</t>
  </si>
  <si>
    <t>PPRGW25</t>
  </si>
  <si>
    <t>ركور انتاية كروم 26*1</t>
  </si>
  <si>
    <t>PPRTBN25*1/2</t>
  </si>
  <si>
    <t>ركور انتاية كروم 26*3/4</t>
  </si>
  <si>
    <t>PPRGTBN25*1/2</t>
  </si>
  <si>
    <t>ركور انتاية كروم 32*1</t>
  </si>
  <si>
    <t>PPRTBZ25*1/2</t>
  </si>
  <si>
    <t>ركور دوبل 20*20 زراعي</t>
  </si>
  <si>
    <t>PPRKBN25*1/2</t>
  </si>
  <si>
    <t>ركور دوبل 25*25 زراعي</t>
  </si>
  <si>
    <t>PPRGKBN25*1/2</t>
  </si>
  <si>
    <t>ركور دوبل 32*32 زراعي</t>
  </si>
  <si>
    <t>PPRKBNS25*1/2</t>
  </si>
  <si>
    <t>ركور دوبل 40*40 زراعي</t>
  </si>
  <si>
    <t>PPRGKBNS25*1/2</t>
  </si>
  <si>
    <t>ركور دوبل 50*50 زراعي</t>
  </si>
  <si>
    <t>PPRKBZ25*1/2</t>
  </si>
  <si>
    <t>ركور دوبل 63*63 زراعي</t>
  </si>
  <si>
    <t>PPRGKBZ25*1/2</t>
  </si>
  <si>
    <t>ركور دوبل كروم 16*16</t>
  </si>
  <si>
    <t>PPRKBCS25*1/2</t>
  </si>
  <si>
    <t>ركور دوبل كروم 18*18</t>
  </si>
  <si>
    <t>PPRWBN25*1/2</t>
  </si>
  <si>
    <t>ركور دوبل كروم 20*20</t>
  </si>
  <si>
    <t>PPRGWBN25*1/2</t>
  </si>
  <si>
    <t>ركور دوبل كروم 32*32</t>
  </si>
  <si>
    <t>PPRWBZ25*1/2</t>
  </si>
  <si>
    <t>ركور ذكر 20*1/2 زراعي</t>
  </si>
  <si>
    <t>PPRGWBZ25*1/2</t>
  </si>
  <si>
    <t>ركور ذكر 25*3/4 زراعي</t>
  </si>
  <si>
    <t>PPRWM25*20</t>
  </si>
  <si>
    <t>ركور ذكر 32*1 زراعي</t>
  </si>
  <si>
    <t>PPRGWM25*20</t>
  </si>
  <si>
    <t>ركور ذكر 40*1 1/4 زراعي</t>
  </si>
  <si>
    <t>PPRTM25*20*25</t>
  </si>
  <si>
    <t>ركور ذكر 50*1 1/2 زراعي</t>
  </si>
  <si>
    <t>PPRGTM25*20*25</t>
  </si>
  <si>
    <t>ركور ذكر 63*2 زراعي</t>
  </si>
  <si>
    <t>عبد الله عيتاني وشركاه - ايكو يورو</t>
  </si>
  <si>
    <t>PEXKD25*25</t>
  </si>
  <si>
    <t>ركور ذكر كروم 16*1/2</t>
  </si>
  <si>
    <t>ZRBK25*25</t>
  </si>
  <si>
    <t>ركور ذكر كروم 18*1/2</t>
  </si>
  <si>
    <t>PPRTM25*25*20</t>
  </si>
  <si>
    <t>ركور ذكر كروم 18*3/4</t>
  </si>
  <si>
    <t>PEXTD25*25*25</t>
  </si>
  <si>
    <t>ركور ذكر كروم 20*1/2</t>
  </si>
  <si>
    <t>PPRTBN25*3/4</t>
  </si>
  <si>
    <t>ركور ذكر كروم 20*3/4</t>
  </si>
  <si>
    <t>PPRTBZ25*3/4</t>
  </si>
  <si>
    <t>ركور ذكر كروم 25*3/4</t>
  </si>
  <si>
    <t>ZRBRZ3/4ا-</t>
  </si>
  <si>
    <t>ركور ذكر كروم 26*1</t>
  </si>
  <si>
    <t>PEXRN25*3/4</t>
  </si>
  <si>
    <t>ركور ذكر كروم 32*1</t>
  </si>
  <si>
    <t>PPRR25*3/4</t>
  </si>
  <si>
    <t>رولو خرطوشة طرش 9"</t>
  </si>
  <si>
    <t>ZRBRZ3/4</t>
  </si>
  <si>
    <t>ريغار 4*8 بلاستيك</t>
  </si>
  <si>
    <t>PEXRZ25*3/4</t>
  </si>
  <si>
    <t>سدة انتاية حديد اسود 1 1/2 AFLB</t>
  </si>
  <si>
    <t>PPRQWN25*3/4</t>
  </si>
  <si>
    <t>سدة انتاية حديد اسود 1 1/4 AFLB</t>
  </si>
  <si>
    <t>PPRGQWN25*3/4</t>
  </si>
  <si>
    <t>سدة انتاية حديد اسود 1 AFLB</t>
  </si>
  <si>
    <t>PVC25*3/1</t>
  </si>
  <si>
    <t>سدة انتاية حديد اسود 1/2 AFLB</t>
  </si>
  <si>
    <t>PPRQWZ25*3/4</t>
  </si>
  <si>
    <t>سدة انتاية حديد اسود 2 AFLB</t>
  </si>
  <si>
    <t>PPRGQWZ25*3/4</t>
  </si>
  <si>
    <t>سدة انتاية حديد اسود 3 AFLB</t>
  </si>
  <si>
    <t>ZRBK3/4*25</t>
  </si>
  <si>
    <t>سدة انتاية حديد اسود 3/4 AFLB</t>
  </si>
  <si>
    <t>PPRKBN25*3/4</t>
  </si>
  <si>
    <t>سدة انتاية حديد اسود 4 AFLB</t>
  </si>
  <si>
    <t>PPRKBNS25*3/4</t>
  </si>
  <si>
    <t>سدة انتاية حديد مزيبق 1 1/2 AFL</t>
  </si>
  <si>
    <t>PPRKBZ25*3/4</t>
  </si>
  <si>
    <t>سدة انتاية حديد مزيبق 1 1/2 HE</t>
  </si>
  <si>
    <t>PPRGKBZ25*3/4</t>
  </si>
  <si>
    <t>سدة انتاية حديد مزيبق 1 1/4 AFL</t>
  </si>
  <si>
    <t>PPRWBN25*3/4</t>
  </si>
  <si>
    <t>سدة انتاية حديد مزيبق 1 1/4 HE</t>
  </si>
  <si>
    <t>PPRGWBN25*3/4</t>
  </si>
  <si>
    <t>سدة انتاية حديد مزيبق 1 AFL</t>
  </si>
  <si>
    <t>PPRWBZ25*3/4</t>
  </si>
  <si>
    <t>سدة انتاية حديد مزيبق 1 HE</t>
  </si>
  <si>
    <t>PPRGWBZ25*3/4</t>
  </si>
  <si>
    <t>سدة انتاية حديد مزيبق 1/2 AFL</t>
  </si>
  <si>
    <t>ZRB25*3/4</t>
  </si>
  <si>
    <t>سدة انتاية حديد مزيبق 1/2 HE</t>
  </si>
  <si>
    <t>أنس /ابو احمد</t>
  </si>
  <si>
    <t>PVCDWE25*3/4</t>
  </si>
  <si>
    <t>سدة انتاية حديد مزيبق 2 AFL</t>
  </si>
  <si>
    <t>PVCDWZ25*3/4</t>
  </si>
  <si>
    <t>سدة انتاية حديد مزيبق 2 HE</t>
  </si>
  <si>
    <t>PPRTBN25*3/4*25</t>
  </si>
  <si>
    <t>سدة انتاية حديد مزيبق 3 AFL</t>
  </si>
  <si>
    <t>ZRBT3/4*25</t>
  </si>
  <si>
    <t>سدة انتاية حديد مزيبق 3 HE</t>
  </si>
  <si>
    <t>PPTM32*25</t>
  </si>
  <si>
    <t>سدة انتاية حديد مزيبق 3/4 AFL</t>
  </si>
  <si>
    <t>KOKO</t>
  </si>
  <si>
    <t>PVC-250</t>
  </si>
  <si>
    <t>سدة انتاية حديد مزيبق 3/4 HE</t>
  </si>
  <si>
    <t>خير المصري</t>
  </si>
  <si>
    <t>SHFJQ250</t>
  </si>
  <si>
    <t>سدة انتاية حديد مزيبق 4 AFL</t>
  </si>
  <si>
    <t>MSRQM250</t>
  </si>
  <si>
    <t>سدة انتاية حديد مزيبق 4 HE</t>
  </si>
  <si>
    <t>PVCEKFZ250</t>
  </si>
  <si>
    <t>سدة بسن بلاستيك 2</t>
  </si>
  <si>
    <t>داعوق بلاست</t>
  </si>
  <si>
    <t>PVCEW250</t>
  </si>
  <si>
    <t>سدة بسن بلاستيك 2 KOKO</t>
  </si>
  <si>
    <t>NTGM2500</t>
  </si>
  <si>
    <t>سدة بسن بلاستيك 3</t>
  </si>
  <si>
    <t>PEXRN25*1</t>
  </si>
  <si>
    <t>سدة بسن بلاستيك 3 KOKO</t>
  </si>
  <si>
    <t>PEXRZ25*1</t>
  </si>
  <si>
    <t>سدة بسن بلاستيك 4</t>
  </si>
  <si>
    <t>PEXRN26*3/4</t>
  </si>
  <si>
    <t>سدة بسن بلاستيك 4 KOKO</t>
  </si>
  <si>
    <t>RESHE-26*410</t>
  </si>
  <si>
    <t>سدة بسن بلاستيك 5</t>
  </si>
  <si>
    <t>GR-26681</t>
  </si>
  <si>
    <t>سدة بسن بلاستيك 5 KOKO</t>
  </si>
  <si>
    <t>TD-28628 G</t>
  </si>
  <si>
    <t>سدة بسن بلاستيك 6</t>
  </si>
  <si>
    <t>550-36-1</t>
  </si>
  <si>
    <t>سدة بسن بلاستيك 6 KOKO</t>
  </si>
  <si>
    <t>PVCTFB3</t>
  </si>
  <si>
    <t>سدة بسن بلاستيك اوروبي 110 KOKO</t>
  </si>
  <si>
    <t>PVCTYB3</t>
  </si>
  <si>
    <t>سدة بسن بلاستيك اوروبي 125 KOKO</t>
  </si>
  <si>
    <t>PVCTSB3</t>
  </si>
  <si>
    <t>سدة بسن بلاستيك اوروبي 160 KOKO</t>
  </si>
  <si>
    <t>RB3</t>
  </si>
  <si>
    <t>سدة بسن بلاستيك اوروبي 200 KOKO</t>
  </si>
  <si>
    <t>PVCSBB3</t>
  </si>
  <si>
    <t>سدة بسن بلاستيك اوروبي 50 KOKO</t>
  </si>
  <si>
    <t>SQ3</t>
  </si>
  <si>
    <t>سدة بسن بلاستيك اوروبي 75 KOKO</t>
  </si>
  <si>
    <t>PVCSPB3</t>
  </si>
  <si>
    <t>سدة بسن بلاستيك بجوان الماني 110 ملم</t>
  </si>
  <si>
    <t>PVCSPBQ3</t>
  </si>
  <si>
    <t>سدة بسن بلاستيك بجوان الماني 125 ملم</t>
  </si>
  <si>
    <t>PVCKB3</t>
  </si>
  <si>
    <t>سدة بسن بلاستيك بجوان الماني 160 ملم</t>
  </si>
  <si>
    <t>PVCKZB3</t>
  </si>
  <si>
    <t>سدة بسن بلاستيك بجوان الماني 200 ملم</t>
  </si>
  <si>
    <t>PVCKFB3</t>
  </si>
  <si>
    <t>سدة بسن بلاستيك بجوان الماني 50 ملم</t>
  </si>
  <si>
    <t>PVCWB3</t>
  </si>
  <si>
    <t>سدة بسن بلاستيك بجوان الماني 75 ملم</t>
  </si>
  <si>
    <t>ZRBWD3</t>
  </si>
  <si>
    <t>سدة بسن بلاستيك بجوان تركي 110 ملم</t>
  </si>
  <si>
    <t>PVCWMB3</t>
  </si>
  <si>
    <t>سدة بسن بلاستيك بجوان تركي 125 ملم</t>
  </si>
  <si>
    <t>PVCSSB5*3</t>
  </si>
  <si>
    <t>سدة بسن بلاستيك بجوان تركي 160 ملم</t>
  </si>
  <si>
    <t>ZRBNZ3/4 - 16</t>
  </si>
  <si>
    <t>سدة بسن بلاستيك بجوان تركي 200 ملم</t>
  </si>
  <si>
    <t>PVCTFB3/4</t>
  </si>
  <si>
    <t>سدة بسن بلاستيك بجوان تركي 50 ملم</t>
  </si>
  <si>
    <t>ZRNT3/4</t>
  </si>
  <si>
    <t>سدة بسن بلاستيك بجوان تركي 75 ملم</t>
  </si>
  <si>
    <t>ZRBT3/4</t>
  </si>
  <si>
    <t>سدة تلحيم 20 ملم اخضر تركي</t>
  </si>
  <si>
    <t>JLD3/4</t>
  </si>
  <si>
    <t>سدة تلحيم 25 ملم اخضر تركي</t>
  </si>
  <si>
    <t>HQ3/4</t>
  </si>
  <si>
    <t>سدة تلحيم 32 ملم اخضر تركي</t>
  </si>
  <si>
    <t>HQQ3/4</t>
  </si>
  <si>
    <t>سدة تلحيم 40 ملم اخضر تركي</t>
  </si>
  <si>
    <t>RB3/4</t>
  </si>
  <si>
    <t>سدة تلحيم 50 ملم اخضر تركي</t>
  </si>
  <si>
    <t>RBM3/4</t>
  </si>
  <si>
    <t>سدة تلحيم 63 ملم اخضر تركي</t>
  </si>
  <si>
    <t>ZRBRN3/4</t>
  </si>
  <si>
    <t>سدة ذكر تلحيم 20 ملم ابيض تركي</t>
  </si>
  <si>
    <t>ZRNRN3/4</t>
  </si>
  <si>
    <t>سدة ذكر تلحيم 25 ملم ابيض تركي</t>
  </si>
  <si>
    <t>RKRGH3/4</t>
  </si>
  <si>
    <t>سدة ذكر تلحيم 32 ملم ابيض تركي</t>
  </si>
  <si>
    <t>RK3/4</t>
  </si>
  <si>
    <t>سدة ذكر تلحيم 40 ملم ابيض تركي</t>
  </si>
  <si>
    <t>محمد قرمش / حسين</t>
  </si>
  <si>
    <t>CHROMSN3/4</t>
  </si>
  <si>
    <t>سدة ذكر تلحيم 50 ملم ابيض تركي</t>
  </si>
  <si>
    <t>SQE3/4</t>
  </si>
  <si>
    <t>سدة ذكر تلحيم 63 ملم ابيض تركي</t>
  </si>
  <si>
    <t>SG3/4</t>
  </si>
  <si>
    <t>سدة ذكر حديد اسود 1 1/2 AFLB</t>
  </si>
  <si>
    <t>SKR3/4</t>
  </si>
  <si>
    <t>سدة ذكر حديد اسود 1 1/4 AFLB</t>
  </si>
  <si>
    <t>SQ3/4</t>
  </si>
  <si>
    <t>سدة ذكر حديد اسود 1 AFLB</t>
  </si>
  <si>
    <t>SQI3/4</t>
  </si>
  <si>
    <t>سدة ذكر حديد اسود 1/2 AFLB</t>
  </si>
  <si>
    <t>SQB3/4</t>
  </si>
  <si>
    <t>سدة ذكر حديد اسود 2 AFLB</t>
  </si>
  <si>
    <t>SF3/4</t>
  </si>
  <si>
    <t>سدة ذكر حديد اسود 3 AFLB</t>
  </si>
  <si>
    <t>CHROMSHB3/4</t>
  </si>
  <si>
    <t>سدة ذكر حديد اسود 3/4 AFLB</t>
  </si>
  <si>
    <t>BRSSSHB3/4</t>
  </si>
  <si>
    <t>سدة ذكر حديد اسود 4 AFLB</t>
  </si>
  <si>
    <t>SHB3/4</t>
  </si>
  <si>
    <t>سدة ذكر حديد مزيبق 1 1/2 AFL</t>
  </si>
  <si>
    <t>SHC3/4</t>
  </si>
  <si>
    <t>سدة ذكر حديد مزيبق 1 1/2 HE</t>
  </si>
  <si>
    <t>SKP3/4</t>
  </si>
  <si>
    <t>سدة ذكر حديد مزيبق 1 1/4 AFL</t>
  </si>
  <si>
    <t>SK3/4</t>
  </si>
  <si>
    <t>سدة ذكر حديد مزيبق 1 1/4 HE</t>
  </si>
  <si>
    <t>SKM3/4</t>
  </si>
  <si>
    <t>سدة ذكر حديد مزيبق 1 AFL</t>
  </si>
  <si>
    <t>SMR3/4</t>
  </si>
  <si>
    <t>سدة ذكر حديد مزيبق 1 HE</t>
  </si>
  <si>
    <t>TI3/4</t>
  </si>
  <si>
    <t>سدة ذكر حديد مزيبق 1/2 AFL</t>
  </si>
  <si>
    <t>AKH3/4</t>
  </si>
  <si>
    <t>سدة ذكر حديد مزيبق 1/2 HE</t>
  </si>
  <si>
    <t>خوري انترناشيونال - يورو</t>
  </si>
  <si>
    <t>PVCKB3/4</t>
  </si>
  <si>
    <t>سدة ذكر حديد مزيبق 2 AFL</t>
  </si>
  <si>
    <t>KHTS3/4</t>
  </si>
  <si>
    <t>سدة ذكر حديد مزيبق 2 HE</t>
  </si>
  <si>
    <t>KHSK3/4</t>
  </si>
  <si>
    <t>سدة ذكر حديد مزيبق 3 AFL</t>
  </si>
  <si>
    <t>BSPS40 3/4</t>
  </si>
  <si>
    <t>سدة ذكر حديد مزيبق 3 HE</t>
  </si>
  <si>
    <t>QN3/4</t>
  </si>
  <si>
    <t>سدة ذكر حديد مزيبق 3/4 AFL</t>
  </si>
  <si>
    <t>PVCKZB3/4</t>
  </si>
  <si>
    <t>سدة ذكر حديد مزيبق 3/4 HE</t>
  </si>
  <si>
    <t>PVCKFB3/4</t>
  </si>
  <si>
    <t>سدة ذكر حديد مزيبق 4 AFL</t>
  </si>
  <si>
    <t>ZRBK3/4</t>
  </si>
  <si>
    <t>سدة ذكر حديد مزيبق 4 HE</t>
  </si>
  <si>
    <t>NBD-3/4</t>
  </si>
  <si>
    <t>سدة ريغار 5*8 بلاستيك</t>
  </si>
  <si>
    <t>ZRBNZ3/4</t>
  </si>
  <si>
    <t>سدة طويل تلحيم 1/2 اخضر تركي</t>
  </si>
  <si>
    <t>ZRBNB3/4</t>
  </si>
  <si>
    <t>سكر انكستريه تلحيم 20 ملم اخضر تركي</t>
  </si>
  <si>
    <t>ZRBNB3/4-16</t>
  </si>
  <si>
    <t>سكر انكستريه تلحيم 25 ملم اخضر تركي</t>
  </si>
  <si>
    <t>NRBGS3/4</t>
  </si>
  <si>
    <t>سكر انكستريه تلحيم 32 ملم اخضر تركي</t>
  </si>
  <si>
    <t>ND3/4</t>
  </si>
  <si>
    <t>سكر انكستريه تلحيم 40 ملم اخضر تركي</t>
  </si>
  <si>
    <t>PVCWB3/4</t>
  </si>
  <si>
    <t>سكر انكستريه تلحيم 50 ملم اخضر تركي</t>
  </si>
  <si>
    <t>ZRBWD3/4</t>
  </si>
  <si>
    <t>سكر انكستريه تلحيم 63 ملم اخضر تركي</t>
  </si>
  <si>
    <t>BRSSWZ3/4</t>
  </si>
  <si>
    <t>سكر زاوية 1/2 ايطالي</t>
  </si>
  <si>
    <t>PVCWMB3/4</t>
  </si>
  <si>
    <t>سكر زاوية تركي 1/2</t>
  </si>
  <si>
    <t>CHROMSHBM3/4*1/2</t>
  </si>
  <si>
    <t>سكر غلة 1 جسم نحاس غلة نحاس المجد ALMAJD</t>
  </si>
  <si>
    <t>BRSSSHBM3/4*1/2</t>
  </si>
  <si>
    <t>سكر غلة 1/2 BSL</t>
  </si>
  <si>
    <t>CHROMSHM3/4*1/2</t>
  </si>
  <si>
    <t>سكر غلة 1/2 جسم نحاس غلة نحاس المجد ALMAJD</t>
  </si>
  <si>
    <t>CHROMWZM3/4*1/2</t>
  </si>
  <si>
    <t>سكر غلة 20*1/2 زراعي</t>
  </si>
  <si>
    <t>SZG3/8</t>
  </si>
  <si>
    <t>سكر غلة 20*20 زراعي</t>
  </si>
  <si>
    <t>TN3/8</t>
  </si>
  <si>
    <t>سكر غلة 25*25 زراعي</t>
  </si>
  <si>
    <t>TB3/8</t>
  </si>
  <si>
    <t>سكر غلة 25*3/4 زراعي</t>
  </si>
  <si>
    <t>TI3/8</t>
  </si>
  <si>
    <t>سكر غلة 3/4 جسم نحاس غلة نحاس المجد ALMAJD</t>
  </si>
  <si>
    <t>TB 3/8 M</t>
  </si>
  <si>
    <t>سكر غلة 32*1 زراعي</t>
  </si>
  <si>
    <t>QN3/8</t>
  </si>
  <si>
    <t>سكر غلة 32*32 زراعي</t>
  </si>
  <si>
    <t>NS3/8</t>
  </si>
  <si>
    <t>سكر غلة 40*1 1/4 زراعي</t>
  </si>
  <si>
    <t>BRSSSHM3/8*2/8</t>
  </si>
  <si>
    <t>سكر غلة 40*40 زراعي</t>
  </si>
  <si>
    <t>NB30</t>
  </si>
  <si>
    <t>سكر غلة 50*1 1/2 زراعي</t>
  </si>
  <si>
    <t>NS30</t>
  </si>
  <si>
    <t>سكر غلة 50*50 زراعي</t>
  </si>
  <si>
    <t>NM30</t>
  </si>
  <si>
    <t>سكر غلة 63*2 زراعي</t>
  </si>
  <si>
    <t>PF 30*30</t>
  </si>
  <si>
    <t>سكر غلة 63*63 زراعي</t>
  </si>
  <si>
    <t>RF30*30</t>
  </si>
  <si>
    <t>سكر غلة تلحيم 20 ملم ابيض تركي</t>
  </si>
  <si>
    <t>GHR30*30B</t>
  </si>
  <si>
    <t>سكر غلة تلحيم 20 ملم اخضر تركي</t>
  </si>
  <si>
    <t>GHR30*30</t>
  </si>
  <si>
    <t>سكر غلة تلحيم 25 ملم ابيض تركي</t>
  </si>
  <si>
    <t>MUREXR300</t>
  </si>
  <si>
    <t>سكر غلة تلحيم 25 ملم اخضر تركي</t>
  </si>
  <si>
    <t>KHZSM300</t>
  </si>
  <si>
    <t>سكر غلة تلحيم 32 ملم ابيض تركي</t>
  </si>
  <si>
    <t>KHZSMT300</t>
  </si>
  <si>
    <t>سكر غلة تلحيم 32 ملم اخضر تركي</t>
  </si>
  <si>
    <t>NTGM300</t>
  </si>
  <si>
    <t>سكر غلة تلحيم 40 ملم ابيض تركي</t>
  </si>
  <si>
    <t>NTGM3L300</t>
  </si>
  <si>
    <t>سكر غلة تلحيم 40 ملم اخضر تركي</t>
  </si>
  <si>
    <t>SHFJQ300</t>
  </si>
  <si>
    <t>سكر غلة تلحيم 50 ملم ابيض تركي</t>
  </si>
  <si>
    <t>MSRQM300</t>
  </si>
  <si>
    <t>سكر غلة تلحيم 50 ملم اخضر تركي</t>
  </si>
  <si>
    <t>L300M</t>
  </si>
  <si>
    <t>سكر غلة تلحيم 63 ملم ابيض تركي</t>
  </si>
  <si>
    <t>الهيبة</t>
  </si>
  <si>
    <t>KHZSM3000</t>
  </si>
  <si>
    <t>سكر غلة تلحيم 63 ملم اخضر تركي</t>
  </si>
  <si>
    <t>NTGM3L3000</t>
  </si>
  <si>
    <t>سكر مخفف ضغط 1 1/2 تركي كندان CANDAN</t>
  </si>
  <si>
    <t>RSS3000</t>
  </si>
  <si>
    <t>سكر مخفف ضغط 1 1/4 تركي كندان CANDAN</t>
  </si>
  <si>
    <t>RESHE-26*310</t>
  </si>
  <si>
    <t>سكر مخفف ضغط 1/2 تركي كندان CANDAN</t>
  </si>
  <si>
    <t>GR-31223</t>
  </si>
  <si>
    <t>سكر مخفف ضغط 2 تركي كندان CANDAN</t>
  </si>
  <si>
    <t>PVCEKB315</t>
  </si>
  <si>
    <t>سكر مخفف ضغط 3/4 تركي كندان CANDAN</t>
  </si>
  <si>
    <t>PEXA32</t>
  </si>
  <si>
    <t>سكر ميني 1/2</t>
  </si>
  <si>
    <t>PVCDT32</t>
  </si>
  <si>
    <t>سلة ونش</t>
  </si>
  <si>
    <t>PPRT32</t>
  </si>
  <si>
    <t>سيفون باركيه 2 بلاستيك</t>
  </si>
  <si>
    <t>PPRGT32</t>
  </si>
  <si>
    <t>سيفون باركيه 3 بلاستيك</t>
  </si>
  <si>
    <t>PVCDS32</t>
  </si>
  <si>
    <t>سيفون براندا 2 بلاستيك قصير</t>
  </si>
  <si>
    <t>PPRGS32</t>
  </si>
  <si>
    <t>سيفون براندا 3 بلاستيك قصير</t>
  </si>
  <si>
    <t>PPRSN32</t>
  </si>
  <si>
    <t>سيفون صليب 2*4 بلاستيك</t>
  </si>
  <si>
    <t>PPRGSN32</t>
  </si>
  <si>
    <t>سيفون صليب 2*5 بلاستيك</t>
  </si>
  <si>
    <t>PPRSG32</t>
  </si>
  <si>
    <t>سيفون صليب 3*4 بلاستيك</t>
  </si>
  <si>
    <t>PVCDSG32</t>
  </si>
  <si>
    <t>سيفون صليب 3*5 بلاستيك</t>
  </si>
  <si>
    <t>PPRSQ32</t>
  </si>
  <si>
    <t>سيليكون بدون اسيد</t>
  </si>
  <si>
    <t>PPRGSG32</t>
  </si>
  <si>
    <t>شريط بعزقة حديد اسود 1 1/2 AFLB</t>
  </si>
  <si>
    <t>PPRDJ32</t>
  </si>
  <si>
    <t>شريط بعزقة حديد اسود 1 1/4 AFLB</t>
  </si>
  <si>
    <t>PPRKA32</t>
  </si>
  <si>
    <t>شريط بعزقة حديد اسود 1 AFLB</t>
  </si>
  <si>
    <t>PPRGKA32</t>
  </si>
  <si>
    <t>شريط بعزقة حديد اسود 1/2 AFLB</t>
  </si>
  <si>
    <t>PVCDK32</t>
  </si>
  <si>
    <t>شريط بعزقة حديد اسود 2 AFLB</t>
  </si>
  <si>
    <t>PPRK32</t>
  </si>
  <si>
    <t>شريط بعزقة حديد اسود 3 AFLB</t>
  </si>
  <si>
    <t>PPRGK32</t>
  </si>
  <si>
    <t>شريط بعزقة حديد اسود 3/4 AFLB</t>
  </si>
  <si>
    <t>PVCDQW32</t>
  </si>
  <si>
    <t>شريط بعزقة حديد اسود 4 AFLB</t>
  </si>
  <si>
    <t>PPRQW32</t>
  </si>
  <si>
    <t>شريط بعزقة حديد مزيبق 1 1/2 AFL</t>
  </si>
  <si>
    <t>PPRGQW32</t>
  </si>
  <si>
    <t>شريط بعزقة حديد مزيبق 1 1/2 HE</t>
  </si>
  <si>
    <t>PVCDKZ32</t>
  </si>
  <si>
    <t>شريط بعزقة حديد مزيبق 1 1/4 AFL</t>
  </si>
  <si>
    <t>PVCDKF32</t>
  </si>
  <si>
    <t>شريط بعزقة حديد مزيبق 1 1/4 HE</t>
  </si>
  <si>
    <t>PPRKZ32</t>
  </si>
  <si>
    <t>شريط بعزقة حديد مزيبق 1 AFL</t>
  </si>
  <si>
    <t>PPRGKZ32</t>
  </si>
  <si>
    <t>شريط بعزقة حديد مزيبق 1 HE</t>
  </si>
  <si>
    <t>PPRKF32</t>
  </si>
  <si>
    <t>شريط بعزقة حديد مزيبق 1/2 AFL</t>
  </si>
  <si>
    <t>PPRGKF32</t>
  </si>
  <si>
    <t>شريط بعزقة حديد مزيبق 1/2 HE</t>
  </si>
  <si>
    <t>PVCDW32</t>
  </si>
  <si>
    <t>شريط بعزقة حديد مزيبق 2 AFL</t>
  </si>
  <si>
    <t>PPRW32</t>
  </si>
  <si>
    <t>شريط بعزقة حديد مزيبق 2 HE</t>
  </si>
  <si>
    <t>PPRGW32</t>
  </si>
  <si>
    <t>شريط بعزقة حديد مزيبق 3 AFL</t>
  </si>
  <si>
    <t>ZRBT1*32</t>
  </si>
  <si>
    <t>شريط بعزقة حديد مزيبق 3 HE</t>
  </si>
  <si>
    <t>PPRTBN32*1</t>
  </si>
  <si>
    <t>شريط بعزقة حديد مزيبق 3/4 AFL</t>
  </si>
  <si>
    <t>PEXRN32*1</t>
  </si>
  <si>
    <t>شريط بعزقة حديد مزيبق 3/4 HE</t>
  </si>
  <si>
    <t>PEXRZ32*1</t>
  </si>
  <si>
    <t>شريط بعزقة حديد مزيبق 4 AFL</t>
  </si>
  <si>
    <t>PPRQWN32*1</t>
  </si>
  <si>
    <t>شريط بعزقة حديد مزيبق 4 HE</t>
  </si>
  <si>
    <t>PPRGQWN32*1</t>
  </si>
  <si>
    <t>شريط مخالف حديد اسود 1 1/2*2 AFLB</t>
  </si>
  <si>
    <t>PPRQWZ32*1</t>
  </si>
  <si>
    <t>شريط مخالف حديد اسود 1 1/4*1 1/2 AFLB</t>
  </si>
  <si>
    <t>PPRGQWZ32*1</t>
  </si>
  <si>
    <t>شريط مخالف حديد اسود 1 1/4*2 AFLB</t>
  </si>
  <si>
    <t>طرمبة ضغط مع غطاء COMET</t>
  </si>
  <si>
    <t>ZRBK1*32</t>
  </si>
  <si>
    <t>شريط مخالف حديد اسود 1*1 1/2 AFLB</t>
  </si>
  <si>
    <t>PPRKBN32*1</t>
  </si>
  <si>
    <t>شريط مخالف حديد اسود 1*1 1/4 AFLB</t>
  </si>
  <si>
    <t>PPRGKBN32*1</t>
  </si>
  <si>
    <t>شريط مخالف حديد اسود 1*2 AFLB</t>
  </si>
  <si>
    <t>PPRKBZ32*1</t>
  </si>
  <si>
    <t>شريط مخالف حديد اسود 1/2*1 AFLB</t>
  </si>
  <si>
    <t>PVCDK32*1</t>
  </si>
  <si>
    <t>شريط مخالف حديد اسود 1/2*2 AFLB</t>
  </si>
  <si>
    <t>PPRWBN32*1</t>
  </si>
  <si>
    <t>شريط مخالف حديد اسود 1/2*3/4 AFLB</t>
  </si>
  <si>
    <t>PPRGWBN32*1</t>
  </si>
  <si>
    <t>شريط مخالف حديد اسود 2 1/2*3 AFLB</t>
  </si>
  <si>
    <t>PPRWBZ32*1</t>
  </si>
  <si>
    <t>شريط مخالف حديد اسود 2*3 AFLB</t>
  </si>
  <si>
    <t>PPRGWBZ32*1</t>
  </si>
  <si>
    <t>شريط مخالف حديد اسود 2*4 AFLB</t>
  </si>
  <si>
    <t>ZRB32*1</t>
  </si>
  <si>
    <t>شريط مخالف حديد اسود 3/4*1 AFLB</t>
  </si>
  <si>
    <t>PVCDWE32*1</t>
  </si>
  <si>
    <t>شريط مخالف حديد اسود 3/4*2 AFLB</t>
  </si>
  <si>
    <t>PVCDWZ32*1</t>
  </si>
  <si>
    <t>شريط مخالف حديد مزيبق 1 1/2*2 AFL</t>
  </si>
  <si>
    <t>PPRTBN32*1*32</t>
  </si>
  <si>
    <t>شريط مخالف حديد مزيبق 1 1/2*2 HE</t>
  </si>
  <si>
    <t>K-32*1/2</t>
  </si>
  <si>
    <t>شريط مخالف حديد مزيبق 1 1/4*1 1/2 AFL</t>
  </si>
  <si>
    <t>PPRTBN32*1/2</t>
  </si>
  <si>
    <t>شريط مخالف حديد مزيبق 1 1/4*1 1/2 HE</t>
  </si>
  <si>
    <t>PVCDW32*20</t>
  </si>
  <si>
    <t>شريط مخالف حديد مزيبق 1 1/4*2 AFL</t>
  </si>
  <si>
    <t>PPRWM32*20</t>
  </si>
  <si>
    <t>شريط مخالف حديد مزيبق 1 1/4*2 HE</t>
  </si>
  <si>
    <t>PPRGWM32*20</t>
  </si>
  <si>
    <t>شريط مخالف حديد مزيبق 1*1 1/2 AFL</t>
  </si>
  <si>
    <t>PPRTM32*20*20</t>
  </si>
  <si>
    <t>شريط مخالف حديد مزيبق 1*1 1/2 HE</t>
  </si>
  <si>
    <t>PPRTM32*20*32</t>
  </si>
  <si>
    <t>شريط مخالف حديد مزيبق 1*1 1/4 AFL</t>
  </si>
  <si>
    <t>PVCDW32*25</t>
  </si>
  <si>
    <t>شريط مخالف حديد مزيبق 1*1 1/4 HE</t>
  </si>
  <si>
    <t>PPRWM32*25</t>
  </si>
  <si>
    <t>شريط مخالف حديد مزيبق 1*2 AFL</t>
  </si>
  <si>
    <t>PPRGWM32*25</t>
  </si>
  <si>
    <t>شريط مخالف حديد مزيبق 1*2 HE</t>
  </si>
  <si>
    <t>PPRTM32*25*25</t>
  </si>
  <si>
    <t>شريط مخالف حديد مزيبق 1/2*1 AFL</t>
  </si>
  <si>
    <t>PPRGTM32*25*25</t>
  </si>
  <si>
    <t>شريط مخالف حديد مزيبق 1/2*1 HE</t>
  </si>
  <si>
    <t>ZRB32</t>
  </si>
  <si>
    <t>شريط مخالف حديد مزيبق 1/2*2 AFL</t>
  </si>
  <si>
    <t>PPRTM32*25*32</t>
  </si>
  <si>
    <t>شريط مخالف حديد مزيبق 1/2*2 HE</t>
  </si>
  <si>
    <t>PPRGTM32*25*32</t>
  </si>
  <si>
    <t>شريط مخالف حديد مزيبق 1/2*3/4 AFL</t>
  </si>
  <si>
    <t>PPRTBN32*3/4</t>
  </si>
  <si>
    <t>شريط مخالف حديد مزيبق 1/2*3/4 HE</t>
  </si>
  <si>
    <t>PPRQWZ32*3/4</t>
  </si>
  <si>
    <t>شريط مخالف حديد مزيبق 2 1/2*3 AFL</t>
  </si>
  <si>
    <t>PPRKBN32*3/4</t>
  </si>
  <si>
    <t>شريط مخالف حديد مزيبق 2 1/2*3 HE</t>
  </si>
  <si>
    <t>PPRGKBN32*3/4</t>
  </si>
  <si>
    <t>شريط مخالف حديد مزيبق 2*3 AFL</t>
  </si>
  <si>
    <t>PPRWBN32*3/4</t>
  </si>
  <si>
    <t>شريط مخالف حديد مزيبق 2*3 HE</t>
  </si>
  <si>
    <t>PPRGWBN32*3/4</t>
  </si>
  <si>
    <t>شريط مخالف حديد مزيبق 2*4 AFL</t>
  </si>
  <si>
    <t>PPRWBZ32*3/4</t>
  </si>
  <si>
    <t>شريط مخالف حديد مزيبق 2*4 HE</t>
  </si>
  <si>
    <t>PPRGWBZ32*3/4</t>
  </si>
  <si>
    <t>شريط مخالف حديد مزيبق 3/4*1 AFL</t>
  </si>
  <si>
    <t>PEXRD32*32</t>
  </si>
  <si>
    <t>شريط مخالف حديد مزيبق 3/4*1 HE</t>
  </si>
  <si>
    <t>PEXKD32*32</t>
  </si>
  <si>
    <t>شريط مخالف حديد مزيبق 3/4*2 AFL</t>
  </si>
  <si>
    <t>ZRBSZ32*32*32</t>
  </si>
  <si>
    <t>شريط مخالف حديد مزيبق 3/4*2 HE</t>
  </si>
  <si>
    <t>PEXTD32*32*32</t>
  </si>
  <si>
    <t>شريط مشكل حديد اسود 1 1/2 AFLB</t>
  </si>
  <si>
    <t>GRM32918</t>
  </si>
  <si>
    <t>شريط مشكل حديد اسود 1 1/4 AFLB</t>
  </si>
  <si>
    <t>GR-36451</t>
  </si>
  <si>
    <t>شريط مشكل حديد اسود 1 AFLB</t>
  </si>
  <si>
    <t>38505 GR</t>
  </si>
  <si>
    <t>شريط مشكل حديد اسود 1/2 AFLB</t>
  </si>
  <si>
    <t>GR-38723</t>
  </si>
  <si>
    <t>شريط مشكل حديد اسود 2 AFLB</t>
  </si>
  <si>
    <t>هيثم شريف</t>
  </si>
  <si>
    <t>GR-38825</t>
  </si>
  <si>
    <t>شريط مشكل حديد اسود 3 AFLB</t>
  </si>
  <si>
    <t>PVCTFB4</t>
  </si>
  <si>
    <t>شريط مشكل حديد اسود 3/4 AFLB</t>
  </si>
  <si>
    <t>PVCTYB4</t>
  </si>
  <si>
    <t>شريط مشكل حديد اسود 4 AFLB</t>
  </si>
  <si>
    <t>PVCTDYB4</t>
  </si>
  <si>
    <t>شريط مشكل حديد مزيبق 1 1/2 10سم HE</t>
  </si>
  <si>
    <t>PVCTSNB4</t>
  </si>
  <si>
    <t>شريط مشكل حديد مزيبق 1 1/2 15سم HE</t>
  </si>
  <si>
    <t>PVCTSB4</t>
  </si>
  <si>
    <t>شريط مشكل حديد مزيبق 1 1/2 20سم HE</t>
  </si>
  <si>
    <t>RB4</t>
  </si>
  <si>
    <t>شريط مشكل حديد مزيبق 1 1/2 AFL</t>
  </si>
  <si>
    <t>PVCSBB4</t>
  </si>
  <si>
    <t>شريط مشكل حديد مزيبق 1 1/4 10سم HE</t>
  </si>
  <si>
    <t>SG4</t>
  </si>
  <si>
    <t>شريط مشكل حديد مزيبق 1 1/4 15سم HE</t>
  </si>
  <si>
    <t>SQ4</t>
  </si>
  <si>
    <t>شريط مشكل حديد مزيبق 1 1/4 20سم HE</t>
  </si>
  <si>
    <t>PVCKB4</t>
  </si>
  <si>
    <t>شريط مشكل حديد مزيبق 1 1/4 AFL</t>
  </si>
  <si>
    <t>KHSK4</t>
  </si>
  <si>
    <t>شريط مشكل حديد مزيبق 1 10سم HE</t>
  </si>
  <si>
    <t>KHSS4</t>
  </si>
  <si>
    <t>شريط مشكل حديد مزيبق 1 15سم HE</t>
  </si>
  <si>
    <t>PVCKZB4</t>
  </si>
  <si>
    <t>شريط مشكل حديد مزيبق 1 20سم HE</t>
  </si>
  <si>
    <t>PVCKZBZ4</t>
  </si>
  <si>
    <t>شريط مشكل حديد مزيبق 1 AFL</t>
  </si>
  <si>
    <t>PVCKFB4</t>
  </si>
  <si>
    <t>شريط مشكل حديد مزيبق 1/2 10سم HE</t>
  </si>
  <si>
    <t>PVCKMB4</t>
  </si>
  <si>
    <t>شريط مشكل حديد مزيبق 1/2 15سم HE</t>
  </si>
  <si>
    <t>PVCWB4</t>
  </si>
  <si>
    <t>شريط مشكل حديد مزيبق 1/2 20سم HE</t>
  </si>
  <si>
    <t>PVCWMB4</t>
  </si>
  <si>
    <t>شريط مشكل حديد مزيبق 1/2 AFL</t>
  </si>
  <si>
    <t>PVCSSB4*2</t>
  </si>
  <si>
    <t>شريط مشكل حديد مزيبق 2 10سم HE</t>
  </si>
  <si>
    <t>PVCSSB4*3</t>
  </si>
  <si>
    <t>شريط مشكل حديد مزيبق 2 15سم HE</t>
  </si>
  <si>
    <t>HEWM4*3</t>
  </si>
  <si>
    <t>شريط مشكل حديد مزيبق 2 20سم HE</t>
  </si>
  <si>
    <t>PVCKMB4*5</t>
  </si>
  <si>
    <t>شريط مشكل حديد مزيبق 2 AFL</t>
  </si>
  <si>
    <t>HEWM4*6</t>
  </si>
  <si>
    <t>شريط مشكل حديد مزيبق 3 10سم HE</t>
  </si>
  <si>
    <t>PVCRB4*8</t>
  </si>
  <si>
    <t>شريط مشكل حديد مزيبق 3 15سم HE</t>
  </si>
  <si>
    <t>SR8*4</t>
  </si>
  <si>
    <t>شريط مشكل حديد مزيبق 3 20سم HE</t>
  </si>
  <si>
    <t>100149</t>
  </si>
  <si>
    <t>شريط مشكل حديد مزيبق 3 AFL</t>
  </si>
  <si>
    <t>KW40W</t>
  </si>
  <si>
    <t>شريط مشكل حديد مزيبق 3/4 10سم HE</t>
  </si>
  <si>
    <t>PVCDT40</t>
  </si>
  <si>
    <t>شريط مشكل حديد مزيبق 3/4 15سم HE</t>
  </si>
  <si>
    <t>PPRT40</t>
  </si>
  <si>
    <t>شريط مشكل حديد مزيبق 3/4 20سم HE</t>
  </si>
  <si>
    <t>PPRGT40</t>
  </si>
  <si>
    <t>شريط مشكل حديد مزيبق 3/4 AFL</t>
  </si>
  <si>
    <t>PPRGS40</t>
  </si>
  <si>
    <t>شريط مشكل حديد مزيبق 4 10سم HE</t>
  </si>
  <si>
    <t>PVCDSG40</t>
  </si>
  <si>
    <t>شريط مشكل حديد مزيبق 4 15سم HE</t>
  </si>
  <si>
    <t>PPRSQ40</t>
  </si>
  <si>
    <t>شريط مشكل حديد مزيبق 4 20سم HE</t>
  </si>
  <si>
    <t>PPRGSG40</t>
  </si>
  <si>
    <t>شريط مشكل حديد مزيبق 4 AFL</t>
  </si>
  <si>
    <t>PPRDJ40</t>
  </si>
  <si>
    <t>شنكل ابيض</t>
  </si>
  <si>
    <t>PPRGKA40</t>
  </si>
  <si>
    <t>شنكل بيج</t>
  </si>
  <si>
    <t>PPRKA40</t>
  </si>
  <si>
    <t>شنكل عاج</t>
  </si>
  <si>
    <t>PVCDK40</t>
  </si>
  <si>
    <t>صباب بانيو VIEGA</t>
  </si>
  <si>
    <t>صباب كلابيه 1 1/2 ايطالي</t>
  </si>
  <si>
    <t>JRS-1</t>
  </si>
  <si>
    <t>صباب كلابيه 1 1/4 ايطالي</t>
  </si>
  <si>
    <t>PPRK40</t>
  </si>
  <si>
    <t>صندوق 040 ابيض</t>
  </si>
  <si>
    <t>PVCDQW40</t>
  </si>
  <si>
    <t>صندوق 040 عاج</t>
  </si>
  <si>
    <t>PPRQW40</t>
  </si>
  <si>
    <t>صندوق 2020 ابيض</t>
  </si>
  <si>
    <t>PPRGQW40</t>
  </si>
  <si>
    <t>صندوق 2020 عاج</t>
  </si>
  <si>
    <t>KLBS40</t>
  </si>
  <si>
    <t>صندوق ابيض روكو ROCO</t>
  </si>
  <si>
    <t>PVCDKZ40</t>
  </si>
  <si>
    <t>صندوق اطلنتس ابيض</t>
  </si>
  <si>
    <t>PPRKZ40</t>
  </si>
  <si>
    <t>صندوق اطلنتس بيج</t>
  </si>
  <si>
    <t>PPRGKZ40</t>
  </si>
  <si>
    <t>صندوق اطلنتس عاج</t>
  </si>
  <si>
    <t>PVCDKF-40</t>
  </si>
  <si>
    <t>صندوق برستيج ابيض</t>
  </si>
  <si>
    <t>PPRKF40</t>
  </si>
  <si>
    <t>صندوق برستيج بيج</t>
  </si>
  <si>
    <t>PPRGKF40</t>
  </si>
  <si>
    <t>صندوق برستيج عاج</t>
  </si>
  <si>
    <t>NS40</t>
  </si>
  <si>
    <t>كرسي مع صندوق زغرتا ابيض</t>
  </si>
  <si>
    <t>NB40</t>
  </si>
  <si>
    <t>صندوق زغرتا بيج</t>
  </si>
  <si>
    <t>NM40</t>
  </si>
  <si>
    <t>صندوق زغرتا عاج</t>
  </si>
  <si>
    <t>PVCDKT40</t>
  </si>
  <si>
    <t>صندوق زغرتا ملون</t>
  </si>
  <si>
    <t>PPRW40</t>
  </si>
  <si>
    <t>صندوق ستاندرد ابيض</t>
  </si>
  <si>
    <t>PPRGW40</t>
  </si>
  <si>
    <t>صندوق ستاندرد بيج</t>
  </si>
  <si>
    <t>ZRBWD40</t>
  </si>
  <si>
    <t>صندوق ستاندرد عاج</t>
  </si>
  <si>
    <t>PPRQWN40*1 1/4</t>
  </si>
  <si>
    <t>صندوق ستاندرد ملون</t>
  </si>
  <si>
    <t>PPRQWZ40*1 1/4</t>
  </si>
  <si>
    <t>صندوق سيدني مع عدة ابيض</t>
  </si>
  <si>
    <t>PPRGQWZ40*1 1/4</t>
  </si>
  <si>
    <t>صندوق سيدني مع عدة عاج</t>
  </si>
  <si>
    <t>PPRKBN40*1 1/4</t>
  </si>
  <si>
    <t>صندوق شاسيه غروهي</t>
  </si>
  <si>
    <t>PPRWBN40*1 1/4</t>
  </si>
  <si>
    <t>صندوق صيدون ابيض</t>
  </si>
  <si>
    <t>PPRGWBN40*1 1/4</t>
  </si>
  <si>
    <t>صندوق صيدون بيج</t>
  </si>
  <si>
    <t>PPRWBZ40*1 1/4</t>
  </si>
  <si>
    <t>صندوق صيدون عاج</t>
  </si>
  <si>
    <t>PPRGWBZ40*1 1/4</t>
  </si>
  <si>
    <t>صندوق صيني ابيض</t>
  </si>
  <si>
    <t>PVCDWN40*1 1/4</t>
  </si>
  <si>
    <t>صندوق صيني عاج</t>
  </si>
  <si>
    <t>PVCDWZ40</t>
  </si>
  <si>
    <t>صندوق غاردينيا ابيض</t>
  </si>
  <si>
    <t>ZRBT1 40*1 1/4</t>
  </si>
  <si>
    <t>صندوق غاردينيا بيج</t>
  </si>
  <si>
    <t>PPRWBZ40*1</t>
  </si>
  <si>
    <t>صندوق غاردينيا عاج</t>
  </si>
  <si>
    <t>PPRGWBZ40*1</t>
  </si>
  <si>
    <t>صندوق غاردينيا ملون</t>
  </si>
  <si>
    <t>PPRWM40*20</t>
  </si>
  <si>
    <t>صندوق غلاكسي ابيض</t>
  </si>
  <si>
    <t>PPRTM40*20*40</t>
  </si>
  <si>
    <t>صندوق غلاكسي بيج</t>
  </si>
  <si>
    <t>PPRWM40*25</t>
  </si>
  <si>
    <t>صندوق غلاكسي عاج</t>
  </si>
  <si>
    <t>PPRGWM40*25</t>
  </si>
  <si>
    <t>صندوق غلاكسي ملون</t>
  </si>
  <si>
    <t>PPRTM40*25*40</t>
  </si>
  <si>
    <t>صندوق فنجان ابيض</t>
  </si>
  <si>
    <t>PPRGTM40*25*40</t>
  </si>
  <si>
    <t>صندوق فينيسيا ابيض</t>
  </si>
  <si>
    <t>PVCDW40*32</t>
  </si>
  <si>
    <t>صندوق فينيسيا بيج</t>
  </si>
  <si>
    <t>PPRWM40*32</t>
  </si>
  <si>
    <t>صندوق فينيسيا عاج</t>
  </si>
  <si>
    <t>PPRGWM40*32</t>
  </si>
  <si>
    <t>صندوق فينيسيا ملون</t>
  </si>
  <si>
    <t>PPRTM40*32*40</t>
  </si>
  <si>
    <t>صندوق كاميليا ابيض</t>
  </si>
  <si>
    <t>PPRGTM40*32*40</t>
  </si>
  <si>
    <t>صندوق كاميليا باج</t>
  </si>
  <si>
    <t>PF 40*40</t>
  </si>
  <si>
    <t>صندوق كاميليا عاج</t>
  </si>
  <si>
    <t>RF40*40</t>
  </si>
  <si>
    <t>صندوق كاميليا ملون</t>
  </si>
  <si>
    <t>GHR40*40B</t>
  </si>
  <si>
    <t>صندوق كرنفال ابيض</t>
  </si>
  <si>
    <t>SK40*40</t>
  </si>
  <si>
    <t>صندوق كرنفال ملون</t>
  </si>
  <si>
    <t>GHR40*40</t>
  </si>
  <si>
    <t>صندوق كلينيك ابيض</t>
  </si>
  <si>
    <t>ZRBK1 40*40</t>
  </si>
  <si>
    <t>صندوق كلينيك ملون</t>
  </si>
  <si>
    <t>ZRBT1 40*40</t>
  </si>
  <si>
    <t>صندوق لاغونا ارض ابيض</t>
  </si>
  <si>
    <t>NTGS-400</t>
  </si>
  <si>
    <t>صندوق لاغونا ارض بيج</t>
  </si>
  <si>
    <t>NTGS400</t>
  </si>
  <si>
    <t>صندوق لاغونا ارض عاج</t>
  </si>
  <si>
    <t>KHZSS400B</t>
  </si>
  <si>
    <t>صندوق لاغونا ارض ملون</t>
  </si>
  <si>
    <t>KHZSS400</t>
  </si>
  <si>
    <t>صندوق ميلانو ابيض</t>
  </si>
  <si>
    <t>KHZSM4000</t>
  </si>
  <si>
    <t>صندوق ميلانو بيج</t>
  </si>
  <si>
    <t>40-43-RAB</t>
  </si>
  <si>
    <t>صندوق ميلانو عاج</t>
  </si>
  <si>
    <t>RESHE-12*410</t>
  </si>
  <si>
    <t>صندوق ميلانو ملون</t>
  </si>
  <si>
    <t>RESHE-28*410</t>
  </si>
  <si>
    <t>صندوق نايس ابيض</t>
  </si>
  <si>
    <t>RESHE-30*410</t>
  </si>
  <si>
    <t>صندوق نايس ملون</t>
  </si>
  <si>
    <t>A131</t>
  </si>
  <si>
    <t>صندوق ندى ابيض</t>
  </si>
  <si>
    <t>GR-46048</t>
  </si>
  <si>
    <t>صندوق ندى بيج</t>
  </si>
  <si>
    <t>GR-46374</t>
  </si>
  <si>
    <t>صندوق ندى عاج</t>
  </si>
  <si>
    <t>PVCTFB5</t>
  </si>
  <si>
    <t>صندوق ندى ملون</t>
  </si>
  <si>
    <t>PVCTYB5</t>
  </si>
  <si>
    <t>صيدلية خشب بني غامق 55سم درفة وحدة</t>
  </si>
  <si>
    <t>RB5</t>
  </si>
  <si>
    <t>طابة 1/2 عيتاني</t>
  </si>
  <si>
    <t>PVCSBB5</t>
  </si>
  <si>
    <t>طابة 1/2 فتحة واسعة عيتاني</t>
  </si>
  <si>
    <t>PVCKB5</t>
  </si>
  <si>
    <t>طابة 3/4 عيتاني</t>
  </si>
  <si>
    <t>PVCKZB5</t>
  </si>
  <si>
    <t>طابة اتوماتيك صينية</t>
  </si>
  <si>
    <t>PVCKFB5</t>
  </si>
  <si>
    <t>طابة بلاستيك واقفة متحركة سن نحاس 1/2 بريفا BRIVA PA12</t>
  </si>
  <si>
    <t>PVCWB5</t>
  </si>
  <si>
    <t>طابة بلاستيك واقفة متحركة سن نحاس 3/8 بريفا BRIVA PA38</t>
  </si>
  <si>
    <t>PVCWMB5</t>
  </si>
  <si>
    <t>طابة جنب 3/8 عيتاني</t>
  </si>
  <si>
    <t>MSHF5"</t>
  </si>
  <si>
    <t>طابة صندوق جنب 3/8 تركي هاكرسن HAKERSAN</t>
  </si>
  <si>
    <t>DER-100</t>
  </si>
  <si>
    <t>طابة واقفة اماراتية 1/2</t>
  </si>
  <si>
    <t>PVCSSB5*2</t>
  </si>
  <si>
    <t>طاسة دوش بلاستيك ابيض</t>
  </si>
  <si>
    <t>PVCKMB5*4</t>
  </si>
  <si>
    <t>طبلية بلاستيك 100*120 مفتوحة</t>
  </si>
  <si>
    <t>DER-T-60</t>
  </si>
  <si>
    <t>طقم ارجل شاسيه خزان غروهي</t>
  </si>
  <si>
    <t>DER-T-80</t>
  </si>
  <si>
    <t>ظهر جمل تلحيم 20 ملم ابيض تركي</t>
  </si>
  <si>
    <t>PVCETFN50</t>
  </si>
  <si>
    <t>ظهر جمل تلحيم 20 ملم اخضر تركي</t>
  </si>
  <si>
    <t>PVCETFZ50</t>
  </si>
  <si>
    <t>ظهر جمل تلحيم 25 ملم ابيض تركي</t>
  </si>
  <si>
    <t>PVCDT50</t>
  </si>
  <si>
    <t>ظهر جمل تلحيم 25 ملم اخضر تركي</t>
  </si>
  <si>
    <t>PVCETYN50</t>
  </si>
  <si>
    <t>ظهر جمل تلحيم 32 ملم ابيض تركي</t>
  </si>
  <si>
    <t>PVCETYZ50</t>
  </si>
  <si>
    <t>ظهر جمل تلحيم 32 ملم اخضر تركي</t>
  </si>
  <si>
    <t>PPRT50</t>
  </si>
  <si>
    <t>ظهر جمل تلحيم 40 ملم ابيض تركي</t>
  </si>
  <si>
    <t>PVCETS50</t>
  </si>
  <si>
    <t>ظهر جمل تلحيم 40 ملم اخضر تركي</t>
  </si>
  <si>
    <t>GH50</t>
  </si>
  <si>
    <t>ظهر جمل تلحيم 50 ملم ابيض تركي</t>
  </si>
  <si>
    <t>RB50</t>
  </si>
  <si>
    <t>ظهر جمل تلحيم 50 ملم اخضر تركي</t>
  </si>
  <si>
    <t>PVCES50</t>
  </si>
  <si>
    <t>ظهر جمل تلحيم 63 ملم ابيض تركي</t>
  </si>
  <si>
    <t>PVCDS50</t>
  </si>
  <si>
    <t>ظهر جمل تلحيم 63 ملم اخضر تركي</t>
  </si>
  <si>
    <t>ZRBS50</t>
  </si>
  <si>
    <t>ظهر جمل قصير تلحيم 20 ملم ابيض تركي</t>
  </si>
  <si>
    <t>SKLD-50</t>
  </si>
  <si>
    <t>ظهر جمل قصير تلحيم 20 ملم اخضر تركي</t>
  </si>
  <si>
    <t>PVCDSG50</t>
  </si>
  <si>
    <t>ظهر جمل قصير تلحيم 25 ملم ابيض تركي</t>
  </si>
  <si>
    <t>PPRSQ50</t>
  </si>
  <si>
    <t>ظهر جمل قصير تلحيم 25 ملم اخضر تركي</t>
  </si>
  <si>
    <t>SYFON50</t>
  </si>
  <si>
    <t>ظهر جمل قصير تلحيم 32 ملم ابيض تركي</t>
  </si>
  <si>
    <t>PVCESPQ50</t>
  </si>
  <si>
    <t>ظهر جمل قصير تلحيم 32 ملم اخضر تركي</t>
  </si>
  <si>
    <t>PVCDSK50</t>
  </si>
  <si>
    <t>ظهر جمل قصير تلحيم 40 ملم ابيض تركي</t>
  </si>
  <si>
    <t>PORSLNA50</t>
  </si>
  <si>
    <t>ظهر جمل قصير تلحيم 40 ملم اخضر تركي</t>
  </si>
  <si>
    <t>VLXAR50</t>
  </si>
  <si>
    <t>ظهر جمل قصير تلحيم 50 ملم ابيض تركي</t>
  </si>
  <si>
    <t>مؤسسة رابيد</t>
  </si>
  <si>
    <t>VLXA50</t>
  </si>
  <si>
    <t>ظهر جمل قصير تلحيم 50 ملم اخضر تركي</t>
  </si>
  <si>
    <t>MSRAM50</t>
  </si>
  <si>
    <t>ظهر جمل قصير تلحيم 63 ملم ابيض تركي</t>
  </si>
  <si>
    <t>احمد عيتاني</t>
  </si>
  <si>
    <t>PPRKA50</t>
  </si>
  <si>
    <t>ظهر جمل قصير تلحيم 63 ملم اخضر تركي</t>
  </si>
  <si>
    <t>PVCEKB50</t>
  </si>
  <si>
    <t>عازل حراري 1 انش لفة</t>
  </si>
  <si>
    <t>PVCDK50</t>
  </si>
  <si>
    <t>عازل فوم اسود 42 ملم 2 متر</t>
  </si>
  <si>
    <t>PPRK50</t>
  </si>
  <si>
    <t>عامود 040 ابيض</t>
  </si>
  <si>
    <t>PPRGK50</t>
  </si>
  <si>
    <t>عامود 040 عاج</t>
  </si>
  <si>
    <t>PVCDQW50</t>
  </si>
  <si>
    <t>عامود 2020 ابيض</t>
  </si>
  <si>
    <t>MSRQM50</t>
  </si>
  <si>
    <t>عامود دوش نحاس</t>
  </si>
  <si>
    <t>PVCDKZ50</t>
  </si>
  <si>
    <t>عامود صيدون ابيض</t>
  </si>
  <si>
    <t>PVCDKF50</t>
  </si>
  <si>
    <t>عامود صيدون بيج</t>
  </si>
  <si>
    <t>PVCEKZN50</t>
  </si>
  <si>
    <t>عامود صيدون عاج</t>
  </si>
  <si>
    <t>PPRKZ50</t>
  </si>
  <si>
    <t>عامود صيدون ملون</t>
  </si>
  <si>
    <t>PVCEKZZ50</t>
  </si>
  <si>
    <t>عامود صيني ابيض</t>
  </si>
  <si>
    <t>PVCEKFN50</t>
  </si>
  <si>
    <t>عامود صيني عاج</t>
  </si>
  <si>
    <t>PPRKF50</t>
  </si>
  <si>
    <t>عامود عاج 207</t>
  </si>
  <si>
    <t>PPRGKF50</t>
  </si>
  <si>
    <t>عامود عاج جيفن GEVEN</t>
  </si>
  <si>
    <t>PVCEKFZ50</t>
  </si>
  <si>
    <t>عامود عاج هيدرا HYDRA B83</t>
  </si>
  <si>
    <t>NS50</t>
  </si>
  <si>
    <t>عامود غاردينيا ابيض</t>
  </si>
  <si>
    <t>NB50</t>
  </si>
  <si>
    <t>عامود غاردينيا بيج</t>
  </si>
  <si>
    <t>NN50</t>
  </si>
  <si>
    <t>عامود غاردينيا عاج</t>
  </si>
  <si>
    <t>PVCEW50</t>
  </si>
  <si>
    <t>عامود غاردينيا ملون</t>
  </si>
  <si>
    <t>PVCDW50</t>
  </si>
  <si>
    <t>عامود فينيسيا ابيض</t>
  </si>
  <si>
    <t>PPRW50</t>
  </si>
  <si>
    <t>عامود فينيسيا بيج</t>
  </si>
  <si>
    <t>ZRBRN1 1/2</t>
  </si>
  <si>
    <t>عامود فينيسيا عاج</t>
  </si>
  <si>
    <t>ZRBRZ1 1/2</t>
  </si>
  <si>
    <t>عامود فينيسيا ملون</t>
  </si>
  <si>
    <t>PPRQWN50*1 1/2</t>
  </si>
  <si>
    <t>عامود ميلانو ابيض</t>
  </si>
  <si>
    <t>PPRQWZ50*1 1/2</t>
  </si>
  <si>
    <t>عامود ميلانو بيج</t>
  </si>
  <si>
    <t>PVCDKZ50*1 1/2-</t>
  </si>
  <si>
    <t>عامود ميلانو عاج</t>
  </si>
  <si>
    <t>PVCDKZ50*1 1/2</t>
  </si>
  <si>
    <t>عامود ميلانو ملون</t>
  </si>
  <si>
    <t>PPRWBN50*1 1/2</t>
  </si>
  <si>
    <t>عداد ماء 1/2 صيني</t>
  </si>
  <si>
    <t>PPRWBZ50*1 1/2</t>
  </si>
  <si>
    <t>عدة صندوق سحب من فوق عيتاني نحاس</t>
  </si>
  <si>
    <t>PPRGWBZ50*1 1/2</t>
  </si>
  <si>
    <t>عدة صندوق كبس تركي هاكرسن HAKERSAN</t>
  </si>
  <si>
    <t>PVCDWN50*1 1/2</t>
  </si>
  <si>
    <t>عدة صندوق كبس صيني</t>
  </si>
  <si>
    <t>PVCDWZ50*1 1/2</t>
  </si>
  <si>
    <t>عدة صندوق كبس عيتاني</t>
  </si>
  <si>
    <t>PVCEWM50*2</t>
  </si>
  <si>
    <t>عدة صندوق نفخ ايطالي ترمولادا TERMOLADA</t>
  </si>
  <si>
    <t>PPRWM50*20</t>
  </si>
  <si>
    <t>عرباية باطون</t>
  </si>
  <si>
    <t>PPRTM50*20*50</t>
  </si>
  <si>
    <t>عنق خلاط مجلى حائط من فوق</t>
  </si>
  <si>
    <t>PVCDW50*25</t>
  </si>
  <si>
    <t>عنق خلاط مغسلة برم</t>
  </si>
  <si>
    <t>PPRWM50*25</t>
  </si>
  <si>
    <t>غالون نفط</t>
  </si>
  <si>
    <t>PPRTM50*25*50</t>
  </si>
  <si>
    <t>غطاء ريغار اسود رزين 60*60 روك ROCK</t>
  </si>
  <si>
    <t>PVCDW50*32</t>
  </si>
  <si>
    <t>غطاء ريغار اسود رزين 70*70 روك ROCK</t>
  </si>
  <si>
    <t>PPRWM50*32</t>
  </si>
  <si>
    <t>غطاء ريغار اسود رزين 80*80 روك ROCK</t>
  </si>
  <si>
    <t>PPRGWM50*32</t>
  </si>
  <si>
    <t>غطاء زغرتا ابيض بلاستيك</t>
  </si>
  <si>
    <t>PPRTM50*32*50</t>
  </si>
  <si>
    <t>غطاء زغرتا ازرق بلاستيك</t>
  </si>
  <si>
    <t>PPRWM50*40</t>
  </si>
  <si>
    <t>غطاء زغرتا باج بلاستيك</t>
  </si>
  <si>
    <t>PPRTM50*40*50</t>
  </si>
  <si>
    <t>غطاء زغرتا زيتوني بلاستيك</t>
  </si>
  <si>
    <t>PF 50*50</t>
  </si>
  <si>
    <t>غطاء زغرتا عاج بلاستيك</t>
  </si>
  <si>
    <t>RF50*50</t>
  </si>
  <si>
    <t>غطاء غاردينيا ابيض بلاستيك</t>
  </si>
  <si>
    <t>GHR50*50B</t>
  </si>
  <si>
    <t>غطاء غاردينيا عاج بلاستيك</t>
  </si>
  <si>
    <t>GHR50*50</t>
  </si>
  <si>
    <t>غطاء فينيسيا باج بلاستيك</t>
  </si>
  <si>
    <t>ZRBNB50*50</t>
  </si>
  <si>
    <t>غطاء فينيسيا صيدون ابيض بلاستيك</t>
  </si>
  <si>
    <t>NTGS500</t>
  </si>
  <si>
    <t>غطاء فينيسيا صيدون ازرق بلاستيك</t>
  </si>
  <si>
    <t>KHZOMT500</t>
  </si>
  <si>
    <t>غطاء فينيسيا صيدون رمادي بلاستيك</t>
  </si>
  <si>
    <t>KHZSM500-T</t>
  </si>
  <si>
    <t>غطاء فينيسيا صيدون زهر بلاستيك</t>
  </si>
  <si>
    <t>KHZSM500</t>
  </si>
  <si>
    <t>غطاء فينيسيا صيدون عاج بلاستيك</t>
  </si>
  <si>
    <t>NTGM500</t>
  </si>
  <si>
    <t>غطاء كرسي خشب صيدون ابيض</t>
  </si>
  <si>
    <t>NTGM3L500</t>
  </si>
  <si>
    <t>غطاء كرسي هيدروليك تركي</t>
  </si>
  <si>
    <t>MG200*165*500</t>
  </si>
  <si>
    <t>غطاء مصفاية 15*15 AZ</t>
  </si>
  <si>
    <t>KOKOE</t>
  </si>
  <si>
    <t>52-55-RAB</t>
  </si>
  <si>
    <t>غطاء مصفاية 15*15 بافاريا BAVARYA 201</t>
  </si>
  <si>
    <t>PF 55*55</t>
  </si>
  <si>
    <t>غطاء مصفاية 15*15 برونزو BRONZO</t>
  </si>
  <si>
    <t>GHR55*55</t>
  </si>
  <si>
    <t>غطاء مصفاية 20*20 برونزو BRONZO</t>
  </si>
  <si>
    <t>DAL- 6 1/4</t>
  </si>
  <si>
    <t>غطاء مصفاية 20*20 روبينيتو ROBINETO AZ</t>
  </si>
  <si>
    <t>PVCTFB6</t>
  </si>
  <si>
    <t>غطاء مصفاية بلاستيك ابيض 10*10</t>
  </si>
  <si>
    <t>PVCTYB6</t>
  </si>
  <si>
    <t>غطاء مصفاية بلاستيك رمادي 10*10</t>
  </si>
  <si>
    <t>RB6</t>
  </si>
  <si>
    <t>غطاء مصفاية بلاطة 15*15 برونزو BRONZO</t>
  </si>
  <si>
    <t>PVCSBB6</t>
  </si>
  <si>
    <t>فراشة موتير بدرلو Pedrollo</t>
  </si>
  <si>
    <t>PVCKB6</t>
  </si>
  <si>
    <t>فراشة موتير داب DAB</t>
  </si>
  <si>
    <t>KHTS6</t>
  </si>
  <si>
    <t>فلتر مفرد 10 انش 3/4 ايطالي اطلس ATLAS</t>
  </si>
  <si>
    <t>PVCKZB6</t>
  </si>
  <si>
    <t>فلتر مفرد 2 انش بيغ بلو ايطالي اطلس ATLAS BIG BLUE</t>
  </si>
  <si>
    <t>PVCKFB6</t>
  </si>
  <si>
    <t>قازان 100 لتر</t>
  </si>
  <si>
    <t>PVCWB6</t>
  </si>
  <si>
    <t>قازان 150 لتر</t>
  </si>
  <si>
    <t>PVCWMB6</t>
  </si>
  <si>
    <t>قازان 200 لتر</t>
  </si>
  <si>
    <t>RESHE-6*310</t>
  </si>
  <si>
    <t>قازان 300 لتر</t>
  </si>
  <si>
    <t>PVCWMB6*5</t>
  </si>
  <si>
    <t>قازان 50 لتر</t>
  </si>
  <si>
    <t>DER-M 6*50-T</t>
  </si>
  <si>
    <t>قازان 50 لتر تيرمو TERMO</t>
  </si>
  <si>
    <t>DER-T-6</t>
  </si>
  <si>
    <t>قازان 80 لتر</t>
  </si>
  <si>
    <t>DER-M 6*60</t>
  </si>
  <si>
    <t>قازان 80 لتر تيرمو TERMO</t>
  </si>
  <si>
    <t>DER-M 6*8</t>
  </si>
  <si>
    <t>قازان بورسلان 50 لتر ميديا MIDIA</t>
  </si>
  <si>
    <t>KHZSM60</t>
  </si>
  <si>
    <t>قازان بورسلان 80 لتر ميديا MIDIA</t>
  </si>
  <si>
    <t>NS-60</t>
  </si>
  <si>
    <t>قازان غاز 10 لتر ابيض اوزالو OZALLO</t>
  </si>
  <si>
    <t>NB60</t>
  </si>
  <si>
    <t>قازان فيلوكس 100 لتر</t>
  </si>
  <si>
    <t>RF60*60</t>
  </si>
  <si>
    <t>قازان فيلوكس 150 لتر</t>
  </si>
  <si>
    <t>GHR60*60B</t>
  </si>
  <si>
    <t>قازان فيلوكس 200 لتر</t>
  </si>
  <si>
    <t>GHR60*60</t>
  </si>
  <si>
    <t>قازان فيلوكس 300 لتر</t>
  </si>
  <si>
    <t>NTGM6000</t>
  </si>
  <si>
    <t>قازان فيلوكس 50 لتر</t>
  </si>
  <si>
    <t>PVCDT63</t>
  </si>
  <si>
    <t>قازان فيلوكس 80 لتر</t>
  </si>
  <si>
    <t>PPRT63</t>
  </si>
  <si>
    <t>قاطع ارض 6 ملم 140*180 SOLIDO</t>
  </si>
  <si>
    <t>PPRGT63</t>
  </si>
  <si>
    <t>قاطع ارض 6 ملم 175*180 SOLIDO DD-175P</t>
  </si>
  <si>
    <t>PVCDS63</t>
  </si>
  <si>
    <t>قاطع ارض كروم مات 6 ملم 120*180 بركة</t>
  </si>
  <si>
    <t>PVCDSG63</t>
  </si>
  <si>
    <t>قسطل المنيوم تلحيم 20 ملم اخضر تركي</t>
  </si>
  <si>
    <t>PPRSQ63</t>
  </si>
  <si>
    <t>قسطل المنيوم تلحيم 20 ملم اسود تركي</t>
  </si>
  <si>
    <t>PVCDSK63</t>
  </si>
  <si>
    <t>قسطل المنيوم تلحيم 25 ملم اخضر تركي</t>
  </si>
  <si>
    <t>PPRKA63</t>
  </si>
  <si>
    <t>قسطل المنيوم تلحيم 25 ملم اسود تركي</t>
  </si>
  <si>
    <t>PVCDK63</t>
  </si>
  <si>
    <t>قسطل المنيوم تلحيم 32 ملم اخضر تركي</t>
  </si>
  <si>
    <t>PVCDQW63</t>
  </si>
  <si>
    <t>قسطل المنيوم تلحيم 32 ملم اسود تركي</t>
  </si>
  <si>
    <t>PVCDKZ63</t>
  </si>
  <si>
    <t>قسطل المنيوم تلحيم 40 ملم اخضر تركي</t>
  </si>
  <si>
    <t>PVCDKF63</t>
  </si>
  <si>
    <t>قسطل المنيوم تلحيم 40 ملم اسود تركي</t>
  </si>
  <si>
    <t>PPRKZ63</t>
  </si>
  <si>
    <t>قسطل المنيوم تلحيم 50 ملم اخضر تركي</t>
  </si>
  <si>
    <t>PPRGKZ63</t>
  </si>
  <si>
    <t>قسطل المنيوم تلحيم 50 ملم اسود تركي</t>
  </si>
  <si>
    <t>PPRKF63</t>
  </si>
  <si>
    <t>قسطل المنيوم تلحيم 63 ملم اخضر تركي</t>
  </si>
  <si>
    <t>PVCDW63</t>
  </si>
  <si>
    <t>قسطل المنيوم تلحيم 63 ملم اسود تركي</t>
  </si>
  <si>
    <t>PPRW63</t>
  </si>
  <si>
    <t>قسطل بلاستيك 1</t>
  </si>
  <si>
    <t>PPRGW63</t>
  </si>
  <si>
    <t>قسطل بلاستيك 1 1/2</t>
  </si>
  <si>
    <t>PPRQWN63*2</t>
  </si>
  <si>
    <t>قسطل بلاستيك 1 1/2 كوكو KOKO</t>
  </si>
  <si>
    <t>PPRQWZ63*2</t>
  </si>
  <si>
    <t>قسطل بلاستيك 1 1/4</t>
  </si>
  <si>
    <t>PPRWBN63*2</t>
  </si>
  <si>
    <t>قسطل بلاستيك 1 1/4 كوكو KOKO</t>
  </si>
  <si>
    <t>PPRWBZ63*2</t>
  </si>
  <si>
    <t>قسطل بلاستيك 1 كوكو KOKO</t>
  </si>
  <si>
    <t>PPRGWBZ63*2</t>
  </si>
  <si>
    <t>قسطل بلاستيك 1/2</t>
  </si>
  <si>
    <t>PVCDWE63*2</t>
  </si>
  <si>
    <t>قسطل بلاستيك 1/2 كوكو KOKO</t>
  </si>
  <si>
    <t>PVCDWZ63*2</t>
  </si>
  <si>
    <t>قسطل بلاستيك 2</t>
  </si>
  <si>
    <t>PPRWM63*25</t>
  </si>
  <si>
    <t>قسطل بلاستيك 2 كوكو KOKO</t>
  </si>
  <si>
    <t>PVCDW63*32</t>
  </si>
  <si>
    <t>قسطل بلاستيك 3</t>
  </si>
  <si>
    <t>PPRWM63*32</t>
  </si>
  <si>
    <t>قسطل بلاستيك 3 كوكو KOKO</t>
  </si>
  <si>
    <t>PPRTM63*32*63</t>
  </si>
  <si>
    <t>قسطل بلاستيك 3/4</t>
  </si>
  <si>
    <t>PPRWM63*40</t>
  </si>
  <si>
    <t>قسطل بلاستيك 3/4 كوكو KOKO</t>
  </si>
  <si>
    <t>PPRTM63*40*63</t>
  </si>
  <si>
    <t>قسطل بلاستيك 4</t>
  </si>
  <si>
    <t>PVCDW63*50</t>
  </si>
  <si>
    <t>قسطل بلاستيك 4 كوكو KOKO</t>
  </si>
  <si>
    <t>PPRWM63*50</t>
  </si>
  <si>
    <t>قسطل بلاستيك 5</t>
  </si>
  <si>
    <t>PPRTM63*50*63</t>
  </si>
  <si>
    <t>قسطل بلاستيك 5 كوكو KOKO</t>
  </si>
  <si>
    <t>ZRBS63</t>
  </si>
  <si>
    <t>قسطل بلاستيك 6</t>
  </si>
  <si>
    <t>64-67-RAB</t>
  </si>
  <si>
    <t>قسطل بلاستيك 6 كوكو KOKO</t>
  </si>
  <si>
    <t>DAL-1 1/4</t>
  </si>
  <si>
    <t>قسطل بلاستيك 8</t>
  </si>
  <si>
    <t>DER-6*70</t>
  </si>
  <si>
    <t>قسطل بلاستيك 8 كوكو KOKO</t>
  </si>
  <si>
    <t>BKDSHB70*70</t>
  </si>
  <si>
    <t>قسطل بلاستيك اوروبي 110 كوكو KOKO</t>
  </si>
  <si>
    <t>RFR70*70</t>
  </si>
  <si>
    <t>قسطل بلاستيك اوروبي 125 كوكو KOKO</t>
  </si>
  <si>
    <t>GHR70*70B</t>
  </si>
  <si>
    <t>قسطل بلاستيك اوروبي 160 كوكو KOKO</t>
  </si>
  <si>
    <t>BKDOUSH70*70</t>
  </si>
  <si>
    <t>قسطل بلاستيك اوروبي 200 كوكو KOKO</t>
  </si>
  <si>
    <t>BKDSHC70*70</t>
  </si>
  <si>
    <t>قسطل بلاستيك اوروبي 50 كوكو KOKO</t>
  </si>
  <si>
    <t>PVCETFN75</t>
  </si>
  <si>
    <t>قسطل بلاستيك اوروبي 75 كوكو KOKO</t>
  </si>
  <si>
    <t>PVCETFZ75</t>
  </si>
  <si>
    <t>قسطل بلاستيك بجوان الماني 110 ملم</t>
  </si>
  <si>
    <t>PVCDT75</t>
  </si>
  <si>
    <t>قسطل بلاستيك بجوان الماني 125 ملم</t>
  </si>
  <si>
    <t>PVCETYN75</t>
  </si>
  <si>
    <t>قسطل بلاستيك بجوان الماني 160 ملم</t>
  </si>
  <si>
    <t>PVCETYZ75</t>
  </si>
  <si>
    <t>قسطل بلاستيك بجوان الماني 200 ملم</t>
  </si>
  <si>
    <t>RB75</t>
  </si>
  <si>
    <t>قسطل بلاستيك بجوان الماني 50 ملم</t>
  </si>
  <si>
    <t>PVCES75</t>
  </si>
  <si>
    <t>قسطل بلاستيك بجوان الماني 75 ملم</t>
  </si>
  <si>
    <t>PVCDS75</t>
  </si>
  <si>
    <t>قسطل بلاستيك بجوان تركي 110 ملم</t>
  </si>
  <si>
    <t>PVCDSG75</t>
  </si>
  <si>
    <t>قسطل بلاستيك بجوان تركي 125 ملم</t>
  </si>
  <si>
    <t>SYFON75</t>
  </si>
  <si>
    <t>قسطل بلاستيك بجوان تركي 160 ملم</t>
  </si>
  <si>
    <t>PVCDSK75</t>
  </si>
  <si>
    <t>قسطل بلاستيك بجوان تركي 200 ملم</t>
  </si>
  <si>
    <t>PVCEKB75</t>
  </si>
  <si>
    <t>قسطل بلاستيك بجوان تركي 50 ملم</t>
  </si>
  <si>
    <t>PVCDK75</t>
  </si>
  <si>
    <t>قسطل بلاستيك بجوان تركي 75 ملم</t>
  </si>
  <si>
    <t>PPRK75</t>
  </si>
  <si>
    <t>قسطل تلحيم 20 ملم ابيض تركي</t>
  </si>
  <si>
    <t>PVCDQW75</t>
  </si>
  <si>
    <t>قسطل تلحيم 20 ملم اخضر تركي</t>
  </si>
  <si>
    <t>PVCDKF75</t>
  </si>
  <si>
    <t>قسطل تلحيم 20 ملم اسود تركي</t>
  </si>
  <si>
    <t>PVCEKZN75</t>
  </si>
  <si>
    <t>قسطل تلحيم 25 ملم ابيض تركي</t>
  </si>
  <si>
    <t>PVCEKZZ75</t>
  </si>
  <si>
    <t>قسطل تلحيم 25 ملم اخضر تركي</t>
  </si>
  <si>
    <t>ZRBK75</t>
  </si>
  <si>
    <t>قسطل تلحيم 25 ملم اسود تركي</t>
  </si>
  <si>
    <t>PVCEKFN75</t>
  </si>
  <si>
    <t>قسطل تلحيم 32 ملم ابيض تركي</t>
  </si>
  <si>
    <t>PPRKF75</t>
  </si>
  <si>
    <t>قسطل تلحيم 32 ملم اخضر تركي</t>
  </si>
  <si>
    <t>ZRBNB75</t>
  </si>
  <si>
    <t>قسطل تلحيم 32 ملم اسود تركي</t>
  </si>
  <si>
    <t>PVCEW75</t>
  </si>
  <si>
    <t>قسطل تلحيم 40 ملم ابيض تركي</t>
  </si>
  <si>
    <t>PVCDW75</t>
  </si>
  <si>
    <t>قسطل تلحيم 40 ملم اخضر تركي</t>
  </si>
  <si>
    <t>PVCDWE75*2 1/2</t>
  </si>
  <si>
    <t>قسطل تلحيم 40 ملم اسود تركي</t>
  </si>
  <si>
    <t>PVCDWZ75*2 1/2</t>
  </si>
  <si>
    <t>قسطل تلحيم 50 ملم ابيض تركي</t>
  </si>
  <si>
    <t>ZRBRZ75*2.5</t>
  </si>
  <si>
    <t>قسطل تلحيم 50 ملم اخضر تركي</t>
  </si>
  <si>
    <t>PVCDWE75*3</t>
  </si>
  <si>
    <t>قسطل تلحيم 50 ملم اسود تركي</t>
  </si>
  <si>
    <t>PVCETFM75*50</t>
  </si>
  <si>
    <t>قسطل تلحيم 63 ملم ابيض تركي</t>
  </si>
  <si>
    <t>PVCETYM75*50</t>
  </si>
  <si>
    <t>قسطل تلحيم 63 ملم اخضر تركي</t>
  </si>
  <si>
    <t>PVCR75*50</t>
  </si>
  <si>
    <t>قسطل تلحيم 63 ملم اسود تركي</t>
  </si>
  <si>
    <t>PVCEWM75*50</t>
  </si>
  <si>
    <t>قسطل تلحيم فيبر 20 ملم اخضر تركي</t>
  </si>
  <si>
    <t>PVCDW75*50</t>
  </si>
  <si>
    <t>قسطل تلحيم فيبر 25 ملم اخضر تركي</t>
  </si>
  <si>
    <t>PVCDW75*63</t>
  </si>
  <si>
    <t>قسطل تلحيم فيبر 32 ملم اخضر تركي</t>
  </si>
  <si>
    <t>ZRBWD 2 1/2</t>
  </si>
  <si>
    <t>قسطل تلحيم فيبر 40 ملم اخضر تركي</t>
  </si>
  <si>
    <t>PVCTFB8</t>
  </si>
  <si>
    <t>قسطل تلحيم فيبر 50 ملم اخضر تركي</t>
  </si>
  <si>
    <t>RB8</t>
  </si>
  <si>
    <t>قسطل تلحيم فيبر 63 ملم اخضر تركي</t>
  </si>
  <si>
    <t>PVCKB8</t>
  </si>
  <si>
    <t>قسطل حديد 1</t>
  </si>
  <si>
    <t>PVCKZB8</t>
  </si>
  <si>
    <t>قسطل حديد 1 1/2</t>
  </si>
  <si>
    <t>PVCKFB8</t>
  </si>
  <si>
    <t>قسطل حديد 1 1/4</t>
  </si>
  <si>
    <t>PVCWB8</t>
  </si>
  <si>
    <t>قسطل حديد 1/2</t>
  </si>
  <si>
    <t>PVCWMB8</t>
  </si>
  <si>
    <t>قسطل حديد 2</t>
  </si>
  <si>
    <t>DER-M 8*100</t>
  </si>
  <si>
    <t>قسطل حديد 3</t>
  </si>
  <si>
    <t>RESHE-8*310</t>
  </si>
  <si>
    <t>قسطل حديد 3/4</t>
  </si>
  <si>
    <t>PVCRB8*4</t>
  </si>
  <si>
    <t>قسطل حديد 4</t>
  </si>
  <si>
    <t>PVCWMB8*4</t>
  </si>
  <si>
    <t>قسطل حديد 6</t>
  </si>
  <si>
    <t>SR8*5</t>
  </si>
  <si>
    <t>قسطل حديد تركي سميك 1</t>
  </si>
  <si>
    <t>PVCWMB8*5</t>
  </si>
  <si>
    <t>قسطل حديد تركي سميك 1 1/2</t>
  </si>
  <si>
    <t>PVC8*6</t>
  </si>
  <si>
    <t>قسطل حديد تركي سميك 1 1/4</t>
  </si>
  <si>
    <t>DER-M 8*70</t>
  </si>
  <si>
    <t>قسطل حديد تركي سميك 1/2</t>
  </si>
  <si>
    <t>GMF-8*8</t>
  </si>
  <si>
    <t>قسطل حديد تركي سميك 2</t>
  </si>
  <si>
    <t>PORSLNA80</t>
  </si>
  <si>
    <t>قسطل حديد تركي سميك 3</t>
  </si>
  <si>
    <t>VLXAR80</t>
  </si>
  <si>
    <t>قسطل حديد تركي سميك 3/4</t>
  </si>
  <si>
    <t>VLXA80</t>
  </si>
  <si>
    <t>قسطل حديد تركي سميك 4</t>
  </si>
  <si>
    <t>MSRAM80</t>
  </si>
  <si>
    <t>قسطل حديد تركي سميك 6</t>
  </si>
  <si>
    <t>MSRQM80</t>
  </si>
  <si>
    <t>قسطل حديد دلمين اسود 1</t>
  </si>
  <si>
    <t>NB80</t>
  </si>
  <si>
    <t>قسطل حديد دلمين اسود 1 1/2</t>
  </si>
  <si>
    <t>BKDOUSH80*120-</t>
  </si>
  <si>
    <t>قسطل حديد دلمين اسود 1 1/4</t>
  </si>
  <si>
    <t>BKDOUSH80*120</t>
  </si>
  <si>
    <t>قسطل حديد دلمين اسود 1/2</t>
  </si>
  <si>
    <t>BKDSHB80*80</t>
  </si>
  <si>
    <t>قسطل حديد دلمين اسود 2</t>
  </si>
  <si>
    <t>RF80*80</t>
  </si>
  <si>
    <t>قسطل حديد دلمين اسود 3</t>
  </si>
  <si>
    <t>BKDOUSH80*80</t>
  </si>
  <si>
    <t>قسطل حديد دلمين اسود 3/4</t>
  </si>
  <si>
    <t>80-85 RAB</t>
  </si>
  <si>
    <t>قسطل حديد دلمين اسود 4</t>
  </si>
  <si>
    <t>RSS800</t>
  </si>
  <si>
    <t>قسطل حديد دلمين اسود 6</t>
  </si>
  <si>
    <t>KC-90</t>
  </si>
  <si>
    <t>قسطل حديد سحب 1</t>
  </si>
  <si>
    <t>PVCDT90</t>
  </si>
  <si>
    <t>قسطل حديد سحب 1 1/2</t>
  </si>
  <si>
    <t>PVCDS90</t>
  </si>
  <si>
    <t>قسطل حديد سحب 1 1/4</t>
  </si>
  <si>
    <t>SKLD-90</t>
  </si>
  <si>
    <t>قسطل حديد سحب 1/2</t>
  </si>
  <si>
    <t>ZRBSZ90</t>
  </si>
  <si>
    <t>قسطل حديد سحب 2</t>
  </si>
  <si>
    <t>PVCDSG90</t>
  </si>
  <si>
    <t>قسطل حديد سحب 3</t>
  </si>
  <si>
    <t>PVCDKZ90</t>
  </si>
  <si>
    <t>قسطل حديد سحب 3/4</t>
  </si>
  <si>
    <t>ZRBK90</t>
  </si>
  <si>
    <t>قسطل حديد سحب 4</t>
  </si>
  <si>
    <t>NB90</t>
  </si>
  <si>
    <t>قسطل حديد سحب 6</t>
  </si>
  <si>
    <t>PVCDW90</t>
  </si>
  <si>
    <t>قسطل ضغط 63 ملم رمادي</t>
  </si>
  <si>
    <t>ZRBWD90</t>
  </si>
  <si>
    <t>قطع وصل انتاية تلحيم 20*1/2 اخضر تركي</t>
  </si>
  <si>
    <t>ZRBRZ90*3</t>
  </si>
  <si>
    <t>قطع وصل انتاية تلحيم 25*1/2 اخضر تركي</t>
  </si>
  <si>
    <t>PVCDWE90*3</t>
  </si>
  <si>
    <t>قطع وصل انتاية تلحيم 25*3/4 اخضر تركي</t>
  </si>
  <si>
    <t>PVCDWE90*3-D</t>
  </si>
  <si>
    <t>قطع وصل انتاية تلحيم 32*1 اخضر تركي</t>
  </si>
  <si>
    <t>PVCDW90*63</t>
  </si>
  <si>
    <t>قطع وصل انتاية تلحيم 40*1 1/4 اخضر تركي</t>
  </si>
  <si>
    <t>PVCDW90*75</t>
  </si>
  <si>
    <t>قطع وصل انتاية تلحيم 50*1 1/2 اخضر تركي</t>
  </si>
  <si>
    <t>BKDSHB90*90</t>
  </si>
  <si>
    <t>قطع وصل انتاية تلحيم 63*2 اخضر تركي</t>
  </si>
  <si>
    <t>BKDOUSH90*90</t>
  </si>
  <si>
    <t>قطع وصل تلحيم 20 ملم اخضر تركي</t>
  </si>
  <si>
    <t>GLUE AB</t>
  </si>
  <si>
    <t>قطع وصل تلحيم 25 ملم اخضر تركي</t>
  </si>
  <si>
    <t>ACAS85W</t>
  </si>
  <si>
    <t>قطع وصل تلحيم 32 ملم اخضر تركي</t>
  </si>
  <si>
    <t>39302</t>
  </si>
  <si>
    <t>قطع وصل تلحيم 40 ملم اخضر تركي</t>
  </si>
  <si>
    <t>AFLT1 1/2</t>
  </si>
  <si>
    <t>قطع وصل تلحيم 50 ملم اخضر تركي</t>
  </si>
  <si>
    <t>AFL</t>
  </si>
  <si>
    <t>AFLSZ1 1/2</t>
  </si>
  <si>
    <t>قطع وصل تلحيم 63 ملم اخضر تركي</t>
  </si>
  <si>
    <t>AFLSHB1 1/2</t>
  </si>
  <si>
    <t>قطع وصل حديد اسود 1 1/2 AFLB</t>
  </si>
  <si>
    <t>AFLQW1 1/2</t>
  </si>
  <si>
    <t>قطع وصل حديد اسود 1 1/4 AFLB</t>
  </si>
  <si>
    <t>AFLK1 1/2</t>
  </si>
  <si>
    <t>قطع وصل حديد اسود 1 AFLB</t>
  </si>
  <si>
    <t>AFLKZ1 1/2</t>
  </si>
  <si>
    <t>قطع وصل حديد اسود 1/2 AFLB</t>
  </si>
  <si>
    <t>AFLKTNF1 1/2</t>
  </si>
  <si>
    <t>قطع وصل حديد اسود 2 AFLB</t>
  </si>
  <si>
    <t>AFLW1 1/2</t>
  </si>
  <si>
    <t>قطع وصل حديد اسود 3 AFLB</t>
  </si>
  <si>
    <t>AFLSHM1 1/2*1 1/4</t>
  </si>
  <si>
    <t>قطع وصل حديد اسود 3/4 AFLB</t>
  </si>
  <si>
    <t>AFLWM1 1/2*1 1/4</t>
  </si>
  <si>
    <t>قطع وصل حديد اسود 4 AFLB</t>
  </si>
  <si>
    <t>AFLSHM1 1/2*1/2</t>
  </si>
  <si>
    <t>قطع وصل حديد مزيبق 1 1/2 AFL</t>
  </si>
  <si>
    <t>AFLSHM1 1/2*3/4</t>
  </si>
  <si>
    <t>قطع وصل حديد مزيبق 1 1/2 HE</t>
  </si>
  <si>
    <t>AFLWM1 1/2*3/4</t>
  </si>
  <si>
    <t>قطع وصل حديد مزيبق 1 1/4 AFL</t>
  </si>
  <si>
    <t>AFLT1 1/4</t>
  </si>
  <si>
    <t>قطع وصل حديد مزيبق 1 1/4 HE</t>
  </si>
  <si>
    <t>AFLSZ1 1/4</t>
  </si>
  <si>
    <t>قطع وصل حديد مزيبق 1 AFL</t>
  </si>
  <si>
    <t>AFLSHB1 1/4</t>
  </si>
  <si>
    <t>قطع وصل حديد مزيبق 1 HE</t>
  </si>
  <si>
    <t>AFLQW1 1/4</t>
  </si>
  <si>
    <t>قطع وصل حديد مزيبق 1/2 AFL</t>
  </si>
  <si>
    <t>AFLK1 1/4</t>
  </si>
  <si>
    <t>قطع وصل حديد مزيبق 1/2 HE</t>
  </si>
  <si>
    <t>AFLKZ1 1/4</t>
  </si>
  <si>
    <t>قطع وصل حديد مزيبق 2 AFL</t>
  </si>
  <si>
    <t>AFLKTN1 1/4</t>
  </si>
  <si>
    <t>قطع وصل حديدمزيبق2 HE</t>
  </si>
  <si>
    <t>AFLKTZF1 1/4</t>
  </si>
  <si>
    <t>قطع وصل حديد مزيبق 3 AFL</t>
  </si>
  <si>
    <t>AFLWZ1 1/4</t>
  </si>
  <si>
    <t>قطع وصل حديد مزيبق 3 HE</t>
  </si>
  <si>
    <t>AFLSHM1 1/4*1A</t>
  </si>
  <si>
    <t>قطع وصل حديد مزيبق 3/4 AFL</t>
  </si>
  <si>
    <t>AFLWM1 1/4*1</t>
  </si>
  <si>
    <t>قطع وصل حديد مزيبق 3/4 HE</t>
  </si>
  <si>
    <t>AFLTM1 1/4*1/2</t>
  </si>
  <si>
    <t>قطع وصل حديد مزيبق 4 AFL</t>
  </si>
  <si>
    <t>AFLSHM1 1/4*1/2</t>
  </si>
  <si>
    <t>قطع وصل حديد مزيبق 4 HE</t>
  </si>
  <si>
    <t>AFLSHM1 1/4*3/4</t>
  </si>
  <si>
    <t>قطع وصل ذكر تلحيم 20*1/2 اخضر تركي</t>
  </si>
  <si>
    <t>AFLT1</t>
  </si>
  <si>
    <t>قطع وصل ذكر تلحيم 25*1/2 اخضر تركي</t>
  </si>
  <si>
    <t>AFLSHB1</t>
  </si>
  <si>
    <t>قطع وصل ذكر تلحيم 25*3/4 اخضر تركي</t>
  </si>
  <si>
    <t>AFLQW1</t>
  </si>
  <si>
    <t>قطع وصل ذكر تلحيم 32*1 اخضر تركي</t>
  </si>
  <si>
    <t>AFLK1</t>
  </si>
  <si>
    <t>قطع وصل ذكر تلحيم 40*1 1/4 اخضر تركي</t>
  </si>
  <si>
    <t>AFLKZ1</t>
  </si>
  <si>
    <t>قطع وصل ذكر تلحيم 50*1 1/2 اخضر تركي</t>
  </si>
  <si>
    <t>AFLKTN1</t>
  </si>
  <si>
    <t>قطع وصل ذكر تلحيم 63*2 اخضر تركي</t>
  </si>
  <si>
    <t>AFLKTNF1</t>
  </si>
  <si>
    <t>قفل موتسيك U</t>
  </si>
  <si>
    <t>AFLKFQZ1</t>
  </si>
  <si>
    <t>قلب خلاط فيتاس تركي</t>
  </si>
  <si>
    <t>AFLTM1*1*1/2</t>
  </si>
  <si>
    <t>قلب مع مسكة تركي</t>
  </si>
  <si>
    <t>AFLTM1*1/2</t>
  </si>
  <si>
    <t>قلب مع مسكة تركي بريفا PRIVA</t>
  </si>
  <si>
    <t>AFLSHM1*1/2</t>
  </si>
  <si>
    <t>قنينة بورسلان 100 لتر</t>
  </si>
  <si>
    <t>AFLTM1*3/4</t>
  </si>
  <si>
    <t>قنينة بورسلان 150 لتر</t>
  </si>
  <si>
    <t>AFLSHM1*3/4A</t>
  </si>
  <si>
    <t>قنينة بورسلان 200 لتر</t>
  </si>
  <si>
    <t>AFLSHM1*3/4</t>
  </si>
  <si>
    <t>قنينة شوفاج 100 لتر 4 ملم</t>
  </si>
  <si>
    <t>AFLWM1*3/4</t>
  </si>
  <si>
    <t>قنينة شوفاج 125 لتر 4 ملم</t>
  </si>
  <si>
    <t>AFLT1/2</t>
  </si>
  <si>
    <t>قنينة شوفاج 150 لتر 4 ملم</t>
  </si>
  <si>
    <t>AFLSZ1/2</t>
  </si>
  <si>
    <t>قنينة شوفاج 200 لتر 4 ملم</t>
  </si>
  <si>
    <t>AFLSHB1/2</t>
  </si>
  <si>
    <t>قنينة شوفاج 250 لتر 4 ملم</t>
  </si>
  <si>
    <t>AFLQW1/2</t>
  </si>
  <si>
    <t>قنينة شوفاج 300 لتر 4 ملم</t>
  </si>
  <si>
    <t>AFLK1/2</t>
  </si>
  <si>
    <t>قنينة ماء سخنة 100 لتر 2.5 ملم</t>
  </si>
  <si>
    <t>AFLKZ1/2</t>
  </si>
  <si>
    <t>قنينة ماء سخنة 100 لتر 3 ملم</t>
  </si>
  <si>
    <t>AFLKTNF1/2</t>
  </si>
  <si>
    <t>قنينة ماء سخنة 100 لتر 4 ملم</t>
  </si>
  <si>
    <t>AFLKTZF1/2</t>
  </si>
  <si>
    <t>قنينة ماء سخنة 150 لتر 2.5 ملم</t>
  </si>
  <si>
    <t>AFLKFQZ1/2</t>
  </si>
  <si>
    <t>قنينة ماء سخنة 150 لتر 3 ملم</t>
  </si>
  <si>
    <t>AFLWZ1/2</t>
  </si>
  <si>
    <t>قنينة ماء سخنة 150 لتر 4 ملم</t>
  </si>
  <si>
    <t>AFLW1/2</t>
  </si>
  <si>
    <t>قنينة ماء سخنة 200 لتر 2.5 ملم</t>
  </si>
  <si>
    <t>AFLKTZ2 1/2</t>
  </si>
  <si>
    <t>قنينة ماء سخنة 200 لتر 3 ملم</t>
  </si>
  <si>
    <t>AFLSHM2 1/2*2</t>
  </si>
  <si>
    <t>قنينة ماء سخنة 200 لتر 4 ملم</t>
  </si>
  <si>
    <t>AFLT2</t>
  </si>
  <si>
    <t>قنينة ماء سخنة 300 لتر 2.5 ملم</t>
  </si>
  <si>
    <t>AFLSZ2</t>
  </si>
  <si>
    <t>قنينة ماء سخنة 300 لتر 3 ملم</t>
  </si>
  <si>
    <t>AFLSHB2</t>
  </si>
  <si>
    <t>قنينة ماء سخنة 300 لتر 4 ملم</t>
  </si>
  <si>
    <t>AFLQW2</t>
  </si>
  <si>
    <t>قنينة ماء سخنة 50 لتر 2.5 ملم</t>
  </si>
  <si>
    <t>AFLK2</t>
  </si>
  <si>
    <t>قنينة ماء سخنة 50 لتر 3 ملم</t>
  </si>
  <si>
    <t>AFLKZ2</t>
  </si>
  <si>
    <t>قنينة ماء سخنة 50 لتر 4 ملم</t>
  </si>
  <si>
    <t>AFLKTN2</t>
  </si>
  <si>
    <t>قنينة ماء سخنة 80 لتر 2.5 ملم</t>
  </si>
  <si>
    <t>AFLKTZF2</t>
  </si>
  <si>
    <t>قنينة ماء سخنة 80 لتر 3 ملم</t>
  </si>
  <si>
    <t>AFLW2</t>
  </si>
  <si>
    <t>قنينة ماء سخنة 80 لتر 4 ملم</t>
  </si>
  <si>
    <t>AFLSHM2*1 1/2</t>
  </si>
  <si>
    <t>قنينة ماء فيلوكس 100 لتر</t>
  </si>
  <si>
    <t>AFLWM2*1 1/2</t>
  </si>
  <si>
    <t>قنينة ماء فيلوكس 150 لتر</t>
  </si>
  <si>
    <t>AFLSHM2*1 1/4</t>
  </si>
  <si>
    <t>قنينة ماء فيلوكس 200 لتر</t>
  </si>
  <si>
    <t>AFLSHM2*1</t>
  </si>
  <si>
    <t>قنينة ماء فيلوكس 300 لتر</t>
  </si>
  <si>
    <t>AFLT3/4</t>
  </si>
  <si>
    <t>قنينة ماء فيلوكس 50 لتر</t>
  </si>
  <si>
    <t>AFLSZ3/4</t>
  </si>
  <si>
    <t>قنينة ماء فيلوكس 80 لتر</t>
  </si>
  <si>
    <t>AFLSHB3/4</t>
  </si>
  <si>
    <t>قنينة ماي نار POWER DARIN</t>
  </si>
  <si>
    <t>AFLQW3/4</t>
  </si>
  <si>
    <t>قنينة نفط</t>
  </si>
  <si>
    <t>AFLK3/4</t>
  </si>
  <si>
    <t>كابين بكادوش مبروم كروم شفاف 80*80 عطريس</t>
  </si>
  <si>
    <t>AFLKZ3/4</t>
  </si>
  <si>
    <t>كتيت ناعم</t>
  </si>
  <si>
    <t>AFLKTNF3/4</t>
  </si>
  <si>
    <t>كرتون</t>
  </si>
  <si>
    <t>AFLKTZF3/4</t>
  </si>
  <si>
    <t>كرسي 040 ابيض</t>
  </si>
  <si>
    <t>AFLKFQZ3/4</t>
  </si>
  <si>
    <t>كرسي 040 عاج</t>
  </si>
  <si>
    <t>AFLTM3/4*1/2</t>
  </si>
  <si>
    <t>كرسي 2020 ابيض</t>
  </si>
  <si>
    <t>AFLSHM3/4*1/2A</t>
  </si>
  <si>
    <t>كرسي 2020 عاج</t>
  </si>
  <si>
    <t>AFLSHM3/4*1/2</t>
  </si>
  <si>
    <t>كرسي اطلنتس ابيض</t>
  </si>
  <si>
    <t>AFLWM3/4*1/2</t>
  </si>
  <si>
    <t>كرسي اطلنتس عاج</t>
  </si>
  <si>
    <t>AFLBSHB1 1/2</t>
  </si>
  <si>
    <t>كرسي اطلنتس ملون</t>
  </si>
  <si>
    <t>AFLB</t>
  </si>
  <si>
    <t>AFLBKTN1 1/2</t>
  </si>
  <si>
    <t>كرسي بدعسة ابيض</t>
  </si>
  <si>
    <t>AFLBT1 1/4</t>
  </si>
  <si>
    <t>كرسي بدعسة ابيض هندي</t>
  </si>
  <si>
    <t>AFLBSHB1 1/4</t>
  </si>
  <si>
    <t>كرسي بدعسة ملون</t>
  </si>
  <si>
    <t>AFLBQW1 1/4</t>
  </si>
  <si>
    <t>كرسي برستيج ابيض</t>
  </si>
  <si>
    <t>AFLBT1</t>
  </si>
  <si>
    <t>كرسي برستيج ملون</t>
  </si>
  <si>
    <t>AFLBSHB1</t>
  </si>
  <si>
    <t>كرسي بطة هندي</t>
  </si>
  <si>
    <t>AFLBSHM1*3/4</t>
  </si>
  <si>
    <t>كرسي تعليق 040 ابيض</t>
  </si>
  <si>
    <t>AFLBT1/2</t>
  </si>
  <si>
    <t>كرسي تعليق م.زغرتا ابيض شيمن بلو SHEMIN BLUE</t>
  </si>
  <si>
    <t>AFLBSHB1/2</t>
  </si>
  <si>
    <t>كرسي تعليق مبروم ابيض ESPANIA</t>
  </si>
  <si>
    <t>AFLBKZ1/2</t>
  </si>
  <si>
    <t>كرسي تعليق مبروم ابيض افيفا AVIVA</t>
  </si>
  <si>
    <t>AFLBWZ1/2</t>
  </si>
  <si>
    <t>كرسي تعليق مربع ابيض افيفا AVIVA</t>
  </si>
  <si>
    <t>AFLBSHM2 1/2*2</t>
  </si>
  <si>
    <t>كرسي دلتا ابيض</t>
  </si>
  <si>
    <t>AFLBSHB2</t>
  </si>
  <si>
    <t>كرسي دلتا ملون</t>
  </si>
  <si>
    <t>AFLBQW2</t>
  </si>
  <si>
    <t>كرسي زغرتا ابيض</t>
  </si>
  <si>
    <t>AFLBSHM2*1 1/2</t>
  </si>
  <si>
    <t>كرسي زغرتا بيج</t>
  </si>
  <si>
    <t>AFLBSHM2*1 1/4</t>
  </si>
  <si>
    <t>كرسي زغرتا عاج</t>
  </si>
  <si>
    <t>AFLBSHM2*1</t>
  </si>
  <si>
    <t>كرسي زغرتا ملون</t>
  </si>
  <si>
    <t>AFLBT3/4</t>
  </si>
  <si>
    <t>كرسي زورق غاما ابيض</t>
  </si>
  <si>
    <t>AFLBSHB3/4</t>
  </si>
  <si>
    <t>كرسي زورق غاما ملون</t>
  </si>
  <si>
    <t>AFLBQW3/4</t>
  </si>
  <si>
    <t>كرسي سيدني تعليق مع غطاء ابيض</t>
  </si>
  <si>
    <t>AFLBKZ3/4</t>
  </si>
  <si>
    <t>كرسي سيدني تعليق مع غطاء عاج</t>
  </si>
  <si>
    <t>AFLBSHM3/4*1/2</t>
  </si>
  <si>
    <t>كرسي سينوس ابيض</t>
  </si>
  <si>
    <t>AFLBTM3/4*3/4*1/2</t>
  </si>
  <si>
    <t>كرسي سينوس ملون</t>
  </si>
  <si>
    <t>MOTAR ALFA1</t>
  </si>
  <si>
    <t>كرسي صيدون ابيض</t>
  </si>
  <si>
    <t>MOTRALP</t>
  </si>
  <si>
    <t>كرسي صيدون ملون</t>
  </si>
  <si>
    <t>ATECH H600</t>
  </si>
  <si>
    <t>كرسي صيني ابيض</t>
  </si>
  <si>
    <t>22018</t>
  </si>
  <si>
    <t>كرسي صيني عاج</t>
  </si>
  <si>
    <t>RDTR-ANG1000</t>
  </si>
  <si>
    <t>كرسي غاردينيا ابيض</t>
  </si>
  <si>
    <t>RDTR-ANG1200</t>
  </si>
  <si>
    <t>كرسي غاردينيا بيج</t>
  </si>
  <si>
    <t>AQUA</t>
  </si>
  <si>
    <t>RDTR-ANG1500</t>
  </si>
  <si>
    <t>كرسي غاردينيا عاج</t>
  </si>
  <si>
    <t>RDTR-ANG800</t>
  </si>
  <si>
    <t>كرسي غاردينيا ملون</t>
  </si>
  <si>
    <t>ANLU</t>
  </si>
  <si>
    <t>كرسي غلاكسي ابيض</t>
  </si>
  <si>
    <t>AFFSS-T</t>
  </si>
  <si>
    <t>كرسي غلاكسي بيج</t>
  </si>
  <si>
    <t>MOTR- TAQUA</t>
  </si>
  <si>
    <t>كرسي غلاكسي عاج</t>
  </si>
  <si>
    <t>MOTR- TAQUA.-SPA</t>
  </si>
  <si>
    <t>كرسي غلاكسي ملون</t>
  </si>
  <si>
    <t>AQA-1020</t>
  </si>
  <si>
    <t>كرسي فنجان ابيض</t>
  </si>
  <si>
    <t>اكوا ترايدينغ كومباني ش.م.ل</t>
  </si>
  <si>
    <t>MOTR- TAQUA.</t>
  </si>
  <si>
    <t>كرسي فينيسيا ابيض</t>
  </si>
  <si>
    <t>MOTRAQ1/2</t>
  </si>
  <si>
    <t>كرسي فينيسيا بيج</t>
  </si>
  <si>
    <t>MOTRAQ3/4</t>
  </si>
  <si>
    <t>كرسي فينيسيا عاج</t>
  </si>
  <si>
    <t>MOTRAQ1</t>
  </si>
  <si>
    <t>كرسي فينيسيا ملون</t>
  </si>
  <si>
    <t>ELECT-ARGO</t>
  </si>
  <si>
    <t>كرسي كاميليا ابيض</t>
  </si>
  <si>
    <t>ATLANTIC-100</t>
  </si>
  <si>
    <t>كرسي كاميليا بيج</t>
  </si>
  <si>
    <t>ATLANTIC-200</t>
  </si>
  <si>
    <t>كرسي كاميليا عاج</t>
  </si>
  <si>
    <t>ATLANTIC-50</t>
  </si>
  <si>
    <t>كرسي كاميليا ملون</t>
  </si>
  <si>
    <t>LECICO ATL-T</t>
  </si>
  <si>
    <t>كرسي كرنفال ابيض</t>
  </si>
  <si>
    <t>LECICO ATL</t>
  </si>
  <si>
    <t>كرسي كرنفال بيج</t>
  </si>
  <si>
    <t>Lecico the lebanese ceramic industries co. s.a.l - محل زين</t>
  </si>
  <si>
    <t>LECICO ATL-M</t>
  </si>
  <si>
    <t>كرسي كرنفال عاج</t>
  </si>
  <si>
    <t>39426</t>
  </si>
  <si>
    <t>كرسي كرنفال ملون</t>
  </si>
  <si>
    <t>39439</t>
  </si>
  <si>
    <t>كرسي لاغونا ارض ابيض</t>
  </si>
  <si>
    <t>39491</t>
  </si>
  <si>
    <t>كرسي لاغونا ارض بيج</t>
  </si>
  <si>
    <t>39440</t>
  </si>
  <si>
    <t>كرسي لاغونا ارض عاج</t>
  </si>
  <si>
    <t>39493</t>
  </si>
  <si>
    <t>كرسي لاغونا ارض ملون</t>
  </si>
  <si>
    <t>40457</t>
  </si>
  <si>
    <t>كرسي لاغونا تعليق ابيض</t>
  </si>
  <si>
    <t>36452</t>
  </si>
  <si>
    <t>كرسي لاغونا تعليق بيج</t>
  </si>
  <si>
    <t>40463</t>
  </si>
  <si>
    <t>كرسي لاغونا تعليق عاج</t>
  </si>
  <si>
    <t>29079</t>
  </si>
  <si>
    <t>كرسي لاغونا تعليق ملون</t>
  </si>
  <si>
    <t>20238</t>
  </si>
  <si>
    <t>كرسي مع صندوق عاج 2160A</t>
  </si>
  <si>
    <t>GR-30536</t>
  </si>
  <si>
    <t>كرسي موديل فينيسيا ابيض</t>
  </si>
  <si>
    <t>GR-31367</t>
  </si>
  <si>
    <t>كرسي موديل فينيسيا بيج</t>
  </si>
  <si>
    <t>GR-23328</t>
  </si>
  <si>
    <t>كرسي موديل فينيسيا عاج</t>
  </si>
  <si>
    <t>GR-20474</t>
  </si>
  <si>
    <t>كرسي موديل فينيسيا ملون</t>
  </si>
  <si>
    <t>23334</t>
  </si>
  <si>
    <t>كرسي ميم ابيض</t>
  </si>
  <si>
    <t>23333</t>
  </si>
  <si>
    <t>كرسي ميم بيج</t>
  </si>
  <si>
    <t>MOTRBENB30</t>
  </si>
  <si>
    <t>كرسي ميم عاج</t>
  </si>
  <si>
    <t>MOTRBEN</t>
  </si>
  <si>
    <t>كرسي ميم ملون</t>
  </si>
  <si>
    <t>TY-450L</t>
  </si>
  <si>
    <t>كرسي ميموزا ابيض</t>
  </si>
  <si>
    <t>TY-650L</t>
  </si>
  <si>
    <t>كرسي ميموزا ملون</t>
  </si>
  <si>
    <t>3Y5P6205D</t>
  </si>
  <si>
    <t>كرسي نايس ابيض</t>
  </si>
  <si>
    <t>CMC</t>
  </si>
  <si>
    <t>كرسي نايس عاج</t>
  </si>
  <si>
    <t>MOTRCOM</t>
  </si>
  <si>
    <t>كليبس ابيض 20 ملم تركي</t>
  </si>
  <si>
    <t>MOTRCOMTA4</t>
  </si>
  <si>
    <t>كليبس ابيض 25 ملم تركي</t>
  </si>
  <si>
    <t>AUTO-COP</t>
  </si>
  <si>
    <t>كليبس ابيض 32 ملم تركي</t>
  </si>
  <si>
    <t>AUTO-CO</t>
  </si>
  <si>
    <t>كليبس ابيض 40 ملم تركي</t>
  </si>
  <si>
    <t>COMET4A</t>
  </si>
  <si>
    <t>كليبس ابيض 50 ملم تركي</t>
  </si>
  <si>
    <t>COMET6A</t>
  </si>
  <si>
    <t>كليبس ابيض 63 ملم تركي</t>
  </si>
  <si>
    <t>COMET8 A</t>
  </si>
  <si>
    <t>كليبس اخضر 20 ملم تركي</t>
  </si>
  <si>
    <t>MOTRCMTG-4HP</t>
  </si>
  <si>
    <t>كليبس اخضر 25 ملم تركي</t>
  </si>
  <si>
    <t>COM50</t>
  </si>
  <si>
    <t>كليبس اخضر 32 ملم تركي</t>
  </si>
  <si>
    <t>MOTRCMT</t>
  </si>
  <si>
    <t>كليبس اخضر 40 ملم تركي</t>
  </si>
  <si>
    <t>MOTRCMTG</t>
  </si>
  <si>
    <t>كليبس اخضر 50 ملم تركي</t>
  </si>
  <si>
    <t>COMET</t>
  </si>
  <si>
    <t>MOTRCOMTA</t>
  </si>
  <si>
    <t>كليبس اخضر 63 ملم تركي</t>
  </si>
  <si>
    <t>MOTRCMTD</t>
  </si>
  <si>
    <t>كليبس بلاط 2 ملم</t>
  </si>
  <si>
    <t>MOTRCMTF</t>
  </si>
  <si>
    <t>كليبس رباط 16 ملم الحبه</t>
  </si>
  <si>
    <t>GR-31191</t>
  </si>
  <si>
    <t>كلينر بلاستيك 1/2 كيلو امريكي</t>
  </si>
  <si>
    <t>MOTRCVCG</t>
  </si>
  <si>
    <t>كوع انتاية كروم 16*1/2</t>
  </si>
  <si>
    <t>COVACO</t>
  </si>
  <si>
    <t>MOT-COVA</t>
  </si>
  <si>
    <t>كوع انتاية كروم 18*1/2</t>
  </si>
  <si>
    <t>TABCOVER</t>
  </si>
  <si>
    <t>كوع انتاية كروم 20*3/4</t>
  </si>
  <si>
    <t>TABCOVER-1</t>
  </si>
  <si>
    <t>كوع بسن انتاية 20*1/2 زراعي</t>
  </si>
  <si>
    <t>TABCOVER-2</t>
  </si>
  <si>
    <t>كوع بسن انتاية 25*3/4 زراعي</t>
  </si>
  <si>
    <t>TABCOVER-3</t>
  </si>
  <si>
    <t>كوع بسن انتاية 32*1 زراعي</t>
  </si>
  <si>
    <t>142105</t>
  </si>
  <si>
    <t>كوع بسن انتاية 40*1 1/4 زراعي</t>
  </si>
  <si>
    <t>142005</t>
  </si>
  <si>
    <t>كوع بسن انتاية 50*1 1/2 زراعي</t>
  </si>
  <si>
    <t>MOTRDABGT1500M</t>
  </si>
  <si>
    <t>كوع بسن انتاية 63*2 زراعي</t>
  </si>
  <si>
    <t>MOTRDABGT1200M</t>
  </si>
  <si>
    <t>كوع بسن انتاية تلحيم 20*1/2 ابيض تركي</t>
  </si>
  <si>
    <t>MOTRDABJET</t>
  </si>
  <si>
    <t>كوع بسن انتاية تلحيم 20*1/2 اخضر تركي</t>
  </si>
  <si>
    <t>DAB 50/1180 X</t>
  </si>
  <si>
    <t>كوع بسن انتاية تلحيم 25*1/2 ابيض تركي</t>
  </si>
  <si>
    <t>MOTRDABF</t>
  </si>
  <si>
    <t>كوع بسن انتاية تلحيم 25*1/2 اخضر تركي</t>
  </si>
  <si>
    <t>MOTRDAB0.5</t>
  </si>
  <si>
    <t>كوع بسن انتاية تلحيم 25*3/4 ابيض تركي</t>
  </si>
  <si>
    <t>MOTRDAB0.5S</t>
  </si>
  <si>
    <t>كوع بسن انتاية تلحيم 25*3/4 اخضر تركي</t>
  </si>
  <si>
    <t>MOTRDAB0.75S</t>
  </si>
  <si>
    <t>كوع بسن انتاية تلحيم 32*1 ابيض تركي</t>
  </si>
  <si>
    <t>MOTRDAB0.8</t>
  </si>
  <si>
    <t>كوع بسن انتاية تلحيم 32*1 اخضر تركي</t>
  </si>
  <si>
    <t>MOTRDAB1T</t>
  </si>
  <si>
    <t>كوع بسن انتاية تلحيم 32*3/4 ابيض تركي</t>
  </si>
  <si>
    <t>MOTRDAB1S</t>
  </si>
  <si>
    <t>كوع بسن انتاية تلحيم 32*3/4 اخضر تركي</t>
  </si>
  <si>
    <t>PVCKB1</t>
  </si>
  <si>
    <t>كوع بسن انتاية تلحيم 40*1 1/4 ابيض تركي</t>
  </si>
  <si>
    <t>MOTRDABEN1.36S</t>
  </si>
  <si>
    <t>كوع بسن انتاية تلحيم 40*1 1/4 اخضر تركي</t>
  </si>
  <si>
    <t>MOTRDAB2.5DT</t>
  </si>
  <si>
    <t>كوع بسن انتاية ثابت 20*1/2 زراعي</t>
  </si>
  <si>
    <t>MOTRDAB3DV</t>
  </si>
  <si>
    <t>كوع بسن انتاية ثابت 25*3/4 زراعي</t>
  </si>
  <si>
    <t>MOTRDAB50</t>
  </si>
  <si>
    <t>كوع بسن انتاية ثابت تلحيم 20*1/2 ابيض تركي</t>
  </si>
  <si>
    <t>MOTRDABGT</t>
  </si>
  <si>
    <t>كوع بسن انتاية ثابت تلحيم 20*1/2 اخضر تركي</t>
  </si>
  <si>
    <t>MOTRDABG</t>
  </si>
  <si>
    <t>كوع بسن انتاية ثابت تلحيم 25*1/2 ابيض تركي</t>
  </si>
  <si>
    <t>MOTRDF</t>
  </si>
  <si>
    <t>كوع بسن انتاية ثابت تلحيم 25*1/2 اخضر تركي</t>
  </si>
  <si>
    <t>DAISHIN 2</t>
  </si>
  <si>
    <t>كوع بسن انتاية ثابت تلحيم 25*3/4 ابيض تركي</t>
  </si>
  <si>
    <t>DAISHIN 3</t>
  </si>
  <si>
    <t>كوع بسن انتاية ثابت تلحيم 25*3/4 اخضر تركي</t>
  </si>
  <si>
    <t>DAISHIN-H 3</t>
  </si>
  <si>
    <t>كوع بسن ذكر تلحيم 20*1/2 اخضر تركي</t>
  </si>
  <si>
    <t>MWLD-DEARAY</t>
  </si>
  <si>
    <t>كوع بسن ذكر تلحيم 25*1/2 اخضر تركي</t>
  </si>
  <si>
    <t>MOT-ESPA</t>
  </si>
  <si>
    <t>كوع بسن ذكر تلحيم 25*3/4 اخضر تركي</t>
  </si>
  <si>
    <t>RDTR-FER600</t>
  </si>
  <si>
    <t>كوع بسن ذكر تلحيم 32*1 اخضر تركي</t>
  </si>
  <si>
    <t>FX110</t>
  </si>
  <si>
    <t>كوع بسن ذكر تلحيم 32*3/4 اخضر تركي</t>
  </si>
  <si>
    <t>GAP-G85</t>
  </si>
  <si>
    <t>كوع بسن ذكر تلحيم 40*1 1/4 اخضر تركي</t>
  </si>
  <si>
    <t>MOT-GAP 1.5M</t>
  </si>
  <si>
    <t>كوع بسن ذكر ثابت تلحيم 20*1/2 اخضر تركي</t>
  </si>
  <si>
    <t>MOT-GAP 2 M</t>
  </si>
  <si>
    <t>كوع بسن ذكر ثابت تلحيم 25*1/2 اخضر تركي</t>
  </si>
  <si>
    <t>MOT-GAP 1.5MF</t>
  </si>
  <si>
    <t>كوع بسن ذكر ثابت تلحيم 25*3/4 اخضر تركي</t>
  </si>
  <si>
    <t>MOT-GAP 2</t>
  </si>
  <si>
    <t>كوع ثابت كروم 16*1/2</t>
  </si>
  <si>
    <t>GITRAL50</t>
  </si>
  <si>
    <t>كوع ثابت كروم 18*1/2</t>
  </si>
  <si>
    <t>GR-29126</t>
  </si>
  <si>
    <t>كوع ثابت كروم 20*1/2</t>
  </si>
  <si>
    <t>GR-27702</t>
  </si>
  <si>
    <t>كوع حديد اسود 1 1/2 AFLB</t>
  </si>
  <si>
    <t>GR-27704</t>
  </si>
  <si>
    <t>كوع حديد اسود 1 1/4 AFLB</t>
  </si>
  <si>
    <t>GR-35600</t>
  </si>
  <si>
    <t>كوع حديد اسود 1 AFLB</t>
  </si>
  <si>
    <t>GR-26687</t>
  </si>
  <si>
    <t>كوع حديد اسود 1/2 AFLB</t>
  </si>
  <si>
    <t>MOTRGRNDR</t>
  </si>
  <si>
    <t>كوع حديد اسود 2 AFLB</t>
  </si>
  <si>
    <t>GRND</t>
  </si>
  <si>
    <t>MGS165</t>
  </si>
  <si>
    <t>كوع حديد اسود 3 AFLB</t>
  </si>
  <si>
    <t>MOTRHLMR</t>
  </si>
  <si>
    <t>كوع حديد اسود 3/4 AFLB</t>
  </si>
  <si>
    <t>عبد الاحد يورو غير رسمي*</t>
  </si>
  <si>
    <t>GR-26404</t>
  </si>
  <si>
    <t>كوع حديد اسود 4 AFLB</t>
  </si>
  <si>
    <t>MOTRHPY1/2</t>
  </si>
  <si>
    <t>كوع حديد مزيبق 1 1/2 AFL</t>
  </si>
  <si>
    <t>MOTRHPY3/4</t>
  </si>
  <si>
    <t>كوع حديد مزيبق 1 1/2 HE</t>
  </si>
  <si>
    <t>MOTRHPY1</t>
  </si>
  <si>
    <t>كوع حديد مزيبق 1 1/4 AFL</t>
  </si>
  <si>
    <t>KLIMA -70</t>
  </si>
  <si>
    <t>كوع حديد مزيبق 1 1/4 HE</t>
  </si>
  <si>
    <t>KLIMA -H-4</t>
  </si>
  <si>
    <t>كوع حديد مزيبق 1 AFL</t>
  </si>
  <si>
    <t>KLIMA-H-70</t>
  </si>
  <si>
    <t>كوع حديد مزيبق 1 HE</t>
  </si>
  <si>
    <t>KLIMA40</t>
  </si>
  <si>
    <t>كوع حديد مزيبق 1/2 AFL</t>
  </si>
  <si>
    <t>HET1 1/2</t>
  </si>
  <si>
    <t>كوع حديد مزيبق 1/2 HE</t>
  </si>
  <si>
    <t>HESN1 1/2</t>
  </si>
  <si>
    <t>كوع حديد مزيبق 2 AFL</t>
  </si>
  <si>
    <t>HESZ1 1/2</t>
  </si>
  <si>
    <t>كوع حديد مزيبق 2 HE</t>
  </si>
  <si>
    <t>HESHB1 1/2</t>
  </si>
  <si>
    <t>كوع حديد مزيبق 3 AFL</t>
  </si>
  <si>
    <t>HESHMSH1 1/2</t>
  </si>
  <si>
    <t>كوع حديد مزيبق 3 HE</t>
  </si>
  <si>
    <t>HEQW1 1/2</t>
  </si>
  <si>
    <t>كوع حديد مزيبق 3/4 AFL</t>
  </si>
  <si>
    <t>HEK1 1/2</t>
  </si>
  <si>
    <t>كوع حديد مزيبق 3/4 HE</t>
  </si>
  <si>
    <t>HEKZ1 1/2</t>
  </si>
  <si>
    <t>كوع حديد مزيبق 4 AFL</t>
  </si>
  <si>
    <t>HEKTZ1 1/2</t>
  </si>
  <si>
    <t>كوع حديد مزيبق 4 HE</t>
  </si>
  <si>
    <t>HEWZ1 1/2</t>
  </si>
  <si>
    <t>كوع دوبل 20*20 زراعي</t>
  </si>
  <si>
    <t>HEWZL1 1/2</t>
  </si>
  <si>
    <t>كوع دوبل 25*25 زراعي</t>
  </si>
  <si>
    <t>HESHM1 1/2*1 1/4</t>
  </si>
  <si>
    <t>كوع دوبل 32*32 زراعي</t>
  </si>
  <si>
    <t>HEWM1 1/2*1 1/4</t>
  </si>
  <si>
    <t>كوع دوبل 40*40 زراعي</t>
  </si>
  <si>
    <t>HESHM1 1/2*1</t>
  </si>
  <si>
    <t>كوع دوبل 50*50 زراعي</t>
  </si>
  <si>
    <t>HEWM1 1/2*1</t>
  </si>
  <si>
    <t>كوع دوبل 63*63 زراعي</t>
  </si>
  <si>
    <t>HETM1 1/2*1/2</t>
  </si>
  <si>
    <t>كوع دوبل كروم 16*16</t>
  </si>
  <si>
    <t>HESHM1 1/2*1/2</t>
  </si>
  <si>
    <t>كوع دوبل كروم 18*18</t>
  </si>
  <si>
    <t>HESHM1 1/2*3/4</t>
  </si>
  <si>
    <t>كوع دوبل كروم 20*20</t>
  </si>
  <si>
    <t>HEWM1 1/2*3/4</t>
  </si>
  <si>
    <t>كوع دوبل كروم 25*25</t>
  </si>
  <si>
    <t>HET1 1/4</t>
  </si>
  <si>
    <t>كوع دوبل كروم 32*32</t>
  </si>
  <si>
    <t>HESN1 1/4</t>
  </si>
  <si>
    <t>كوع ذكر حديد اسود 1 1/2 AFLB</t>
  </si>
  <si>
    <t>HESZ1 1/4</t>
  </si>
  <si>
    <t>كوع ذكر حديد اسود 1 1/4 AFLB</t>
  </si>
  <si>
    <t>HESHB1 1/4</t>
  </si>
  <si>
    <t>كوع ذكر حديد اسود 1 AFLB</t>
  </si>
  <si>
    <t>HESHMSH1 1/4</t>
  </si>
  <si>
    <t>كوع ذكر حديد اسود 1/2 AFLB</t>
  </si>
  <si>
    <t>HEQW1 1/4</t>
  </si>
  <si>
    <t>كوع ذكر حديد اسود 2 AFLB</t>
  </si>
  <si>
    <t>HEK1 1/4</t>
  </si>
  <si>
    <t>كوع ذكر حديد اسود 3 AFLB</t>
  </si>
  <si>
    <t>HEKZ1 1/4</t>
  </si>
  <si>
    <t>كوع ذكر حديد اسود 3/4 AFLB</t>
  </si>
  <si>
    <t>HEKTN1 1/4</t>
  </si>
  <si>
    <t>كوع ذكر حديد اسود 4 AFLB</t>
  </si>
  <si>
    <t>HEKTZ1 1/4</t>
  </si>
  <si>
    <t>كوع ذكر حديد مزيبق 1 1/2 AFL</t>
  </si>
  <si>
    <t>HEW1 1/4</t>
  </si>
  <si>
    <t>كوع ذكر حديد مزيبق 1 1/2 HE</t>
  </si>
  <si>
    <t>HEWZL1 1/4</t>
  </si>
  <si>
    <t>كوع ذكر حديد مزيبق 1 1/4 AFL</t>
  </si>
  <si>
    <t>HESHM1 1/4*1</t>
  </si>
  <si>
    <t>كوع ذكر حديد مزيبق 1 1/4 HE</t>
  </si>
  <si>
    <t>HEWM1 1/4*1</t>
  </si>
  <si>
    <t>كوع ذكر حديد مزيبق 1 AFL</t>
  </si>
  <si>
    <t>HETM1 1/4*1/2</t>
  </si>
  <si>
    <t>كوع ذكر حديد مزيبق 1 HE</t>
  </si>
  <si>
    <t>HESHM1 1/4*1/2</t>
  </si>
  <si>
    <t>كوع ذكر حديد مزيبق 1/2 AFL</t>
  </si>
  <si>
    <t>HEWM1 1/4*1/2</t>
  </si>
  <si>
    <t>كوع ذكر حديد مزيبق 1/2 HE</t>
  </si>
  <si>
    <t>HETM1 1/4*3/4</t>
  </si>
  <si>
    <t>كوع ذكر حديد مزيبق 2 AFL</t>
  </si>
  <si>
    <t>HESHM1 1/4*3/4</t>
  </si>
  <si>
    <t>كوع ذكر حديد مزيبق 2 HE</t>
  </si>
  <si>
    <t>HEWM1 1/4*3/4</t>
  </si>
  <si>
    <t>كوع ذكر حديد مزيبق 3 AFL</t>
  </si>
  <si>
    <t>HET1</t>
  </si>
  <si>
    <t>كوع ذكر حديد مزيبق 3 HE</t>
  </si>
  <si>
    <t>HESN1</t>
  </si>
  <si>
    <t>كوع ذكر حديد مزيبق 3/4 AFL</t>
  </si>
  <si>
    <t>HESZ1</t>
  </si>
  <si>
    <t>كوع ذكر حديد مزيبق 3/4 HE</t>
  </si>
  <si>
    <t>HESHB1</t>
  </si>
  <si>
    <t>كوع ذكر حديد مزيبق 4 AFL</t>
  </si>
  <si>
    <t>HESHMSH1</t>
  </si>
  <si>
    <t>كوع ذكر حديد مزيبق 4 HE</t>
  </si>
  <si>
    <t>HESHMSH1-12CM</t>
  </si>
  <si>
    <t>كوع ذكر كروم 16*1/2</t>
  </si>
  <si>
    <t>HEQW1</t>
  </si>
  <si>
    <t>كوع ذكر كروم 18*1/2</t>
  </si>
  <si>
    <t>HEK1</t>
  </si>
  <si>
    <t>كوع زاوية بلاستيك 1</t>
  </si>
  <si>
    <t>HEKZ1</t>
  </si>
  <si>
    <t>كوع زاوية بلاستيك 1 1/2</t>
  </si>
  <si>
    <t>HEKTZF1</t>
  </si>
  <si>
    <t>كوع زاوية بلاستيك 1 1/2 كوكو KOKO</t>
  </si>
  <si>
    <t>HEKMT1</t>
  </si>
  <si>
    <t>كوع زاوية بلاستيك 1 1/4</t>
  </si>
  <si>
    <t>HEWZ1</t>
  </si>
  <si>
    <t>كوع زاوية بلاستيك 1 1/4 كوكو KOKO</t>
  </si>
  <si>
    <t>HEW1</t>
  </si>
  <si>
    <t>كوع زاوية بلاستيك 1 كوكو KOKO</t>
  </si>
  <si>
    <t>HEWZL1</t>
  </si>
  <si>
    <t>كوع زاوية بلاستيك 1/2</t>
  </si>
  <si>
    <t>HEKZ1*1*1/2</t>
  </si>
  <si>
    <t>كوع زاوية بلاستيك 1/2 كوكو KOKO</t>
  </si>
  <si>
    <t>HETM1*3/4*1</t>
  </si>
  <si>
    <t>كوع زاوية بلاستيك 2</t>
  </si>
  <si>
    <t>HETM1*1/2</t>
  </si>
  <si>
    <t>كوع زاوية بلاستيك 2 كوكو KOKO</t>
  </si>
  <si>
    <t>HESHM1*1/2</t>
  </si>
  <si>
    <t>كوع زاوية بلاستيك 3</t>
  </si>
  <si>
    <t>HEKM1*1/2</t>
  </si>
  <si>
    <t>كوع زاوية بلاستيك 3 كوكو KOKO</t>
  </si>
  <si>
    <t>HEWM1*1/2</t>
  </si>
  <si>
    <t>كوع زاوية بلاستيك 3/4</t>
  </si>
  <si>
    <t>HETM1*3/4</t>
  </si>
  <si>
    <t>كوع زاوية بلاستيك 3/4 كوكو KOKO</t>
  </si>
  <si>
    <t>HESHM1*3/4</t>
  </si>
  <si>
    <t>كوع زاوية بلاستيك 4</t>
  </si>
  <si>
    <t>HEKM1*3/4</t>
  </si>
  <si>
    <t>كوع زاوية بلاستيك 4 كوكو KOKO</t>
  </si>
  <si>
    <t>HEWM1*3/4</t>
  </si>
  <si>
    <t>كوع زاوية بلاستيك 5</t>
  </si>
  <si>
    <t>HET1/2</t>
  </si>
  <si>
    <t>كوع زاوية بلاستيك 5 كوكو KOKO</t>
  </si>
  <si>
    <t>HESN1/2</t>
  </si>
  <si>
    <t>كوع زاوية بلاستيك 6</t>
  </si>
  <si>
    <t>HESZ1/2</t>
  </si>
  <si>
    <t>كوع زاوية بلاستيك 6 كوكو KOKO</t>
  </si>
  <si>
    <t>HESHB1/2</t>
  </si>
  <si>
    <t>كوع زاوية بلاستيك اوروبي 110 كوكو KOKO</t>
  </si>
  <si>
    <t>HESHMSH1/2</t>
  </si>
  <si>
    <t>كوع زاوية بلاستيك اوروبي 125 كوكو KOKO</t>
  </si>
  <si>
    <t>HEQW1/2</t>
  </si>
  <si>
    <t>كوع زاوية بلاستيك اوروبي 160 كوكو KOKO</t>
  </si>
  <si>
    <t>HEK1/2</t>
  </si>
  <si>
    <t>كوع زاوية بلاستيك اوروبي 200 كوكو KOKO</t>
  </si>
  <si>
    <t>HEKZ1/2</t>
  </si>
  <si>
    <t>كوع زاوية بلاستيك اوروبي 50 كوكو KOKO</t>
  </si>
  <si>
    <t>HEKTZF1/2</t>
  </si>
  <si>
    <t>كوع زاوية بلاستيك اوروبي 75 كوكو KOKO</t>
  </si>
  <si>
    <t>HEKFQZ1/2</t>
  </si>
  <si>
    <t>كوع زاوية بلاستيك بجوان الماني 110 ملم</t>
  </si>
  <si>
    <t>HEWZ1/2</t>
  </si>
  <si>
    <t>كوع زاوية بلاستيك بجوان الماني 125 ملم</t>
  </si>
  <si>
    <t>HEWZL1/2</t>
  </si>
  <si>
    <t>كوع زاوية بلاستيك بجوان الماني 160 ملم</t>
  </si>
  <si>
    <t>HESZ2 1/2</t>
  </si>
  <si>
    <t>كوع زاوية بلاستيك بجوان الماني 200 ملم</t>
  </si>
  <si>
    <t>HESHB2 1/2</t>
  </si>
  <si>
    <t>كوع زاوية بلاستيك بجوان الماني 50 ملم</t>
  </si>
  <si>
    <t>HEWZL2 1/2</t>
  </si>
  <si>
    <t>كوع زاوية بلاستيك بجوان الماني 75 ملم</t>
  </si>
  <si>
    <t>HESHM2 1/2*2</t>
  </si>
  <si>
    <t>كوع زاوية بلاستيك بجوان تركي 110 ملم</t>
  </si>
  <si>
    <t>HESHM2 1/2*3/4</t>
  </si>
  <si>
    <t>كوع زاوية بلاستيك بجوان تركي 125 ملم</t>
  </si>
  <si>
    <t>HET2</t>
  </si>
  <si>
    <t>كوع زاوية بلاستيك بجوان تركي 160 ملم</t>
  </si>
  <si>
    <t>HESN2</t>
  </si>
  <si>
    <t>كوع زاوية بلاستيك بجوان تركي 200 ملم</t>
  </si>
  <si>
    <t>HESZ2</t>
  </si>
  <si>
    <t>كوع زاوية بلاستيك بجوان تركي 50 ملم</t>
  </si>
  <si>
    <t>HESHB2</t>
  </si>
  <si>
    <t>كوع زاوية بلاستيك بجوان تركي 75 ملم</t>
  </si>
  <si>
    <t>HESHMSH2</t>
  </si>
  <si>
    <t>كوع زاوية تلحيم 20 ملم ابيض تركي</t>
  </si>
  <si>
    <t>HEQW2</t>
  </si>
  <si>
    <t>كوع زاوية تلحيم 20 ملم اخضر تركي</t>
  </si>
  <si>
    <t>HEK2</t>
  </si>
  <si>
    <t>كوع زاوية تلحيم 25 ملم ابيض تركي</t>
  </si>
  <si>
    <t>HEKZ2</t>
  </si>
  <si>
    <t>كوع زاوية تلحيم 25 ملم اخضر تركي</t>
  </si>
  <si>
    <t>HEKTN2</t>
  </si>
  <si>
    <t>كوع زاوية تلحيم 32 ملم ابيض تركي</t>
  </si>
  <si>
    <t>HEW2</t>
  </si>
  <si>
    <t>كوع زاوية تلحيم 32 ملم اخضر تركي</t>
  </si>
  <si>
    <t>HEWZL2</t>
  </si>
  <si>
    <t>كوع زاوية تلحيم 40 ملم ابيض تركي</t>
  </si>
  <si>
    <t>HESHM2*1 1/2</t>
  </si>
  <si>
    <t>كوع زاوية تلحيم 40 ملم اخضر تركي</t>
  </si>
  <si>
    <t>HEKM2*1 1/2</t>
  </si>
  <si>
    <t>كوع زاوية تلحيم 50 ملم ابيض تركي</t>
  </si>
  <si>
    <t>HEWM2*1 1/2</t>
  </si>
  <si>
    <t>كوع زاوية تلحيم 50 ملم اخضر تركي</t>
  </si>
  <si>
    <t>HESHM2*1 1/4</t>
  </si>
  <si>
    <t>كوع زاوية تلحيم 63 ملم ابيض تركي</t>
  </si>
  <si>
    <t>HEKM2*1 1/4</t>
  </si>
  <si>
    <t>كوع زاوية تلحيم 63 ملم اخضر تركي</t>
  </si>
  <si>
    <t>HEWM2*1 1/4</t>
  </si>
  <si>
    <t>كوع زاوية ذكر 50 ملم تلزيق</t>
  </si>
  <si>
    <t>HESHM2*1</t>
  </si>
  <si>
    <t>كوع طويل انتاية حديد اسود 1 1/2 AFLB</t>
  </si>
  <si>
    <t>HEWM2*1</t>
  </si>
  <si>
    <t>كوع طويل انتاية حديد اسود 1 1/4 AFLB</t>
  </si>
  <si>
    <t>HESHM2*1/2</t>
  </si>
  <si>
    <t>كوع طويل انتاية حديد اسود 1 AFLB</t>
  </si>
  <si>
    <t>HESHM2*3/4</t>
  </si>
  <si>
    <t>كوع طويل انتاية حديد اسود 1/2 AFLB</t>
  </si>
  <si>
    <t>HESHMSH3</t>
  </si>
  <si>
    <t>كوع طويل انتاية حديد اسود 2 AFLB</t>
  </si>
  <si>
    <t>HEK3</t>
  </si>
  <si>
    <t>كوع طويل انتاية حديد اسود 3/4 AFLB</t>
  </si>
  <si>
    <t>HEKZ3</t>
  </si>
  <si>
    <t>كوع طويل انتاية حديد مزيبق 1 1/2 AFL</t>
  </si>
  <si>
    <t>HEWZL3</t>
  </si>
  <si>
    <t>كوع طويل انتاية حديد مزيبق 1 1/2 HE</t>
  </si>
  <si>
    <t>HESHM3*2 1/2</t>
  </si>
  <si>
    <t>كوع طويل انتاية حديد مزيبق 1 1/4 AFL</t>
  </si>
  <si>
    <t>HESHM3*2</t>
  </si>
  <si>
    <t>كوع طويل انتاية حديد مزيبق 1 1/4 HE</t>
  </si>
  <si>
    <t>HEWM3*2</t>
  </si>
  <si>
    <t>كوع طويل انتاية حديد مزيبق 1 AFL</t>
  </si>
  <si>
    <t>HET3/4</t>
  </si>
  <si>
    <t>كوع طويل انتاية حديد مزيبق 1 HE</t>
  </si>
  <si>
    <t>HESN3/4</t>
  </si>
  <si>
    <t>كوع طويل انتاية حديد مزيبق 1/2 AFL</t>
  </si>
  <si>
    <t>HESZ3/4</t>
  </si>
  <si>
    <t>كوع طويل انتاية حديد مزيبق 1/2 HE</t>
  </si>
  <si>
    <t>HESHB3/4</t>
  </si>
  <si>
    <t>كوع طويل انتاية حديد مزيبق 2 AFL</t>
  </si>
  <si>
    <t>HESHMSH3/4</t>
  </si>
  <si>
    <t>كوع طويل انتاية حديد مزيبق 2 HE</t>
  </si>
  <si>
    <t>HEQW3/4</t>
  </si>
  <si>
    <t>كوع طويل انتاية حديد مزيبق 3/4 AFL</t>
  </si>
  <si>
    <t>HEK3/4</t>
  </si>
  <si>
    <t>كوع طويل انتاية حديد مزيبق 3/4 HE</t>
  </si>
  <si>
    <t>HEKZ3/4</t>
  </si>
  <si>
    <t>كوع طويل بلاستيك 2</t>
  </si>
  <si>
    <t>HEKTN3/4</t>
  </si>
  <si>
    <t>كوع طويل بلاستيك 2 KOKO</t>
  </si>
  <si>
    <t>HEKTZ3/4</t>
  </si>
  <si>
    <t>كوع طويل ذكر حديد اسود 1 1/2 AFLB</t>
  </si>
  <si>
    <t>HEKFQZ3/4</t>
  </si>
  <si>
    <t>كوع طويل ذكر حديد اسود 1 1/4 AFLB</t>
  </si>
  <si>
    <t>HEWZ3/4</t>
  </si>
  <si>
    <t>كوع طويل ذكر حديد اسود 1 AFLB</t>
  </si>
  <si>
    <t>HEWZL3/4</t>
  </si>
  <si>
    <t>كوع طويل ذكر حديد اسود 1/2 AFLB</t>
  </si>
  <si>
    <t>HETM3/4*1/2</t>
  </si>
  <si>
    <t>كوع طويل ذكر حديد اسود 2 AFLB</t>
  </si>
  <si>
    <t>HESHM3/4*1/2</t>
  </si>
  <si>
    <t>كوع طويل ذكر حديد اسود 3/4 AFLB</t>
  </si>
  <si>
    <t>HEKM3/4*1/2</t>
  </si>
  <si>
    <t>كوع طويل ذكر حديد مزيبق 1 1/2 AFL</t>
  </si>
  <si>
    <t>HEWM3/4*1/2</t>
  </si>
  <si>
    <t>كوع طويل ذكر حديد مزيبق 1 1/2 HE</t>
  </si>
  <si>
    <t>HET4</t>
  </si>
  <si>
    <t>كوع طويل ذكر حديد مزيبق 1 1/4 AFL</t>
  </si>
  <si>
    <t>HESZ4</t>
  </si>
  <si>
    <t>كوع طويل ذكر حديد مزيبق 1 1/4 HE</t>
  </si>
  <si>
    <t>HESHB4</t>
  </si>
  <si>
    <t>كوع طويل ذكر حديد مزيبق 1 AFL</t>
  </si>
  <si>
    <t>جورج خوري</t>
  </si>
  <si>
    <t>HESHMSH4</t>
  </si>
  <si>
    <t>كوع طويل ذكر حديد مزيبق 1 HE</t>
  </si>
  <si>
    <t>HEK4</t>
  </si>
  <si>
    <t>كوع طويل ذكر حديد مزيبق 1/2 AFL</t>
  </si>
  <si>
    <t>خوري انترناشيونال</t>
  </si>
  <si>
    <t>HEKZ4</t>
  </si>
  <si>
    <t>كوع طويل ذكر حديد مزيبق 1/2 HE</t>
  </si>
  <si>
    <t>HEW4</t>
  </si>
  <si>
    <t>كوع طويل ذكر حديد مزيبق 2 AFL</t>
  </si>
  <si>
    <t>HESHM4*2</t>
  </si>
  <si>
    <t>كوع طويل ذكر حديد مزيبق 2 HE</t>
  </si>
  <si>
    <t>HEWM4*2</t>
  </si>
  <si>
    <t>كوع طويل ذكر حديد مزيبق 3/4 AFL</t>
  </si>
  <si>
    <t>HEBKZ1 1/4</t>
  </si>
  <si>
    <t>كوع طويل ذكر حديد مزيبق 3/4 HE</t>
  </si>
  <si>
    <t>HEB</t>
  </si>
  <si>
    <t>HEBSHM2*1 1/2</t>
  </si>
  <si>
    <t>كوع فاتح بلاستيك 1</t>
  </si>
  <si>
    <t>HEBWZ3/4</t>
  </si>
  <si>
    <t>كوع فاتح بلاستيك 1 1/2</t>
  </si>
  <si>
    <t>100245</t>
  </si>
  <si>
    <t>كوع فاتح بلاستيك 1 1/2 KOKO</t>
  </si>
  <si>
    <t>100298</t>
  </si>
  <si>
    <t>كوع فاتح بلاستيك 1 1/4</t>
  </si>
  <si>
    <t>HO-FLO0.5</t>
  </si>
  <si>
    <t>كوع فاتح بلاستيك 1 1/4 KOKO</t>
  </si>
  <si>
    <t>HO-FLO0.75</t>
  </si>
  <si>
    <t>كوع فاتح بلاستيك 1 KOKO</t>
  </si>
  <si>
    <t>HO-FLO 0.75KW</t>
  </si>
  <si>
    <t>كوع فاتح بلاستيك 1/2</t>
  </si>
  <si>
    <t>HO-FLO 1</t>
  </si>
  <si>
    <t>كوع فاتح بلاستيك 1/2 KOKO</t>
  </si>
  <si>
    <t>MOTRHFA</t>
  </si>
  <si>
    <t>كوع فاتح بلاستيك 2</t>
  </si>
  <si>
    <t>HIFO</t>
  </si>
  <si>
    <t>MOTRHIRO</t>
  </si>
  <si>
    <t>كوع فاتح بلاستيك 2 KOKO</t>
  </si>
  <si>
    <t>TP-2000</t>
  </si>
  <si>
    <t>كوع فاتح بلاستيك 3</t>
  </si>
  <si>
    <t>MWLDB</t>
  </si>
  <si>
    <t>كوع فاتح بلاستيك 3 KOKO</t>
  </si>
  <si>
    <t>KAMA-MWLD</t>
  </si>
  <si>
    <t>كوع فاتح بلاستيك 3/4</t>
  </si>
  <si>
    <t>MOTR-KATO</t>
  </si>
  <si>
    <t>كوع فاتح بلاستيك 3/4 KOKO</t>
  </si>
  <si>
    <t>PWM50*2</t>
  </si>
  <si>
    <t>كوع فاتح بلاستيك 4</t>
  </si>
  <si>
    <t>KOKOTFB1 1/2</t>
  </si>
  <si>
    <t>كوع فاتح بلاستيك 4 KOKO</t>
  </si>
  <si>
    <t>KOKOTYB1 1/2</t>
  </si>
  <si>
    <t>كوع فاتح بلاستيك 5</t>
  </si>
  <si>
    <t>KOKOKB1 1/2</t>
  </si>
  <si>
    <t>كوع فاتح بلاستيك 5 KOKO</t>
  </si>
  <si>
    <t>KOKOKZB1 1/2</t>
  </si>
  <si>
    <t>كوع فاتح بلاستيك 6</t>
  </si>
  <si>
    <t>KOKOKFB1 1/2</t>
  </si>
  <si>
    <t>كوع فاتح بلاستيك 6 KOKO</t>
  </si>
  <si>
    <t>KOKOWB1 1/2</t>
  </si>
  <si>
    <t>كوع فاتح بلاستيك 8</t>
  </si>
  <si>
    <t>KOKOWMB1 1/2</t>
  </si>
  <si>
    <t>كوع فاتح بلاستيك 8 KOKO</t>
  </si>
  <si>
    <t>KOKOWMB1 1/2*1</t>
  </si>
  <si>
    <t>كوع فاتح بلاستيك اوروبي 110 KOKO</t>
  </si>
  <si>
    <t>KOKOTFB1 1/4</t>
  </si>
  <si>
    <t>كوع فاتح بلاستيك اوروبي 125 KOKO</t>
  </si>
  <si>
    <t>KOKOKB1 1/4</t>
  </si>
  <si>
    <t>كوع فاتح بلاستيك اوروبي 160 KOKO</t>
  </si>
  <si>
    <t>KOKOKZB1 1/4</t>
  </si>
  <si>
    <t>كوع فاتح بلاستيك اوروبي 200 KOKO</t>
  </si>
  <si>
    <t>KOKOKFB1 1/4</t>
  </si>
  <si>
    <t>كوع فاتح بلاستيك اوروبي 50 KOKO</t>
  </si>
  <si>
    <t>KOKOWMB1 1/4</t>
  </si>
  <si>
    <t>كوع فاتح بلاستيك اوروبي 75 KOKO</t>
  </si>
  <si>
    <t>KOKOTFB1</t>
  </si>
  <si>
    <t>كوع فاتح بلاستيك بجوان الماني 110 ملم</t>
  </si>
  <si>
    <t>KOKOKB1</t>
  </si>
  <si>
    <t>كوع فاتح بلاستيك بجوان الماني 125 ملم</t>
  </si>
  <si>
    <t>KOKOKZB1</t>
  </si>
  <si>
    <t>كوع فاتح بلاستيك بجوان الماني 160 ملم</t>
  </si>
  <si>
    <t>KOKOKFB1</t>
  </si>
  <si>
    <t>كوع فاتح بلاستيك بجوان الماني 200 ملم</t>
  </si>
  <si>
    <t>KOKOWB1</t>
  </si>
  <si>
    <t>كوع فاتح بلاستيك بجوان الماني 50 ملم</t>
  </si>
  <si>
    <t>KOKOWMB1</t>
  </si>
  <si>
    <t>كوع فاتح بلاستيك بجوان الماني 75 ملم</t>
  </si>
  <si>
    <t>KOKO50</t>
  </si>
  <si>
    <t>كوع فاتح بلاستيك بجوان تركي 110 ملم</t>
  </si>
  <si>
    <t>KOKOKB1/2</t>
  </si>
  <si>
    <t>كوع فاتح بلاستيك بجوان تركي 125 ملم</t>
  </si>
  <si>
    <t>KOKOKZB1/2</t>
  </si>
  <si>
    <t>كوع فاتح بلاستيك بجوان تركي 160 ملم</t>
  </si>
  <si>
    <t>KOKOKFB1/2</t>
  </si>
  <si>
    <t>كوع فاتح بلاستيك بجوان تركي 200 ملم</t>
  </si>
  <si>
    <t>KOKOETF110</t>
  </si>
  <si>
    <t>كوع فاتح بلاستيك بجوان تركي 50 ملم</t>
  </si>
  <si>
    <t>KOKOETY110</t>
  </si>
  <si>
    <t>كوع فاتح بلاستيك بجوان تركي 75 ملم</t>
  </si>
  <si>
    <t>KOKOETSN110</t>
  </si>
  <si>
    <t>كوع فاتح تلحيم 20 ملم ابيض تركي</t>
  </si>
  <si>
    <t>KOKOET110</t>
  </si>
  <si>
    <t>كوع فاتح تلحيم 20 ملم اخضر تركي</t>
  </si>
  <si>
    <t>KOKOEKB110</t>
  </si>
  <si>
    <t>كوع فاتح تلحيم 25 ملم ابيض تركي</t>
  </si>
  <si>
    <t>KOKOEKZN110</t>
  </si>
  <si>
    <t>كوع فاتح تلحيم 25 ملم اخضر تركي</t>
  </si>
  <si>
    <t>KOKOEKFZ110</t>
  </si>
  <si>
    <t>كوع فاتح تلحيم 32 ملم ابيض تركي</t>
  </si>
  <si>
    <t>KOKOEW110</t>
  </si>
  <si>
    <t>كوع فاتح تلحيم 32 ملم اخضر تركي</t>
  </si>
  <si>
    <t>KOKO-110*50</t>
  </si>
  <si>
    <t>كوع فاتح تلحيم 40 ملم ابيض تركي</t>
  </si>
  <si>
    <t>KOKOEWM110*63</t>
  </si>
  <si>
    <t>كوع فاتح تلحيم 40 ملم اخضر تركي</t>
  </si>
  <si>
    <t>KOKOEKB125</t>
  </si>
  <si>
    <t>كوع فاتح تلحيم 50 ملم ابيض تركي</t>
  </si>
  <si>
    <t>KOKOEW125</t>
  </si>
  <si>
    <t>كوع فاتح تلحيم 50 ملم اخضر تركي</t>
  </si>
  <si>
    <t>KOKOEWM125*110</t>
  </si>
  <si>
    <t>كوع فاتح تلحيم 63 ملم ابيض تركي</t>
  </si>
  <si>
    <t>KOKOEWM125*75</t>
  </si>
  <si>
    <t>كوع فاتح تلحيم 63 ملم اخضر تركي</t>
  </si>
  <si>
    <t>KOKOEKB160</t>
  </si>
  <si>
    <t>كوع فاتح قصير ذكر حديد اسود 1/2 AFLB</t>
  </si>
  <si>
    <t>METER</t>
  </si>
  <si>
    <t>PVCEW160*110</t>
  </si>
  <si>
    <t>كوع فاتح قصير ذكر حديد اسود 3/4 AFLB</t>
  </si>
  <si>
    <t>KOKOTFB2</t>
  </si>
  <si>
    <t>كوع فاتح قصير ذكر حديد مزيبق 1/2 AFL</t>
  </si>
  <si>
    <t>KOKOTYB2</t>
  </si>
  <si>
    <t>كوع فاتح قصير ذكر حديد مزيبق 1/2 HE</t>
  </si>
  <si>
    <t>KOKOSBB2</t>
  </si>
  <si>
    <t>كوع فاتح قصير ذكر حديد مزيبق 3/4 AFL</t>
  </si>
  <si>
    <t>KOKOSPB2</t>
  </si>
  <si>
    <t>كوع فاتح قصير ذكر حديد مزيبق 3/4 HE</t>
  </si>
  <si>
    <t>KOKOKB2</t>
  </si>
  <si>
    <t>كوع مخالف بلاستيك 5*4</t>
  </si>
  <si>
    <t>KOKOKZB2</t>
  </si>
  <si>
    <t>كوع مخالف حديد اسود 1 1/2*2 AFLB</t>
  </si>
  <si>
    <t>KOKOKFB2</t>
  </si>
  <si>
    <t>كوع مخالف حديد اسود 1 1/4*1 1/2 AFLB</t>
  </si>
  <si>
    <t>KOKOKTB2</t>
  </si>
  <si>
    <t>كوع مخالف حديد اسود 1 1/4*2 AFLB</t>
  </si>
  <si>
    <t>KOKOWB2</t>
  </si>
  <si>
    <t>كوع مخالف حديد اسود 1*1 1/2 AFLB</t>
  </si>
  <si>
    <t>KOKOWMB2</t>
  </si>
  <si>
    <t>كوع مخالف حديد اسود 1*1 1/4 AFLB</t>
  </si>
  <si>
    <t>KOKOKMB2*1 1/4</t>
  </si>
  <si>
    <t>كوع مخالف حديد اسود 1/2*1 AFLB</t>
  </si>
  <si>
    <t>KOKOEKB200</t>
  </si>
  <si>
    <t>كوع مخالف حديد اسود 1/2*3/4 AFLB</t>
  </si>
  <si>
    <t>PVCEKB250</t>
  </si>
  <si>
    <t>كوع مخالف حديد اسود 3/4*1 AFLB</t>
  </si>
  <si>
    <t>KOKOTFB3</t>
  </si>
  <si>
    <t>كوع مخالف حديد مزيبق 1 1/2*2 AFL</t>
  </si>
  <si>
    <t>KOKOTYB3</t>
  </si>
  <si>
    <t>كوع مخالف حديد مزيبق 1 1/2*2 HE</t>
  </si>
  <si>
    <t>KOKOSBB3</t>
  </si>
  <si>
    <t>كوع مخالف حديد مزيبق 1 1/4*1 1/2 AFL</t>
  </si>
  <si>
    <t>KOKOSPB3</t>
  </si>
  <si>
    <t>كوع مخالف حديد مزيبق 1 1/4*1 1/2 HE</t>
  </si>
  <si>
    <t>KOKOKB3</t>
  </si>
  <si>
    <t>كوع مخالف حديد مزيبق 1 1/4*2 AFL</t>
  </si>
  <si>
    <t>KOKOKZB3</t>
  </si>
  <si>
    <t>كوع مخالف حديد مزيبق 1 1/4*2 HE</t>
  </si>
  <si>
    <t>KOKOKFB3</t>
  </si>
  <si>
    <t>كوع مخالف حديد مزيبق 1*1 1/2 AFL</t>
  </si>
  <si>
    <t>KOKOWB3</t>
  </si>
  <si>
    <t>كوع مخالف حديد مزيبق 1*1 1/2 HE</t>
  </si>
  <si>
    <t>KOKOWMB3</t>
  </si>
  <si>
    <t>كوع مخالف حديد مزيبق 1*1 1/4 AFL</t>
  </si>
  <si>
    <t>KOKOSSB3*5</t>
  </si>
  <si>
    <t>كوع مخالف حديد مزيبق 1*1 1/4 HE</t>
  </si>
  <si>
    <t>KOKOWMB3*5</t>
  </si>
  <si>
    <t>كوع مخالف حديد مزيبق 1/2*1 AFL</t>
  </si>
  <si>
    <t>KOKOPN50*3/4</t>
  </si>
  <si>
    <t>كوع مخالف حديد مزيبق 1/2*1 HE</t>
  </si>
  <si>
    <t>KOKOTFB3/4</t>
  </si>
  <si>
    <t>كوع مخالف حديد مزيبق 1/2*3/4 AFL</t>
  </si>
  <si>
    <t>KOKOKB3/4</t>
  </si>
  <si>
    <t>كوع مخالف حديد مزيبق 1/2*3/4 HE</t>
  </si>
  <si>
    <t>KOKOKZB3/4</t>
  </si>
  <si>
    <t>كوع مخالف حديد مزيبق 3/4*1 AFL</t>
  </si>
  <si>
    <t>KOKOKFB3/4</t>
  </si>
  <si>
    <t>كوع مخالف حديد مزيبق 3/4*1 HE</t>
  </si>
  <si>
    <t>KOKOWB3/4</t>
  </si>
  <si>
    <t>كوع مدفع بلاستيك 4</t>
  </si>
  <si>
    <t>KOKOWMB3/4</t>
  </si>
  <si>
    <t>كوع مدفع بلاستيك بجوان تركي 110 ملم</t>
  </si>
  <si>
    <t>KOKOTFB4</t>
  </si>
  <si>
    <t>لمبة طاقة شمسية 3000K 1000W</t>
  </si>
  <si>
    <t>KOKOTYB4</t>
  </si>
  <si>
    <t>لمبة طاقة شمسية 3000K 400W</t>
  </si>
  <si>
    <t>KOKOTSNB4</t>
  </si>
  <si>
    <t>لمبة طاقة شمسية 6500K 1000W</t>
  </si>
  <si>
    <t>KOKOTSB4</t>
  </si>
  <si>
    <t>لمبة طاقة شمسية 6500K 200W</t>
  </si>
  <si>
    <t>KOKOSBB4</t>
  </si>
  <si>
    <t>لمبة طاقة شمسية 6500K 300W</t>
  </si>
  <si>
    <t>KOKOT4</t>
  </si>
  <si>
    <t>لمبة طاقة شمسية 6500K 400W</t>
  </si>
  <si>
    <t>KOKOKB4</t>
  </si>
  <si>
    <t>لمبة طاقة شمسية قطعتين فضائي 3000K 300W</t>
  </si>
  <si>
    <t>KOKOKZB4</t>
  </si>
  <si>
    <t>مبولة تارغا ابيض</t>
  </si>
  <si>
    <t>KOKOKFB4</t>
  </si>
  <si>
    <t>مبولة تارغا بيج</t>
  </si>
  <si>
    <t>KOKOKMB4</t>
  </si>
  <si>
    <t>مبولة تارغا عاج</t>
  </si>
  <si>
    <t>KOKOWB4</t>
  </si>
  <si>
    <t>مبولة تارغا ملون</t>
  </si>
  <si>
    <t>KOKOWMB4</t>
  </si>
  <si>
    <t>مبولة نون ابيض</t>
  </si>
  <si>
    <t>KOKOSB4*2</t>
  </si>
  <si>
    <t>مبولة نون ملون</t>
  </si>
  <si>
    <t>KOKOSB4*3</t>
  </si>
  <si>
    <t>مجراية 40 سم بلاطة فيها FEHA</t>
  </si>
  <si>
    <t>KOKOTFB5</t>
  </si>
  <si>
    <t>مجراية 50 سم بلاطة سوبر دريم SUPER DREAM</t>
  </si>
  <si>
    <t>KOKOTYB5</t>
  </si>
  <si>
    <t>مجراية 50 سم بلاطة فيها FEHA</t>
  </si>
  <si>
    <t>KOKOSBB5</t>
  </si>
  <si>
    <t>مجراية 60 سم بلاطة سوبر دريم SUPER DREAM</t>
  </si>
  <si>
    <t>KOKOKB5</t>
  </si>
  <si>
    <t>مجراية 60 سم بلاطة فيها FEHA</t>
  </si>
  <si>
    <t>KOKOKZB5</t>
  </si>
  <si>
    <t>مجلى رزين اسود شيمن بلو 80*50*20 SHIMEN BLUE</t>
  </si>
  <si>
    <t>KOKOKFB5</t>
  </si>
  <si>
    <t>مجلى ستانلس 100*50</t>
  </si>
  <si>
    <t>KOKOWB5</t>
  </si>
  <si>
    <t>مجموع شطافة م.ايطالي ميرو MERO</t>
  </si>
  <si>
    <t>KOKOWMB5</t>
  </si>
  <si>
    <t>مجموعة دوش بلاستيك ابيض</t>
  </si>
  <si>
    <t>KOKOSSB5*2</t>
  </si>
  <si>
    <t>مجموعة دوش دائري ابيض بريفا BRIVA BL03</t>
  </si>
  <si>
    <t>KOKOKMB5*4</t>
  </si>
  <si>
    <t>مجموعة دوش دائري ازرق بريفا BRIVA BL04</t>
  </si>
  <si>
    <t>KOKOESB50</t>
  </si>
  <si>
    <t>مجموعة دوش دائري كروم بريفا BRIVA BL02</t>
  </si>
  <si>
    <t>KOKOEKB50</t>
  </si>
  <si>
    <t>مجموعة دوش مربع دائري رمادي بريفا BRIVA BL01</t>
  </si>
  <si>
    <t>KOKOEKZN50</t>
  </si>
  <si>
    <t>مجموعة دوش مربع رمادي بريفا BRIVA BL06</t>
  </si>
  <si>
    <t>فؤاد السبع - كوكو</t>
  </si>
  <si>
    <t>KOKOEWM50*32</t>
  </si>
  <si>
    <t>مجموعة دوش مرسيدس بريفا BRIVA BL05</t>
  </si>
  <si>
    <t>PSS50*75*125</t>
  </si>
  <si>
    <t>مجموعة شطافة بريفا BRIVA</t>
  </si>
  <si>
    <t>KOKOKB6</t>
  </si>
  <si>
    <t>مجموعة شطافة غروهي صيني TEMPESTA</t>
  </si>
  <si>
    <t>KOKOKZB6</t>
  </si>
  <si>
    <t>مجموعة شطافة كروم بالكيس</t>
  </si>
  <si>
    <t>KOKOKFB6</t>
  </si>
  <si>
    <t>مجموعة شطافة ماليزي</t>
  </si>
  <si>
    <t>KOKOWB6</t>
  </si>
  <si>
    <t>مجموعة نواعم بلاستيك</t>
  </si>
  <si>
    <t>KOKOWMB6</t>
  </si>
  <si>
    <t>مراية 50*70 بالطول LED MC-12</t>
  </si>
  <si>
    <t>KOKOEWM63*50</t>
  </si>
  <si>
    <t>مراية 60*80 LED JH-1211 (مقشرة)</t>
  </si>
  <si>
    <t>KOKOETF75</t>
  </si>
  <si>
    <t>مراية 60*80 بالطول KRM ML-1021</t>
  </si>
  <si>
    <t>KOKOESB75</t>
  </si>
  <si>
    <t>مراية 60*80 بالطول بيوتي ميرور BEAUTY MIRROR</t>
  </si>
  <si>
    <t>KOKOW75</t>
  </si>
  <si>
    <t>مراية 60*80 بالطول فيدا VIDA</t>
  </si>
  <si>
    <t>KOKOEKB75</t>
  </si>
  <si>
    <t>مراية اوسكار 40*60 OSCAR VR9103</t>
  </si>
  <si>
    <t>KOKOEW75</t>
  </si>
  <si>
    <t>مراية اوسكار 50*100 سم اسود OSCAR VR7821F BLACK FRAME</t>
  </si>
  <si>
    <t>KOKOEWM75*50</t>
  </si>
  <si>
    <t>مراية اوسكار 50*70 OSCAR VR7602S</t>
  </si>
  <si>
    <t>KOKOSBB8</t>
  </si>
  <si>
    <t>مراية اوسكار 50*70 OSCAR VR7604S</t>
  </si>
  <si>
    <t>KOKOKB8</t>
  </si>
  <si>
    <t>مراية اوسكار 50*70 OSCAR VR9101</t>
  </si>
  <si>
    <t>KOKOKZB8</t>
  </si>
  <si>
    <t>مراية اوسكار 50*70 OSCAR VR9102</t>
  </si>
  <si>
    <t>KOKOWB8</t>
  </si>
  <si>
    <t>مراية اوسكار 60 سم OSCAR LED VR7801F</t>
  </si>
  <si>
    <t>KOKORB8*4</t>
  </si>
  <si>
    <t>مراية اوسكار 60*80 OSCAR VR7602S</t>
  </si>
  <si>
    <t>KOKOEK75*110*160</t>
  </si>
  <si>
    <t>مراية اوسكار 60*80 OSCAR VR7604S</t>
  </si>
  <si>
    <t>KOKOPSR8*5</t>
  </si>
  <si>
    <t>مراية اوسكار 60*80 سم اسود OSCAR VR7808F BLACK FRAME</t>
  </si>
  <si>
    <t>KOKOP2</t>
  </si>
  <si>
    <t>مراية اوسكار 80 سم اسود OSCAR VR7816F BLACK FRAME</t>
  </si>
  <si>
    <t>KOKORB2B</t>
  </si>
  <si>
    <t>مسكة حف</t>
  </si>
  <si>
    <t>PSS5*3</t>
  </si>
  <si>
    <t>مسكة شطافة ابيض 1$</t>
  </si>
  <si>
    <t>KOKOKN2*1</t>
  </si>
  <si>
    <t>مسكة شطافة كروم تركي</t>
  </si>
  <si>
    <t>KOKOKN2*4</t>
  </si>
  <si>
    <t>مسكة شطافة كروم صيني</t>
  </si>
  <si>
    <t>KOKOWB1/2*3/4</t>
  </si>
  <si>
    <t>مصفاية خلاط انتاية</t>
  </si>
  <si>
    <t>KOKO160*125 N</t>
  </si>
  <si>
    <t>مصفاية خلاط ذكر نحاس</t>
  </si>
  <si>
    <t>PN4*3</t>
  </si>
  <si>
    <t>مغسلة 040 ابيض</t>
  </si>
  <si>
    <t>PWM5*4</t>
  </si>
  <si>
    <t>مغسلة 040 عاج</t>
  </si>
  <si>
    <t>KOKO160*125</t>
  </si>
  <si>
    <t>مغسلة 50 سم 2020 ابيض</t>
  </si>
  <si>
    <t>KOKO 1 1/2*2</t>
  </si>
  <si>
    <t>مغسلة 50 سم عاج 207</t>
  </si>
  <si>
    <t>KOKOWB1*3/4</t>
  </si>
  <si>
    <t>مغسلة 50 سم عاج شيمن بلو CHEMIN BLUE 007</t>
  </si>
  <si>
    <t>KOKOSSB2*3</t>
  </si>
  <si>
    <t>مغسلة 50 سم مع نصف عامود ابيض</t>
  </si>
  <si>
    <t>MOTRLEO/3HP</t>
  </si>
  <si>
    <t>مغسلة 60 سم عاج جيفين GEVEN</t>
  </si>
  <si>
    <t>FLOW</t>
  </si>
  <si>
    <t>مغسلة 60سم لاغونا تعليق ابيض</t>
  </si>
  <si>
    <t>MOTRLEO15</t>
  </si>
  <si>
    <t>مغسلة 60سم لاغونا تعليق بيج</t>
  </si>
  <si>
    <t>MOTRLEO2H</t>
  </si>
  <si>
    <t>مغسلة 60سم لاغونا تعليق عاج</t>
  </si>
  <si>
    <t>BLN24 L</t>
  </si>
  <si>
    <t>مغسلة 60سم لاغونا تعليق ملون</t>
  </si>
  <si>
    <t>MOTRLEO/4HP</t>
  </si>
  <si>
    <t>مغسلة 70 سم ابيض K43</t>
  </si>
  <si>
    <t>MOTRLEO2</t>
  </si>
  <si>
    <t>مغسلة ارال ابيض</t>
  </si>
  <si>
    <t>T-2ACM</t>
  </si>
  <si>
    <t>مغسلة ارال ملون</t>
  </si>
  <si>
    <t>MOTRLEO3HP-</t>
  </si>
  <si>
    <t>مغسلة انكستريه ابيض 60*40 8006</t>
  </si>
  <si>
    <t>MOTRLEO3HP</t>
  </si>
  <si>
    <t>مغسلة انكستريه ابيض 60*40 8056</t>
  </si>
  <si>
    <t>MOTRLEO4AC</t>
  </si>
  <si>
    <t>مغسلة انكستريه عاج من تحت واي برو YBRO</t>
  </si>
  <si>
    <t>MOTRLEO4ACM</t>
  </si>
  <si>
    <t>مغسلة انكستريه عاج من فوق CL04</t>
  </si>
  <si>
    <t>MOTRLEO4XCM</t>
  </si>
  <si>
    <t>مغسلة انكستريه عاج من فوق واي برو YBRO</t>
  </si>
  <si>
    <t>MOTRLEOF-65W</t>
  </si>
  <si>
    <t>مغسلة اوساكا ابيض</t>
  </si>
  <si>
    <t>MOTRLEO0.75J</t>
  </si>
  <si>
    <t>مغسلة اوساكا ملون</t>
  </si>
  <si>
    <t>MOTRLEO2AP</t>
  </si>
  <si>
    <t>مغسلة اوغاريت 58*45سم ابيض</t>
  </si>
  <si>
    <t>MOTRLEOE</t>
  </si>
  <si>
    <t>مغسلة اوغاريت 58*45سم ملون</t>
  </si>
  <si>
    <t>MOTRLEO1S-75</t>
  </si>
  <si>
    <t>مغسلة برستيج ابيض</t>
  </si>
  <si>
    <t>MOTRLEO1S-4</t>
  </si>
  <si>
    <t>مغسلة برستيج ملون</t>
  </si>
  <si>
    <t>MOTRLEO1.5EMM</t>
  </si>
  <si>
    <t>مغسلة بعبدات 41*55سم ابيض</t>
  </si>
  <si>
    <t>MOTRLELVP</t>
  </si>
  <si>
    <t>مغسلة بعبدات 41*55سم ملون</t>
  </si>
  <si>
    <t>MOTRLELVR</t>
  </si>
  <si>
    <t>مغسلة جرن ابيض 41.5*32*13.5 سوليدو SOLIDO A426</t>
  </si>
  <si>
    <t>MOTRLELVR-1</t>
  </si>
  <si>
    <t>مغسلة جرن ابيض 41.5*41.5*15 سوليدو SOLIDO A102</t>
  </si>
  <si>
    <t>MOTR LEO P</t>
  </si>
  <si>
    <t>مغسلة رانيا 56*46سم ابيض</t>
  </si>
  <si>
    <t>PRSSL</t>
  </si>
  <si>
    <t>مغسلة رانيا 56*46سم ملون</t>
  </si>
  <si>
    <t>MOTRLEO.XKP</t>
  </si>
  <si>
    <t>مغسلة زاوية 30 سم ابيض</t>
  </si>
  <si>
    <t>AUTO-LEO</t>
  </si>
  <si>
    <t>مغسلة زغرتا ابيض</t>
  </si>
  <si>
    <t>MOTRLEOO</t>
  </si>
  <si>
    <t>مغسلة زغرتا بيج</t>
  </si>
  <si>
    <t>LEO-100B</t>
  </si>
  <si>
    <t>مغسلة زغرتا عاج</t>
  </si>
  <si>
    <t>LEO-50B</t>
  </si>
  <si>
    <t>مغسلة زغرتا ملون</t>
  </si>
  <si>
    <t>MOTRLEO1/2S</t>
  </si>
  <si>
    <t>مغسلة سورينتو ابيض</t>
  </si>
  <si>
    <t>MOTRLEO1/2 T</t>
  </si>
  <si>
    <t>مغسلة سورينتو ملون</t>
  </si>
  <si>
    <t>MOTRLEO1/2J</t>
  </si>
  <si>
    <t>مغسلة سيدني تعليق ابيض</t>
  </si>
  <si>
    <t>مغسلة سيدني تعليق ملون</t>
  </si>
  <si>
    <t>MOTRLEO3/4S</t>
  </si>
  <si>
    <t>مغسلة صيني ابيض</t>
  </si>
  <si>
    <t>مغسلة صيني عاج</t>
  </si>
  <si>
    <t>MOTRLEO1S</t>
  </si>
  <si>
    <t>مغسلة عاج 60 سم هيدرا HYDRA B64</t>
  </si>
  <si>
    <t>MOTRLEO1-T</t>
  </si>
  <si>
    <t>مغسلة عاج فنجان B24A</t>
  </si>
  <si>
    <t>MOTRLEO1J</t>
  </si>
  <si>
    <t>مغسلة غاردينيا ابيض</t>
  </si>
  <si>
    <t>مغسلة غاردينيا بيج</t>
  </si>
  <si>
    <t>MOTRLEO 1</t>
  </si>
  <si>
    <t>مغسلة غاردينيا عاج</t>
  </si>
  <si>
    <t>MOTRLEO1.5DT</t>
  </si>
  <si>
    <t>مغسلة غاردينيا ملون</t>
  </si>
  <si>
    <t>MOTRLEO1.5</t>
  </si>
  <si>
    <t>مغسلة فينيسيا ابيض</t>
  </si>
  <si>
    <t>MOTRLEO1.5D</t>
  </si>
  <si>
    <t>مغسلة فينيسيا بيج</t>
  </si>
  <si>
    <t>MOTRLEO3</t>
  </si>
  <si>
    <t>مغسلة فينيسيا عاج</t>
  </si>
  <si>
    <t>MOTRLEO4</t>
  </si>
  <si>
    <t>مغسلة فينيسيا ملون</t>
  </si>
  <si>
    <t>MOTRLEOL</t>
  </si>
  <si>
    <t>مغسلة كاميليا ابيض</t>
  </si>
  <si>
    <t>MOTRLEOA</t>
  </si>
  <si>
    <t>مغسلة كاميليا بيج</t>
  </si>
  <si>
    <t>MOTRLEO1G</t>
  </si>
  <si>
    <t>مغسلة كاميليا عاج</t>
  </si>
  <si>
    <t>MOTRLEOF</t>
  </si>
  <si>
    <t>مغسلة كاميليا ملون</t>
  </si>
  <si>
    <t>MOTRLEON</t>
  </si>
  <si>
    <t>مغسلة كلينيك ابيض</t>
  </si>
  <si>
    <t>LCICOMIME-W</t>
  </si>
  <si>
    <t>مغسلة كلينيك ملون</t>
  </si>
  <si>
    <t>LCICOMIME</t>
  </si>
  <si>
    <t>مغسلة لاغونا ارض ابيض</t>
  </si>
  <si>
    <t>MOTOR-WNSH</t>
  </si>
  <si>
    <t>مغسلة لاغونا ارض بيج</t>
  </si>
  <si>
    <t>MQ5138B</t>
  </si>
  <si>
    <t>مغسلة لاغونا ارض عاج</t>
  </si>
  <si>
    <t>MOTRMSN</t>
  </si>
  <si>
    <t>مغسلة لاغونا ارض ملون</t>
  </si>
  <si>
    <t>MUREXGBSW</t>
  </si>
  <si>
    <t>مغسلة لاغونا روندا 50*40سم ابيض</t>
  </si>
  <si>
    <t>MUREXGBIW</t>
  </si>
  <si>
    <t>مغسلة لاغونا روندا 50*40سم بيج</t>
  </si>
  <si>
    <t>MUREXGBZW</t>
  </si>
  <si>
    <t>مغسلة لاغونا روندا 50*40سم عاج</t>
  </si>
  <si>
    <t>MUREXGBZBL</t>
  </si>
  <si>
    <t>مغسلة لاغونا روندا 50*40سم ملون</t>
  </si>
  <si>
    <t>MUREXGBZBG</t>
  </si>
  <si>
    <t>مغسلة مارينا45*61سم ابيض</t>
  </si>
  <si>
    <t>MUREXGBZG</t>
  </si>
  <si>
    <t>مغسلة مارينا45*61سم بيج</t>
  </si>
  <si>
    <t>MUREXGBZI</t>
  </si>
  <si>
    <t>مغسلة مارينا45*61سم عاج</t>
  </si>
  <si>
    <t>MUREXGRZW</t>
  </si>
  <si>
    <t>مغسلة مارينا45*61سم ملون</t>
  </si>
  <si>
    <t>MUREXGRZBG</t>
  </si>
  <si>
    <t>مغسلة نوفا 45*36سم ابيض</t>
  </si>
  <si>
    <t>MUREXGRZI</t>
  </si>
  <si>
    <t>مغسلة نوفا 45*36سم عاج</t>
  </si>
  <si>
    <t>MUREXGBGW</t>
  </si>
  <si>
    <t>مغسلة نوفا 45*36سم ملون</t>
  </si>
  <si>
    <t>MUREXGBGBL</t>
  </si>
  <si>
    <t>مغسله دائرة GEO</t>
  </si>
  <si>
    <t>MUREXGBGBG</t>
  </si>
  <si>
    <t>مقص بلاط 48" طول 120سم ABC</t>
  </si>
  <si>
    <t>MUREXGBGG</t>
  </si>
  <si>
    <t>مكنة فتح مجرور</t>
  </si>
  <si>
    <t>MUREXGBGZ</t>
  </si>
  <si>
    <t>مكنة كورينغ CORING</t>
  </si>
  <si>
    <t>MUREXGBGI</t>
  </si>
  <si>
    <t>مكنة لحام PPR تركي كندان CANDAN</t>
  </si>
  <si>
    <t>MUREXGRGW</t>
  </si>
  <si>
    <t>موتير 0.5 حصان بدرلو Pedrollo PKM60</t>
  </si>
  <si>
    <t>MUREXGRGLXW</t>
  </si>
  <si>
    <t>موتير 0.5 حصان بينتاكس Pentax PM45</t>
  </si>
  <si>
    <t>MUREXGRGLXG</t>
  </si>
  <si>
    <t>موتير 0.5 حصان بينتاكس Pentax PM50</t>
  </si>
  <si>
    <t>MUREXGRGLXI</t>
  </si>
  <si>
    <t>موتير 0.5 حصان داب DAB</t>
  </si>
  <si>
    <t>MUREXGRGLXB</t>
  </si>
  <si>
    <t>موتير 0.5 حصان سارق ليو LEO AJM 30</t>
  </si>
  <si>
    <t>MUREXGRFI</t>
  </si>
  <si>
    <t>موتير 0.5 حصان صامت بدرلو Pedrollo 2CPM80</t>
  </si>
  <si>
    <t>MUREXGBVW</t>
  </si>
  <si>
    <t>موتير 0.5 حصان صامت بدرلو Pedrollo 3CPM80</t>
  </si>
  <si>
    <t>MUREXGBVBG</t>
  </si>
  <si>
    <t>موتير 0.5 حصان صامت بينتاكس Pentax U3-50/2</t>
  </si>
  <si>
    <t>MUREXGBVG</t>
  </si>
  <si>
    <t>موتير 0.5 حصان صامت داب DAB</t>
  </si>
  <si>
    <t>MUREXGBVZT</t>
  </si>
  <si>
    <t>موتير 0.5 حصان صامت ليو LEO 3ACM45</t>
  </si>
  <si>
    <t>MUREXGBVI</t>
  </si>
  <si>
    <t>موتير 0.5 حصان ليو LEO ACM37 TURBINE</t>
  </si>
  <si>
    <t>MUREXGRVW</t>
  </si>
  <si>
    <t>موتير 0.5 حصان ليو LEO APM37</t>
  </si>
  <si>
    <t>MUREXGBKW</t>
  </si>
  <si>
    <t>موتير 0.75 حصان بدرلو Pedrollo PKM65</t>
  </si>
  <si>
    <t>MUREXGBKBG</t>
  </si>
  <si>
    <t>موتير 0.75 حصان بينتاكس Pentax PM65</t>
  </si>
  <si>
    <t>MUREXGBKI</t>
  </si>
  <si>
    <t>موتير 0.75 حصان سارق LEO AJM 60H JET</t>
  </si>
  <si>
    <t>MUREXGRKW</t>
  </si>
  <si>
    <t>موتير 0.75 حصان صامت بدرلو Pedrollo 4CPM80</t>
  </si>
  <si>
    <t>MUREXGRKG</t>
  </si>
  <si>
    <t>موتير 0.75 حصان صامت بينتاكس Pentax U3-70/3</t>
  </si>
  <si>
    <t>MUREXGRKI</t>
  </si>
  <si>
    <t>موتير 0.75 حصان صامت داب DAB</t>
  </si>
  <si>
    <t>MUREXGBLW</t>
  </si>
  <si>
    <t>موتير 0.75 حصان صامت ليو LEO ACM60</t>
  </si>
  <si>
    <t>MUREXGBLI</t>
  </si>
  <si>
    <t>موتير 0.75 حصان ليو LEO APM 60</t>
  </si>
  <si>
    <t>MUREXGRLGI</t>
  </si>
  <si>
    <t>موتير 0.8 حصان 3/4 داب DAB</t>
  </si>
  <si>
    <t>MUREXGBMW</t>
  </si>
  <si>
    <t>موتير 1 حصان بدرلو Pedrollo PKM80</t>
  </si>
  <si>
    <t>MUREXGRMNW</t>
  </si>
  <si>
    <t>موتير 1 حصان بدرلو Pedrollo PKM90</t>
  </si>
  <si>
    <t>MUREXGBSG</t>
  </si>
  <si>
    <t>موتير 1 حصان بينتاكس Pentax PM80</t>
  </si>
  <si>
    <t>MUREXGBMNW</t>
  </si>
  <si>
    <t>موتير 1 حصان توربين داب DAB</t>
  </si>
  <si>
    <t>البنائون</t>
  </si>
  <si>
    <t>MUREXGRLG-NEW</t>
  </si>
  <si>
    <t>موتير 1 حصان سارق ليو LEO AJM 75</t>
  </si>
  <si>
    <t>27541</t>
  </si>
  <si>
    <t>موتير 1 حصان شفاط بدرلو Pedrollo CPM158</t>
  </si>
  <si>
    <t>26406</t>
  </si>
  <si>
    <t>موتير 1 حصان صامت بدرلو Pedrollo 4CPM100</t>
  </si>
  <si>
    <t>27851</t>
  </si>
  <si>
    <t>موتير 1 حصان صامت بينتاكس Pentax U3-90/4</t>
  </si>
  <si>
    <t>GR28947</t>
  </si>
  <si>
    <t>موتير 1 حصان صامت داب DAB</t>
  </si>
  <si>
    <t>SPHNPP</t>
  </si>
  <si>
    <t>موتير 1 حصان صامت ليو LEO</t>
  </si>
  <si>
    <t>SPHNPC</t>
  </si>
  <si>
    <t>موتير 1 حصان ليو LEO ACM75 TURBINE</t>
  </si>
  <si>
    <t>SPHNPPS</t>
  </si>
  <si>
    <t>موتير 1 حصان ليو LEO APM 75</t>
  </si>
  <si>
    <t>SMP</t>
  </si>
  <si>
    <t>موتير 1 حصان ليو LEO APM 90</t>
  </si>
  <si>
    <t>RDTR-PASOTT350</t>
  </si>
  <si>
    <t>موتير 1 حصان ماء صامته ستانلس LEO 4XCM 120C</t>
  </si>
  <si>
    <t>PED1.5</t>
  </si>
  <si>
    <t>موتير 1.36 حصان داب DAB</t>
  </si>
  <si>
    <t>PD-170</t>
  </si>
  <si>
    <t>موتير 1.36 حصان صامت داب DAB</t>
  </si>
  <si>
    <t>MOTRP2CP25/14A</t>
  </si>
  <si>
    <t>موتير 1.5 حصان بدرلو Pedrollo PKM100</t>
  </si>
  <si>
    <t>PE-2004</t>
  </si>
  <si>
    <t>موتير 1.5 حصان دوبل توربين ليو LEO</t>
  </si>
  <si>
    <t>MOTRP2CP25/160</t>
  </si>
  <si>
    <t>موتير 1.5 حصان صامت فراش LEO EMHM4-6</t>
  </si>
  <si>
    <t>MOTRP2CP25/16A</t>
  </si>
  <si>
    <t>موتير 1.5 حصان ليو LEO APM 110</t>
  </si>
  <si>
    <t>MOTRP2CP25/14</t>
  </si>
  <si>
    <t>موتير 1.5 حصان ليو توربين LEO 1 XCM170</t>
  </si>
  <si>
    <t>MOTRP1/2S2CPM80</t>
  </si>
  <si>
    <t>موتير 2 حصان 3 فاز بينتاكس Pentax CB 210/01</t>
  </si>
  <si>
    <t>MOTRP1/2S3CPM80</t>
  </si>
  <si>
    <t>موتير 2 حصان بدرلو Pedrollo 2CPM25/14 A</t>
  </si>
  <si>
    <t>MOTRP1S4CPM100</t>
  </si>
  <si>
    <t>موتير 2 حصان ليو LEO EVPM 2-9</t>
  </si>
  <si>
    <t>MOTRP3/4S4CPM80</t>
  </si>
  <si>
    <t>موتير 2.5 حصان دوبل توربين داب DAB</t>
  </si>
  <si>
    <t>MOTRPBCM10/50</t>
  </si>
  <si>
    <t>موتير 3 حصان 2 فاز بينتاكس Pentax CBT 310/01</t>
  </si>
  <si>
    <t>PED-20232</t>
  </si>
  <si>
    <t>موتير 3 حصان 3 فازيه بدرلو Pedrollo 2CP25/160</t>
  </si>
  <si>
    <t>MOTRP1PKM158SH</t>
  </si>
  <si>
    <t>موتير 3 حصان دوبل توربين ليو LEO</t>
  </si>
  <si>
    <t>PE-2401</t>
  </si>
  <si>
    <t>موتير 3 حصان صامت DAB KVC60/120T</t>
  </si>
  <si>
    <t>MOTR8/3</t>
  </si>
  <si>
    <t>موتير 4 حصان دوبل توربين ليو LEO</t>
  </si>
  <si>
    <t>PE-2060-P</t>
  </si>
  <si>
    <t>موتير اتوماتيك مع برس كنترول ليو LEO LKSM350AU</t>
  </si>
  <si>
    <t>MOTRJSWM/1AX</t>
  </si>
  <si>
    <t>موتير اتوماتيك مع برس كنترول ليو LEO XKSM13O</t>
  </si>
  <si>
    <t>MOTRP1.5PKM100</t>
  </si>
  <si>
    <t>موتير اتوماتيك وستن WSTN</t>
  </si>
  <si>
    <t>MOTRP1/2PKM60</t>
  </si>
  <si>
    <t>موتير اتوماتيك وستن WSTN ECO 15G-10</t>
  </si>
  <si>
    <t>MOTRP3/4PKM65</t>
  </si>
  <si>
    <t>موتير اتوماتيك وستن WSTN ECO 15G-15</t>
  </si>
  <si>
    <t>MOTRP1PKM80</t>
  </si>
  <si>
    <t>موتير بدرلو Pedrollo BCM 10/50</t>
  </si>
  <si>
    <t>MOTRP1PKM90</t>
  </si>
  <si>
    <t>موتير بينتاكس Pentax</t>
  </si>
  <si>
    <t>MOTRPFR</t>
  </si>
  <si>
    <t>موتير داب DAB EURO 20/50</t>
  </si>
  <si>
    <t>MOTRPG</t>
  </si>
  <si>
    <t>موتير داب DAB EURO 25/30 M</t>
  </si>
  <si>
    <t>PED-20250</t>
  </si>
  <si>
    <t>موتير داب DAB EURO 25/30 MX</t>
  </si>
  <si>
    <t>PE-2035</t>
  </si>
  <si>
    <t>موتير داب DAB EUROCOM 25/30 MX</t>
  </si>
  <si>
    <t>PE-2063</t>
  </si>
  <si>
    <t>موتير داب DAB EUROINOX 15/30 MX</t>
  </si>
  <si>
    <t>PE-20632</t>
  </si>
  <si>
    <t>موتير داب DAB EUROINOX 20/50</t>
  </si>
  <si>
    <t>PE-2062</t>
  </si>
  <si>
    <t>موتير داب DAB EUROINOX 40/50 M</t>
  </si>
  <si>
    <t>TAG</t>
  </si>
  <si>
    <t>موتير داب DAB K 30/70 M</t>
  </si>
  <si>
    <t>شركة ابراهيم الطبش</t>
  </si>
  <si>
    <t>MOTRPTXCB160</t>
  </si>
  <si>
    <t>موتير داب DAB K 55/50 M</t>
  </si>
  <si>
    <t>PENTAX-210</t>
  </si>
  <si>
    <t>موتير روتور وستن WSTN</t>
  </si>
  <si>
    <t>PENT-310</t>
  </si>
  <si>
    <t>موتير شفاط داب سرقه DAB JET</t>
  </si>
  <si>
    <t>MOTRPTXF150</t>
  </si>
  <si>
    <t>موتير صامت حديد دوبل توربين DAB 50/50</t>
  </si>
  <si>
    <t>MOTRPTXF100</t>
  </si>
  <si>
    <t>موتير صامت ستانلس 3 فاز Pentax U5S-200/7T</t>
  </si>
  <si>
    <t>MOTRPTX90</t>
  </si>
  <si>
    <t>موتير غاطس بدرلو Pedrollo</t>
  </si>
  <si>
    <t>MOTRPTX1/2</t>
  </si>
  <si>
    <t>موتير غاطسة داب DAB DIVERTEK 500 A</t>
  </si>
  <si>
    <t>MOTRPTX1/2PM50</t>
  </si>
  <si>
    <t>موتير غاطسة ليو LEO</t>
  </si>
  <si>
    <t>MOTRPTX075</t>
  </si>
  <si>
    <t>موتير غسالة داب DAB</t>
  </si>
  <si>
    <t>MOTRPTX1</t>
  </si>
  <si>
    <t>موتير فرامة داب DAB</t>
  </si>
  <si>
    <t>MOTRPTX120/6</t>
  </si>
  <si>
    <t>موتير فرامة ليو LEO</t>
  </si>
  <si>
    <t>MOTRPTX150/7</t>
  </si>
  <si>
    <t>موتير فرامة ليو LEO 325WPM 3.6-30-2.2L/QG</t>
  </si>
  <si>
    <t>MOTRPTX1/2S</t>
  </si>
  <si>
    <t>موتير فرامة ليو LEO LSWM300A</t>
  </si>
  <si>
    <t>MOTRPTX3/4S</t>
  </si>
  <si>
    <t>موتير كهرباء بنزين 1000 راتو RATO</t>
  </si>
  <si>
    <t>MOTRPTX1S</t>
  </si>
  <si>
    <t>موتير كهرباء بنزين 1200 تايجر TIGER KVA 0.75</t>
  </si>
  <si>
    <t>MOTRPTX200/7</t>
  </si>
  <si>
    <t>موتير كهرباء بنزين باور POWER ZB50</t>
  </si>
  <si>
    <t>MOTRPTX1.5S</t>
  </si>
  <si>
    <t>موتير كهرباء بنزين راتو RATO R5500DWH</t>
  </si>
  <si>
    <t>MOTRPTX3/4</t>
  </si>
  <si>
    <t>موتير كومت COMET QDX 10-16-0575</t>
  </si>
  <si>
    <t>DAGOT-80</t>
  </si>
  <si>
    <t>موتير كومت COMET WSD 26-17-1.1 BA</t>
  </si>
  <si>
    <t>GR-43544</t>
  </si>
  <si>
    <t>موتير ماء صامت Pentax U3-100/5</t>
  </si>
  <si>
    <t>POWER 3DD</t>
  </si>
  <si>
    <t>موتير ماء صامت Pentax U3-120/6</t>
  </si>
  <si>
    <t>PRSSCI</t>
  </si>
  <si>
    <t>موتير ماء صامت Pentax U3-150/7</t>
  </si>
  <si>
    <t>السيد محمد اسكندراني المحترم</t>
  </si>
  <si>
    <t>PRSSCI+ ELECT CABLE</t>
  </si>
  <si>
    <t>موتير ماي للسيترن ياباني دايشن DAISHIN SCR-80HX</t>
  </si>
  <si>
    <t>PRSSC</t>
  </si>
  <si>
    <t>موتير مع برس كونترول مع غطاء كومت COMET MQS138B</t>
  </si>
  <si>
    <t>MARZERO15/20--1.5C</t>
  </si>
  <si>
    <t>موتير نافورة ليو LEO</t>
  </si>
  <si>
    <t>AQS-100</t>
  </si>
  <si>
    <t>موزع خلاط 20*1/2 ابيض</t>
  </si>
  <si>
    <t>AQS-200</t>
  </si>
  <si>
    <t>موزع خلاط 20*1/2 اخضر</t>
  </si>
  <si>
    <t>AQS-1000</t>
  </si>
  <si>
    <t>موزع خلاط 25*1/2 ابيض</t>
  </si>
  <si>
    <t>AQS-25</t>
  </si>
  <si>
    <t>موزع خلاط 25*1/2 اخضر</t>
  </si>
  <si>
    <t>AQS-1020</t>
  </si>
  <si>
    <t>نايلون ستريتش لفة</t>
  </si>
  <si>
    <t>نايلون 10*4</t>
  </si>
  <si>
    <t>AQS-1090</t>
  </si>
  <si>
    <t>نربيج اسود مع خيط 50 متر 3/4"</t>
  </si>
  <si>
    <t>AQS-80</t>
  </si>
  <si>
    <t>نربيج دوش 150 سم</t>
  </si>
  <si>
    <t>B-318923</t>
  </si>
  <si>
    <t>نربيج دوش 200 سم</t>
  </si>
  <si>
    <t>PU</t>
  </si>
  <si>
    <t>نربيج زراعي 1 1/2" 50 ملم 50 متر اسود</t>
  </si>
  <si>
    <t>GR46925</t>
  </si>
  <si>
    <t>نربيج زراعي 1 1/4" 40 ملم 100 متر اسود 16 بار</t>
  </si>
  <si>
    <t>RAD -2000</t>
  </si>
  <si>
    <t>نربيج زراعي 1 1/4" 40 ملم 50 متر اسود</t>
  </si>
  <si>
    <t>MOTRHIRAT1500</t>
  </si>
  <si>
    <t>نربيج زراعي 1 1/4" 40 ملم 50 متر اسود 16 بار</t>
  </si>
  <si>
    <t>MOTRHIRAT3500</t>
  </si>
  <si>
    <t>نربيج زراعي 1" 32 ملم 100 متر اسود 16 بار</t>
  </si>
  <si>
    <t>MOTRHIRAT4</t>
  </si>
  <si>
    <t>نربيج زراعي 1" 32 ملم 50 متر اسود</t>
  </si>
  <si>
    <t>MOTRHIRAT</t>
  </si>
  <si>
    <t>نربيج زراعي 1" 32 ملم 50 متر اسود 16 بار</t>
  </si>
  <si>
    <t>MOTRHIRAT5500</t>
  </si>
  <si>
    <t>نربيج زراعي 1/2" 20 ملم 100 متر اسود</t>
  </si>
  <si>
    <t>MOTRHIRAT6000</t>
  </si>
  <si>
    <t>نربيج زراعي 1/2" 20 ملم 100 متر اسود 16 بار</t>
  </si>
  <si>
    <t>AF-TANK</t>
  </si>
  <si>
    <t>نربيج زراعي 1/2" 20 ملم 50 متر اسود</t>
  </si>
  <si>
    <t>MOTRROV-4E2</t>
  </si>
  <si>
    <t>نربيج زراعي 1/2" 20 ملم 50 متر اسود 16 بار</t>
  </si>
  <si>
    <t>MOTRROVTT</t>
  </si>
  <si>
    <t>نربيج زراعي 2" 63 ملم 50 متر اسود</t>
  </si>
  <si>
    <t>MOTRROV</t>
  </si>
  <si>
    <t>نربيج زراعي 2" 63 ملم اسود 16 بار</t>
  </si>
  <si>
    <t>MOTRROV21</t>
  </si>
  <si>
    <t>نربيج زراعي 3/4" 25 ملم 100 متر اسود 16 بار</t>
  </si>
  <si>
    <t>MOTRROV32</t>
  </si>
  <si>
    <t>نربيج زراعي 3/4" 25 ملم 50 متر اسود</t>
  </si>
  <si>
    <t>MOTRROV-ES6/14</t>
  </si>
  <si>
    <t>نربيج زراعي1 1/2" 50 ملم اسود 16 بار</t>
  </si>
  <si>
    <t>HS</t>
  </si>
  <si>
    <t>نربيج شطافة بزبوزة كروم</t>
  </si>
  <si>
    <t>SBR</t>
  </si>
  <si>
    <t>نربيج شطافة كروم 120 سم نابولي</t>
  </si>
  <si>
    <t>DER-40*3.9</t>
  </si>
  <si>
    <t>نربيج غسالة دخول 1.5 متر</t>
  </si>
  <si>
    <t>3Y5P0898</t>
  </si>
  <si>
    <t>نربيج فليكسيبل بولاد 100 سم</t>
  </si>
  <si>
    <t>KMBRSR</t>
  </si>
  <si>
    <t>نربيج فليكسيبل بولاد 40 سم</t>
  </si>
  <si>
    <t>SDS-100106</t>
  </si>
  <si>
    <t>نربيج فليكسيبل بولاد 40 سم بلجيكي</t>
  </si>
  <si>
    <t>RP220026B</t>
  </si>
  <si>
    <t>نربيج فليكسيبل بولاد 50 سم</t>
  </si>
  <si>
    <t>MIXMS</t>
  </si>
  <si>
    <t>نربيج فليكسيبل بولاد 50 سم بلجيكي</t>
  </si>
  <si>
    <t>MOTR-SH24</t>
  </si>
  <si>
    <t>نربيج فليكسيبل بولاد 60 سم</t>
  </si>
  <si>
    <t>MOTRSHIMG</t>
  </si>
  <si>
    <t>نربيج فليكسيبل بولاد 80 سم</t>
  </si>
  <si>
    <t>MOTR-SH1/2</t>
  </si>
  <si>
    <t>نربيج مونترو خلاط 50 سم</t>
  </si>
  <si>
    <t>الصندوق</t>
  </si>
  <si>
    <t>990176-S</t>
  </si>
  <si>
    <t>نربيج مونترو خلاط 60 سم</t>
  </si>
  <si>
    <t>SOL</t>
  </si>
  <si>
    <t>نصف عامود ابيض صيني</t>
  </si>
  <si>
    <t>SPR A</t>
  </si>
  <si>
    <t>نصف عامود ابيض هيدرا HYDRA B83W</t>
  </si>
  <si>
    <t>RJRJ-B</t>
  </si>
  <si>
    <t>نصف عامود سيدني تعليق ابيض</t>
  </si>
  <si>
    <t>TLZKT1</t>
  </si>
  <si>
    <t>نصف عامود سيدني تعليق ملون</t>
  </si>
  <si>
    <t>عوض</t>
  </si>
  <si>
    <t>TLZKT1/2</t>
  </si>
  <si>
    <t>نصف عامود لاغونا تعليق ابيض</t>
  </si>
  <si>
    <t>T-SENN</t>
  </si>
  <si>
    <t>نصف عامود لاغونا تعليق بيج</t>
  </si>
  <si>
    <t>37421</t>
  </si>
  <si>
    <t>نصف عامود لاغونا تعليق عاج</t>
  </si>
  <si>
    <t>MOTR TELL</t>
  </si>
  <si>
    <t>نصف عامود لاغونا تعليق ملون</t>
  </si>
  <si>
    <t>MOTR TELL-40</t>
  </si>
  <si>
    <t>نصف عامود ميلانو ابيض</t>
  </si>
  <si>
    <t>MOTOR BT</t>
  </si>
  <si>
    <t>نصف عامود ميلانو بيج</t>
  </si>
  <si>
    <t>MOTOR BTI</t>
  </si>
  <si>
    <t>نصف عامود ميلانو عاج</t>
  </si>
  <si>
    <t>TIG-3700</t>
  </si>
  <si>
    <t>نصف عامود ميلانو ملون</t>
  </si>
  <si>
    <t>TIYA200</t>
  </si>
  <si>
    <t>نقاص مخالف بلاستيك 4*6</t>
  </si>
  <si>
    <t>MOTRTRND1</t>
  </si>
  <si>
    <t>نقاص مخالف بلاستيك اوروبي 100*110 كوكو KOKO</t>
  </si>
  <si>
    <t>TORNADO</t>
  </si>
  <si>
    <t>MOTRTRND1/2</t>
  </si>
  <si>
    <t>نقاص مخالف بلاستيك تلزيق تركي 110*125 ملم</t>
  </si>
  <si>
    <t>T-10M</t>
  </si>
  <si>
    <t>نقاص مخالف بلاستيك تلزيق تركي 110*160 ملم</t>
  </si>
  <si>
    <t>T-13M</t>
  </si>
  <si>
    <t>نقاص مخالف بلاستيك تلزيق تركي 125*160 ملم</t>
  </si>
  <si>
    <t>T-8M</t>
  </si>
  <si>
    <t>نقاص مخالف بلاستيك تلزيق تركي 50*110 ملم</t>
  </si>
  <si>
    <t>TUUR</t>
  </si>
  <si>
    <t>نقاص مخالف بلاستيك تلزيق تركي 50*75 ملم</t>
  </si>
  <si>
    <t>UMB-30</t>
  </si>
  <si>
    <t>نقاص مخالف بلاستيك تلزيق تركي 75*110 ملم</t>
  </si>
  <si>
    <t>UMB-40</t>
  </si>
  <si>
    <t>وصل بسن انتاية تلحيم 20*1/2 ابيض تركي</t>
  </si>
  <si>
    <t>UMB-70</t>
  </si>
  <si>
    <t>وصل بسن انتاية تلحيم 20*1/2 اخضر تركي</t>
  </si>
  <si>
    <t>39683</t>
  </si>
  <si>
    <t>وصل بسن انتاية تلحيم 25*1/2 ابيض تركي</t>
  </si>
  <si>
    <t>49534</t>
  </si>
  <si>
    <t>وصل بسن انتاية تلحيم 25*1/2 اخضر تركي</t>
  </si>
  <si>
    <t>39732</t>
  </si>
  <si>
    <t>وصل بسن انتاية تلحيم 25*3/4 ابيض تركي</t>
  </si>
  <si>
    <t>BLN24</t>
  </si>
  <si>
    <t>وصل بسن انتاية تلحيم 25*3/4 اخضر تركي</t>
  </si>
  <si>
    <t>SPV</t>
  </si>
  <si>
    <t>وصل بسن انتاية تلحيم 32*1 ابيض تركي</t>
  </si>
  <si>
    <t>W.C SENN</t>
  </si>
  <si>
    <t>وصل بسن انتاية تلحيم 32*1 اخضر تركي</t>
  </si>
  <si>
    <t>40824</t>
  </si>
  <si>
    <t>وصل بسن انتاية تلحيم 32*3/4 ابيض تركي</t>
  </si>
  <si>
    <t>28920</t>
  </si>
  <si>
    <t>وصل بسن انتاية تلحيم 32*3/4 اخضر تركي</t>
  </si>
  <si>
    <t>MOTRWLR</t>
  </si>
  <si>
    <t>وصل بسن انتاية تلحيم 40*1 1/4 ابيض تركي</t>
  </si>
  <si>
    <t>MOTRWSTNA-ECO</t>
  </si>
  <si>
    <t>وصل بسن انتاية تلحيم 40*1 1/4 اخضر تركي</t>
  </si>
  <si>
    <t>WSTN</t>
  </si>
  <si>
    <t>MOTRWSTNA-ECO 1</t>
  </si>
  <si>
    <t>وصل بسن انتاية تلحيم 40*1 ابيض تركي</t>
  </si>
  <si>
    <t>MOTRWSTNA-T</t>
  </si>
  <si>
    <t>وصل بسن انتاية تلحيم 40*1 اخضر تركي</t>
  </si>
  <si>
    <t>MOTRWSTNA</t>
  </si>
  <si>
    <t>وصل بسن انتاية تلحيم 50*1 1/2 ابيض تركي</t>
  </si>
  <si>
    <t>MOTRWSTNA-R</t>
  </si>
  <si>
    <t>وصل بسن انتاية تلحيم 50*1 1/2 اخضر تركي</t>
  </si>
  <si>
    <t>MOTRWSTNA-WR</t>
  </si>
  <si>
    <t>وصل بسن انتاية تلحيم 63*2 ابيض تركي</t>
  </si>
  <si>
    <t>XYLENE</t>
  </si>
  <si>
    <t>وصل بسن انتاية تلحيم 63*2 اخضر تركي</t>
  </si>
  <si>
    <t>ATATSH</t>
  </si>
  <si>
    <t>وصل بسن بلاستيك 1 1/2</t>
  </si>
  <si>
    <t>AUTO</t>
  </si>
  <si>
    <t>وصل بسن بلاستيك 1 1/2 كوكو KOKO</t>
  </si>
  <si>
    <t>AUTO-W</t>
  </si>
  <si>
    <t>وصل بسن ذكر تلحيم 20*1/2 ابيض تركي</t>
  </si>
  <si>
    <t>SW-B2R-00MMA</t>
  </si>
  <si>
    <t>وصل بسن ذكر تلحيم 20*1/2 اخضر تركي</t>
  </si>
  <si>
    <t>AJA</t>
  </si>
  <si>
    <t>وصل بسن ذكر تلحيم 25*1/2 ابيض تركي</t>
  </si>
  <si>
    <t>TRBSH</t>
  </si>
  <si>
    <t>وصل بسن ذكر تلحيم 25*1/2 اخضر تركي</t>
  </si>
  <si>
    <t>AZMI</t>
  </si>
  <si>
    <t>وصل بسن ذكر تلحيم 25*3/4 ابيض تركي</t>
  </si>
  <si>
    <t>ASAS</t>
  </si>
  <si>
    <t>وصل بسن ذكر تلحيم 25*3/4 اخضر تركي</t>
  </si>
  <si>
    <t>ASFIN</t>
  </si>
  <si>
    <t>وصل بسن ذكر تلحيم 32*1 ابيض تركي</t>
  </si>
  <si>
    <t>ASFING</t>
  </si>
  <si>
    <t>وصل بسن ذكر تلحيم 32*1 اخضر تركي</t>
  </si>
  <si>
    <t>BOX</t>
  </si>
  <si>
    <t>AQAT</t>
  </si>
  <si>
    <t>وصل بسن ذكر تلحيم 32*3/4 ابيض تركي</t>
  </si>
  <si>
    <t>AFLBK1/2</t>
  </si>
  <si>
    <t>وصل بسن ذكر تلحيم 32*3/4 اخضر تركي</t>
  </si>
  <si>
    <t>_x001A_</t>
  </si>
  <si>
    <t>وصل بسن ذكر تلحيم 40*1 1/4 ابيض تركي</t>
  </si>
  <si>
    <t>ASID</t>
  </si>
  <si>
    <t>وصل بسن ذكر تلحيم 40*1 1/4 اخضر تركي</t>
  </si>
  <si>
    <t>DGNTR-20</t>
  </si>
  <si>
    <t>وصل بسن ذكر تلحيم 40*1 ابيض تركي</t>
  </si>
  <si>
    <t>حسب الله</t>
  </si>
  <si>
    <t>DGNTR-A</t>
  </si>
  <si>
    <t>وصل بسن ذكر تلحيم 40*1 اخضر تركي</t>
  </si>
  <si>
    <t>DGNTR-32</t>
  </si>
  <si>
    <t>وصل بسن ذكر تلحيم 50*1 1/2 ابيض تركي</t>
  </si>
  <si>
    <t>TLZKE</t>
  </si>
  <si>
    <t>وصل بسن ذكر تلحيم 50*1 1/2 اخضر تركي</t>
  </si>
  <si>
    <t>ايهم</t>
  </si>
  <si>
    <t>وصل بسن ذكر تلحيم 63*2 ابيض تركي</t>
  </si>
  <si>
    <t>TBSHSH</t>
  </si>
  <si>
    <t>وصل بسن ذكر تلحيم 63*2 اخضر تركي</t>
  </si>
  <si>
    <t>XLN</t>
  </si>
  <si>
    <t>وصل بلاستيك 1</t>
  </si>
  <si>
    <t>ACC</t>
  </si>
  <si>
    <t>وصل بلاستيك 1 1/2</t>
  </si>
  <si>
    <t>AKMQ</t>
  </si>
  <si>
    <t>وصل بلاستيك 1 1/2 كوكو KOKO</t>
  </si>
  <si>
    <t>ACMA</t>
  </si>
  <si>
    <t>AKYAS</t>
  </si>
  <si>
    <t>وصل بلاستيك 1 1/4</t>
  </si>
  <si>
    <t>كمال جبر</t>
  </si>
  <si>
    <t>AKYAS RADEM</t>
  </si>
  <si>
    <t>وصل بلاستيك 1 1/4 كوكو KOKO</t>
  </si>
  <si>
    <t>TLZKE-AL</t>
  </si>
  <si>
    <t>وصل بلاستيك 1 كوكو KOKO</t>
  </si>
  <si>
    <t>ELCTRD</t>
  </si>
  <si>
    <t>وصل بلاستيك 1/2</t>
  </si>
  <si>
    <t>علي عاصي</t>
  </si>
  <si>
    <t>ALBOARD</t>
  </si>
  <si>
    <t>وصل بلاستيك 1/2 كوكو KOKO</t>
  </si>
  <si>
    <t>TAK</t>
  </si>
  <si>
    <t>وصل بلاستيك 2</t>
  </si>
  <si>
    <t>ENJS</t>
  </si>
  <si>
    <t>وصل بلاستيك 2 كوكو KOKO</t>
  </si>
  <si>
    <t>ANDRCOT</t>
  </si>
  <si>
    <t>وصل بلاستيك 3</t>
  </si>
  <si>
    <t>AHIBO</t>
  </si>
  <si>
    <t>وصل بلاستيك 3 كوكو KOKO</t>
  </si>
  <si>
    <t>وصل بلاستيك 3/4</t>
  </si>
  <si>
    <t>وصل بلاستيك 3/4 كوكو KOKO</t>
  </si>
  <si>
    <t>وصل بلاستيك 4</t>
  </si>
  <si>
    <t>PTX</t>
  </si>
  <si>
    <t>وصل بلاستيك 4 كوكو KOKO</t>
  </si>
  <si>
    <t>PAT</t>
  </si>
  <si>
    <t>وصل بلاستيك 5</t>
  </si>
  <si>
    <t>BD</t>
  </si>
  <si>
    <t>وصل بلاستيك 5 كوكو KOKO</t>
  </si>
  <si>
    <t>وصل بلاستيك 6</t>
  </si>
  <si>
    <t>وصل بلاستيك 6 كوكو KOKO</t>
  </si>
  <si>
    <t>وصل بلاستيك اوروبي 110 KOKO</t>
  </si>
  <si>
    <t>وصل بلاستيك اوروبي 125 كوكو KOKO</t>
  </si>
  <si>
    <t>GR-26354</t>
  </si>
  <si>
    <t>وصل بلاستيك اوروبي 160 كوكو KOKO</t>
  </si>
  <si>
    <t>وصل بلاستيك اوروبي 200 كوكو KOKO</t>
  </si>
  <si>
    <t>BDGROHE</t>
  </si>
  <si>
    <t>وصل بلاستيك اوروبي 50 كوكو KOKO</t>
  </si>
  <si>
    <t>GR-27389</t>
  </si>
  <si>
    <t>وصل بلاستيك اوروبي 75 كوكو KOKO</t>
  </si>
  <si>
    <t>وصل بلاستيك بجوان الماني 110 ملم</t>
  </si>
  <si>
    <t>وصل بلاستيك بجوان الماني 125 ملم</t>
  </si>
  <si>
    <t>وصل بلاستيك بجوان الماني 160 ملم</t>
  </si>
  <si>
    <t>وصل بلاستيك بجوان الماني 200 ملم</t>
  </si>
  <si>
    <t>BLN50</t>
  </si>
  <si>
    <t>وصل بلاستيك بجوان الماني 50 ملم</t>
  </si>
  <si>
    <t>BAN</t>
  </si>
  <si>
    <t>وصل بلاستيك بجوان الماني 75 ملم</t>
  </si>
  <si>
    <t>وصل بلاستيك بجوان تركي 110 ملم</t>
  </si>
  <si>
    <t>وصل بلاستيك بجوان تركي 125 ملم</t>
  </si>
  <si>
    <t>وصل بلاستيك بجوان تركي 160 ملم</t>
  </si>
  <si>
    <t>BHS</t>
  </si>
  <si>
    <t>وصل بلاستيك بجوان تركي 200 ملم</t>
  </si>
  <si>
    <t>BRSH</t>
  </si>
  <si>
    <t>وصل بلاستيك بجوان تركي 50 ملم</t>
  </si>
  <si>
    <t>BRSH-11.5</t>
  </si>
  <si>
    <t>وصل بلاستيك بجوان تركي 75 ملم</t>
  </si>
  <si>
    <t>BRSH-11.5 T</t>
  </si>
  <si>
    <t>وصل تلحيم 20 ملم ابيض تركي</t>
  </si>
  <si>
    <t>BRSH-18</t>
  </si>
  <si>
    <t>وصل تلحيم 20 ملم اخضر تركي</t>
  </si>
  <si>
    <t>DER</t>
  </si>
  <si>
    <t>وصل تلحيم 25 ملم ابيض تركي</t>
  </si>
  <si>
    <t>DER-RES 1 1/4</t>
  </si>
  <si>
    <t>وصل تلحيم 25 ملم اخضر تركي</t>
  </si>
  <si>
    <t>DER-RES 14*1</t>
  </si>
  <si>
    <t>وصل تلحيم 32 ملم ابيض تركي</t>
  </si>
  <si>
    <t>DER 1 1/4</t>
  </si>
  <si>
    <t>وصل تلحيم 32 ملم اخضر تركي</t>
  </si>
  <si>
    <t>DER 1.5</t>
  </si>
  <si>
    <t>وصل تلحيم 40 ملم ابيض تركي</t>
  </si>
  <si>
    <t>DER 2.5</t>
  </si>
  <si>
    <t>وصل تلحيم 40 ملم اخضر تركي</t>
  </si>
  <si>
    <t>DER-3/4</t>
  </si>
  <si>
    <t>وصل تلحيم 50 ملم ابيض تركي</t>
  </si>
  <si>
    <t>DER-4</t>
  </si>
  <si>
    <t>وصل تلحيم 50 ملم اخضر تركي</t>
  </si>
  <si>
    <t>DER 5</t>
  </si>
  <si>
    <t>وصل تلحيم 63 ملم ابيض تركي</t>
  </si>
  <si>
    <t>DER 6</t>
  </si>
  <si>
    <t>وصل تلحيم 63 ملم اخضر تركي</t>
  </si>
  <si>
    <t>DER 7</t>
  </si>
  <si>
    <t>وصل ذكر حديد اسود 1 1/2 AFLB</t>
  </si>
  <si>
    <t>DER-50</t>
  </si>
  <si>
    <t>وصل ذكر حديد اسود 1 1/4 AFLB</t>
  </si>
  <si>
    <t>DER-30</t>
  </si>
  <si>
    <t>وصل ذكر حديد اسود 1 AFLB</t>
  </si>
  <si>
    <t>DER-4 C</t>
  </si>
  <si>
    <t>وصل ذكر حديد اسود 1/2 AFLB</t>
  </si>
  <si>
    <t>DER-40</t>
  </si>
  <si>
    <t>وصل ذكر حديد اسود 2 AFLB</t>
  </si>
  <si>
    <t>DER-60</t>
  </si>
  <si>
    <t>وصل ذكر حديد اسود 3 AFLB</t>
  </si>
  <si>
    <t>DER-70</t>
  </si>
  <si>
    <t>وصل ذكر حديد اسود 3/4 AFLB</t>
  </si>
  <si>
    <t>DER-80</t>
  </si>
  <si>
    <t>وصل ذكر حديد اسود 4 AFLB</t>
  </si>
  <si>
    <t>BTA</t>
  </si>
  <si>
    <t>وصل ذكر حديد مزيبق 1 1/2 AFL</t>
  </si>
  <si>
    <t>DER-RES 1*8</t>
  </si>
  <si>
    <t>وصل ذكر حديد مزيبق 1 1/2 HE</t>
  </si>
  <si>
    <t>DER3</t>
  </si>
  <si>
    <t>وصل ذكر حديد مزيبق 1 1/4 AFL</t>
  </si>
  <si>
    <t>DER-RES 8*1 1/4</t>
  </si>
  <si>
    <t>وصل ذكر حديد مزيبق 1 1/4 HE</t>
  </si>
  <si>
    <t>DER-RES 1</t>
  </si>
  <si>
    <t>وصل ذكر حديد مزيبق 1 AFL</t>
  </si>
  <si>
    <t>DER-RES3/4</t>
  </si>
  <si>
    <t>وصل ذكر حديد مزيبق 1 HE</t>
  </si>
  <si>
    <t>DER-RES 8*3/4</t>
  </si>
  <si>
    <t>وصل ذكر حديد مزيبق 1/2 AFL</t>
  </si>
  <si>
    <t>DER1</t>
  </si>
  <si>
    <t>وصل ذكر حديد مزيبق 1/2 HE</t>
  </si>
  <si>
    <t>DER-RES</t>
  </si>
  <si>
    <t>وصل ذكر حديد مزيبق 2 AFL</t>
  </si>
  <si>
    <t>BSH</t>
  </si>
  <si>
    <t>وصل ذكر حديد مزيبق 2 HE</t>
  </si>
  <si>
    <t>DER-T</t>
  </si>
  <si>
    <t>وصل ذكر حديد مزيبق 3 AFL</t>
  </si>
  <si>
    <t>DER-T-35</t>
  </si>
  <si>
    <t>وصل ذكر حديد مزيبق 3 HE</t>
  </si>
  <si>
    <t>DER-T-40</t>
  </si>
  <si>
    <t>وصل ذكر حديد مزيبق 3/4 AFL</t>
  </si>
  <si>
    <t>DER-T-50</t>
  </si>
  <si>
    <t>وصل ذكر حديد مزيبق 3/4 HE</t>
  </si>
  <si>
    <t>BRGK</t>
  </si>
  <si>
    <t>وصل ذكر حديد مزيبق 4 AFL</t>
  </si>
  <si>
    <t>DER-M 30*10</t>
  </si>
  <si>
    <t>وصل ذكر حديد مزيبق 4 HE</t>
  </si>
  <si>
    <t>DER-M 8*50</t>
  </si>
  <si>
    <t>وصل ذكر طويل نحاس 1/2</t>
  </si>
  <si>
    <t>DER-M 6*50</t>
  </si>
  <si>
    <t>وصل ذكر قصير نحاس 1/2</t>
  </si>
  <si>
    <t>DER-M 70*10</t>
  </si>
  <si>
    <t>وصل عادي بكنار حديد اسود 1 1/2 AFLB</t>
  </si>
  <si>
    <t>DER-M 8*60</t>
  </si>
  <si>
    <t>وصل عادي بكنار حديد اسود 1 1/4 AFLB</t>
  </si>
  <si>
    <t>DER-M 8*90</t>
  </si>
  <si>
    <t>وصل عادي بكنار حديد اسود 1 AFLB</t>
  </si>
  <si>
    <t>BRY</t>
  </si>
  <si>
    <t>وصل عادي بكنار حديد اسود 1/2 AFLB</t>
  </si>
  <si>
    <t>وصل عادي بكنار حديد اسود 2 AFLB</t>
  </si>
  <si>
    <t>وصل عادي بكنار حديد اسود 3 AFLB</t>
  </si>
  <si>
    <t>وصل عادي بكنار حديد اسود 3/4 AFLB</t>
  </si>
  <si>
    <t>DER2</t>
  </si>
  <si>
    <t>وصل عادي بكنار حديد اسود 4 AFLB</t>
  </si>
  <si>
    <t>ROL-B</t>
  </si>
  <si>
    <t>وصل عادي بكنار حديد مزيبق 1 1/2 AFL</t>
  </si>
  <si>
    <t>ROL-OF</t>
  </si>
  <si>
    <t>وصل عادي بكنار حديد مزيبق 1 1/2 HE</t>
  </si>
  <si>
    <t>ROL-C</t>
  </si>
  <si>
    <t>وصل عادي بكنار حديد مزيبق 1 1/4 AFL</t>
  </si>
  <si>
    <t>BRMIL</t>
  </si>
  <si>
    <t>وصل عادي بكنار حديد مزيبق 1 1/4 HE</t>
  </si>
  <si>
    <t>وصل عادي بكنار حديد مزيبق 1 AFL</t>
  </si>
  <si>
    <t>وصل عادي بكنار حديد مزيبق 1 HE</t>
  </si>
  <si>
    <t>وصل عادي بكنار حديد مزيبق 1/2 AFL</t>
  </si>
  <si>
    <t>وصل عادي بكنار حديد مزيبق 1/2 HE</t>
  </si>
  <si>
    <t>وصل عادي بكنار حديد مزيبق 2 AFL</t>
  </si>
  <si>
    <t>وصل عادي بكنار حديد مزيبق 2 HE</t>
  </si>
  <si>
    <t>وصل عادي بكنار حديد مزيبق 3 AFL</t>
  </si>
  <si>
    <t>وصل عادي بكنار حديد مزيبق 3 HE</t>
  </si>
  <si>
    <t>وصل عادي بكنار حديد مزيبق 3/4 AFL</t>
  </si>
  <si>
    <t>وصل عادي بكنار حديد مزيبق 3/4 HE</t>
  </si>
  <si>
    <t>وصل عادي بكنار حديد مزيبق 4 AFL</t>
  </si>
  <si>
    <t>وصل عادي بكنار حديد مزيبق 4 HE</t>
  </si>
  <si>
    <t>10148</t>
  </si>
  <si>
    <t>وصل عادي لحام حديد اسود 1 1/2 AFLB</t>
  </si>
  <si>
    <t>BRZK</t>
  </si>
  <si>
    <t>وصل عادي لحام حديد اسود 1 1/4 AFLB</t>
  </si>
  <si>
    <t>BZSH</t>
  </si>
  <si>
    <t>وصل عادي لحام حديد اسود 1 AFLB</t>
  </si>
  <si>
    <t>BAT-</t>
  </si>
  <si>
    <t>وصل عادي لحام حديد اسود 1/2 AFLB</t>
  </si>
  <si>
    <t>B33963</t>
  </si>
  <si>
    <t>وصل عادي لحام حديد اسود 2 AFLB</t>
  </si>
  <si>
    <t>وصل عادي لحام حديد اسود 3 AFLB</t>
  </si>
  <si>
    <t>وصل عادي لحام حديد اسود 3/4 AFLB</t>
  </si>
  <si>
    <t>وصل عادي لحام حديد اسود 4 AFLB</t>
  </si>
  <si>
    <t>وصل عادي لحام حديد مزيبق 1 1/2 AFL</t>
  </si>
  <si>
    <t>وصل عادي لحام حديد مزيبق 1 1/2 HE</t>
  </si>
  <si>
    <t>وصل عادي لحام حديد مزيبق 1 1/4 AFL</t>
  </si>
  <si>
    <t>QSHB</t>
  </si>
  <si>
    <t>وصل عادي لحام حديد مزيبق 1 1/4 HE</t>
  </si>
  <si>
    <t>BALAT</t>
  </si>
  <si>
    <t>وصل عادي لحام حديد مزيبق 1 AFL</t>
  </si>
  <si>
    <t>BK</t>
  </si>
  <si>
    <t>وصل عادي لحام حديد مزيبق 1 HE</t>
  </si>
  <si>
    <t>BLBL</t>
  </si>
  <si>
    <t>وصل عادي لحام حديد مزيبق 1/2 AFL</t>
  </si>
  <si>
    <t>BONBON</t>
  </si>
  <si>
    <t>وصل عادي لحام حديد مزيبق 1/2 HE</t>
  </si>
  <si>
    <t>BENSA</t>
  </si>
  <si>
    <t>وصل عادي لحام حديد مزيبق 2 1/2 HE</t>
  </si>
  <si>
    <t>وصل عادي لحام حديد مزيبق 2 AFL</t>
  </si>
  <si>
    <t>وصل عادي لحام حديد مزيبق 2 HE</t>
  </si>
  <si>
    <t>وصل عادي لحام حديد مزيبق 3 AFL</t>
  </si>
  <si>
    <t>وصل عادي لحام حديد مزيبق 3 HE</t>
  </si>
  <si>
    <t>BLRTN</t>
  </si>
  <si>
    <t>وصل عادي لحام حديد مزيبق 3/4 AFL</t>
  </si>
  <si>
    <t>POLSH</t>
  </si>
  <si>
    <t>وصل عادي لحام حديد مزيبق 3/4 HE</t>
  </si>
  <si>
    <t>BLBOND</t>
  </si>
  <si>
    <t>وصل عادي لحام حديد مزيبق 4 AFL</t>
  </si>
  <si>
    <t>السادة محلات الشامي المحترمين</t>
  </si>
  <si>
    <t>BOYA</t>
  </si>
  <si>
    <t>وصل عادي لحام حديد مزيبق 4 HE</t>
  </si>
  <si>
    <t>TAL-B</t>
  </si>
  <si>
    <t>وصل مخالف بلاستيك 1</t>
  </si>
  <si>
    <t>LCICOAW05</t>
  </si>
  <si>
    <t>وصل مخالف بلاستيك 1 1/2</t>
  </si>
  <si>
    <t>وصل مخالف بلاستيك 1 1/2 كوكو KOKO</t>
  </si>
  <si>
    <t>LCICOZW05</t>
  </si>
  <si>
    <t>وصل مخالف بلاستيك 1 1/4</t>
  </si>
  <si>
    <t>LCICOSYDW05</t>
  </si>
  <si>
    <t>وصل مخالف بلاستيك 1 1/4 كوكو KOKO</t>
  </si>
  <si>
    <t>وصل مخالف بلاستيك 1 كوكو KOKO</t>
  </si>
  <si>
    <t>LCICOGI05</t>
  </si>
  <si>
    <t>وصل مخالف بلاستيك 1/2</t>
  </si>
  <si>
    <t>PORFB</t>
  </si>
  <si>
    <t>وصل مخالف بلاستيك 1/2 كوكو KOKO</t>
  </si>
  <si>
    <t>POR</t>
  </si>
  <si>
    <t>LCICOVW05</t>
  </si>
  <si>
    <t>وصل مخالف بلاستيك 2</t>
  </si>
  <si>
    <t>LCICOVG05</t>
  </si>
  <si>
    <t>وصل مخالف بلاستيك 2 كوكو KOKO</t>
  </si>
  <si>
    <t>LCICOVI05</t>
  </si>
  <si>
    <t>وصل مخالف بلاستيك 2*3</t>
  </si>
  <si>
    <t>LCICOKW05</t>
  </si>
  <si>
    <t>وصل مخالف بلاستيك 2*4</t>
  </si>
  <si>
    <t>LCICOLGAW05</t>
  </si>
  <si>
    <t>وصل مخالف بلاستيك 3</t>
  </si>
  <si>
    <t>LCICOLGTW05</t>
  </si>
  <si>
    <t>وصل مخالف بلاستيك 3 كوكو KOKO</t>
  </si>
  <si>
    <t>وصل مخالف بلاستيك 3/4</t>
  </si>
  <si>
    <t>LCICOLGTI05</t>
  </si>
  <si>
    <t>وصل مخالف بلاستيك 3/4 كوكو KOKO</t>
  </si>
  <si>
    <t>LCICOMODVW05</t>
  </si>
  <si>
    <t>وصل مخالف بلاستيك 4</t>
  </si>
  <si>
    <t>BENZ</t>
  </si>
  <si>
    <t>وصل مخالف بلاستيك 4 كوكو KOKO</t>
  </si>
  <si>
    <t>T MIX</t>
  </si>
  <si>
    <t>وصل مخالف بلاستيك 4*5</t>
  </si>
  <si>
    <t>TABLO</t>
  </si>
  <si>
    <t>وصل مخالف بلاستيك 5</t>
  </si>
  <si>
    <t>TBLK</t>
  </si>
  <si>
    <t>وصل مخالف بلاستيك 5 كوكو KOKO</t>
  </si>
  <si>
    <t>TBSHM</t>
  </si>
  <si>
    <t>وصل مخالف بلاستيك 6</t>
  </si>
  <si>
    <t>T7WELE-T</t>
  </si>
  <si>
    <t>وصل مخالف بلاستيك 6 كوكو KOKO</t>
  </si>
  <si>
    <t>T7WELE</t>
  </si>
  <si>
    <t>وصل مخالف بلاستيك 8</t>
  </si>
  <si>
    <t>وصل مخالف بلاستيك 8 كوكو KOKO</t>
  </si>
  <si>
    <t>TK10</t>
  </si>
  <si>
    <t>وصل مخالف بلاستيك 8*6</t>
  </si>
  <si>
    <t>وصل مخالف بلاستيك 8*6 كوكو KOKO</t>
  </si>
  <si>
    <t>TM</t>
  </si>
  <si>
    <t>وصل مخالف بلاستيك اوروبي 110*125 كوكو KOKO</t>
  </si>
  <si>
    <t>TB</t>
  </si>
  <si>
    <t>وصل مخالف بلاستيك اوروبي 110*160 كوكو KOKO</t>
  </si>
  <si>
    <t>TG</t>
  </si>
  <si>
    <t>وصل مخالف بلاستيك اوروبي 125*160 كوكو KOKO</t>
  </si>
  <si>
    <t>TSR</t>
  </si>
  <si>
    <t>وصل مخالف بلاستيك اوروبي 50*110 كوكو KOKO</t>
  </si>
  <si>
    <t>IMPACT</t>
  </si>
  <si>
    <t>TS</t>
  </si>
  <si>
    <t>وصل مخالف بلاستيك اوروبي 50*75 كوكو KOKO</t>
  </si>
  <si>
    <t>TSE</t>
  </si>
  <si>
    <t>وصل مخالف بلاستيك اوروبي 75*110 كوكو KOKO</t>
  </si>
  <si>
    <t>TSH</t>
  </si>
  <si>
    <t>وصل مخالف بلاستيك بجوان الماني 110*125 ملم</t>
  </si>
  <si>
    <t>وصل مخالف بلاستيك بجوان الماني 110*160 ملم</t>
  </si>
  <si>
    <t>MMB</t>
  </si>
  <si>
    <t>وصل مخالف بلاستيك بجوان الماني 125*160 ملم</t>
  </si>
  <si>
    <t>TE</t>
  </si>
  <si>
    <t>وصل مخالف بلاستيك بجوان الماني 50*110 ملم</t>
  </si>
  <si>
    <t>TD</t>
  </si>
  <si>
    <t>وصل مخالف بلاستيك بجوان الماني 50*75 ملم</t>
  </si>
  <si>
    <t>CHRMTR-M6</t>
  </si>
  <si>
    <t>وصل مخالف بلاستيك بجوان الماني 75*110 ملم</t>
  </si>
  <si>
    <t>CHRMTR-M</t>
  </si>
  <si>
    <t>وصل مخالف بلاستيك بجوان تركي 110*125 ملم</t>
  </si>
  <si>
    <t>CHRMTR</t>
  </si>
  <si>
    <t>وصل مخالف بلاستيك بجوان تركي 110*160 ملم</t>
  </si>
  <si>
    <t>CHRMTSHM</t>
  </si>
  <si>
    <t>وصل مخالف بلاستيك بجوان تركي 125*160 ملم</t>
  </si>
  <si>
    <t>TSHT</t>
  </si>
  <si>
    <t>وصل مخالف بلاستيك بجوان تركي 50*110 ملم</t>
  </si>
  <si>
    <t>CHRMTSH</t>
  </si>
  <si>
    <t>وصل مخالف بلاستيك بجوان تركي 50*75 ملم</t>
  </si>
  <si>
    <t>وصل مخالف بلاستيك بجوان تركي 75*110 ملم</t>
  </si>
  <si>
    <t>CHRMTSZSH</t>
  </si>
  <si>
    <t>وصل مخالف تلحيم 20*25 ملم ابيض تركي</t>
  </si>
  <si>
    <t>CHRMTS</t>
  </si>
  <si>
    <t>وصل مخالف تلحيم 20*25 ملم اخضر تركي</t>
  </si>
  <si>
    <t>T-SS</t>
  </si>
  <si>
    <t>وصل مخالف تلحيم 20*32 ملم ابيض تركي</t>
  </si>
  <si>
    <t>2807</t>
  </si>
  <si>
    <t>وصل مخالف تلحيم 20*32 ملم اخضر تركي</t>
  </si>
  <si>
    <t>وصل مخالف تلحيم 20*40 ملم ابيض تركي</t>
  </si>
  <si>
    <t>CHRMTK</t>
  </si>
  <si>
    <t>وصل مخالف تلحيم 20*40 ملم اخضر تركي</t>
  </si>
  <si>
    <t>TMR</t>
  </si>
  <si>
    <t>وصل مخالف تلحيم 20*50 ملم ابيض تركي</t>
  </si>
  <si>
    <t>وصل مخالف تلحيم 20*50 ملم اخضر تركي</t>
  </si>
  <si>
    <t>CHRMTM</t>
  </si>
  <si>
    <t>وصل مخالف تلحيم 25*32 ملم ابيض تركي</t>
  </si>
  <si>
    <t>CHRMTMM</t>
  </si>
  <si>
    <t>وصل مخالف تلحيم 25*32 ملم اخضر تركي</t>
  </si>
  <si>
    <t>وصل مخالف تلحيم 25*40 ملم ابيض تركي</t>
  </si>
  <si>
    <t>CHRMTWM</t>
  </si>
  <si>
    <t>وصل مخالف تلحيم 25*40 ملم اخضر تركي</t>
  </si>
  <si>
    <t>TF</t>
  </si>
  <si>
    <t>وصل مخالف تلحيم 25*50 ملم ابيض تركي</t>
  </si>
  <si>
    <t>وصل مخالف تلحيم 25*50 ملم اخضر تركي</t>
  </si>
  <si>
    <t>TFK</t>
  </si>
  <si>
    <t>وصل مخالف تلحيم 25*63 ملم ابيض تركي</t>
  </si>
  <si>
    <t>وصل مخالف تلحيم 25*63 ملم اخضر تركي</t>
  </si>
  <si>
    <t>وصل مخالف تلحيم 32*40 ملم ابيض تركي</t>
  </si>
  <si>
    <t>TK1</t>
  </si>
  <si>
    <t>وصل مخالف تلحيم 32*40 ملم اخضر تركي</t>
  </si>
  <si>
    <t>وصل مخالف تلحيم 32*50 ملم ابيض تركي</t>
  </si>
  <si>
    <t>TALZA</t>
  </si>
  <si>
    <t>وصل مخالف تلحيم 32*50 ملم اخضر تركي</t>
  </si>
  <si>
    <t>TLZK1</t>
  </si>
  <si>
    <t>وصل مخالف تلحيم 32*63 ملم ابيض تركي</t>
  </si>
  <si>
    <t>وصل مخالف تلحيم 32*63 ملم اخضر تركي</t>
  </si>
  <si>
    <t>TLZK1/2</t>
  </si>
  <si>
    <t>وصل مخالف تلحيم 40*50 ملم ابيض تركي</t>
  </si>
  <si>
    <t>وصل مخالف تلحيم 40*50 ملم اخضر تركي</t>
  </si>
  <si>
    <t>TLZK1/4</t>
  </si>
  <si>
    <t>وصل مخالف تلحيم 40*63 ملم ابيض تركي</t>
  </si>
  <si>
    <t>TLZK1/8</t>
  </si>
  <si>
    <t>وصل مخالف تلحيم 40*63 ملم اخضر تركي</t>
  </si>
  <si>
    <t>TLZKB</t>
  </si>
  <si>
    <t>وصل مخالف تلحيم 50*63 ملم ابيض تركي</t>
  </si>
  <si>
    <t>DANSH</t>
  </si>
  <si>
    <t>وصل مخالف تلحيم 50*63 ملم اخضر تركي</t>
  </si>
  <si>
    <t>ROLL</t>
  </si>
  <si>
    <t>TALZD</t>
  </si>
  <si>
    <t>وصل مخالف حديد اسود 1 1/2*2 AFLB</t>
  </si>
  <si>
    <t>TALZSH</t>
  </si>
  <si>
    <t>وصل مخالف حديد اسود 1 1/4*1 1/2 AFLB</t>
  </si>
  <si>
    <t>TALZK</t>
  </si>
  <si>
    <t>وصل مخالف حديد اسود 1 1/4*2 AFLB</t>
  </si>
  <si>
    <t>TALZW</t>
  </si>
  <si>
    <t>وصل مخالف حديد اسود 1*1 1/2 AFLB</t>
  </si>
  <si>
    <t>FRNISH-T</t>
  </si>
  <si>
    <t>وصل مخالف حديد اسود 1*1 1/4 AFLB</t>
  </si>
  <si>
    <t>TNDR</t>
  </si>
  <si>
    <t>وصل مخالف حديد اسود 1*2 AFLB</t>
  </si>
  <si>
    <t>TENER</t>
  </si>
  <si>
    <t>وصل مخالف حديد اسود 1/2*1 AFLB</t>
  </si>
  <si>
    <t>RDTR-T</t>
  </si>
  <si>
    <t>وصل مخالف حديد اسود 1/2*2 AFLB</t>
  </si>
  <si>
    <t>TQ</t>
  </si>
  <si>
    <t>وصل مخالف حديد اسود 1/2*3/4 AFLB</t>
  </si>
  <si>
    <t>PPRG32</t>
  </si>
  <si>
    <t>وصل مخالف حديد اسود 2 1/2*3 AFLB</t>
  </si>
  <si>
    <t>TBK</t>
  </si>
  <si>
    <t>وصل مخالف حديد اسود 2*3 AFLB</t>
  </si>
  <si>
    <t>TJ10</t>
  </si>
  <si>
    <t>وصل مخالف حديد اسود 2*4 AFLB</t>
  </si>
  <si>
    <t>TJ12</t>
  </si>
  <si>
    <t>وصل مخالف حديد اسود 3/4*1 AFLB</t>
  </si>
  <si>
    <t>TJ16</t>
  </si>
  <si>
    <t>وصل مخالف حديد اسود 3/4*2 AFLB</t>
  </si>
  <si>
    <t>TJ6</t>
  </si>
  <si>
    <t>وصل مخالف حديد مزيبق 1 1/2*2 AFL</t>
  </si>
  <si>
    <t>TJ8</t>
  </si>
  <si>
    <t>وصل مخالف حديد مزيبق 1 1/2*2 HE</t>
  </si>
  <si>
    <t>وصل مخالف حديد مزيبق 1 1/4*1 1/2 AFL</t>
  </si>
  <si>
    <t>وصل مخالف حديد مزيبق 1 1/4*1 1/2 HE</t>
  </si>
  <si>
    <t>وصل مخالف حديد مزيبق 1 1/4*2 AFL</t>
  </si>
  <si>
    <t>وصل مخالف حديد مزيبق 1 1/4*2 HE</t>
  </si>
  <si>
    <t>وصل مخالف حديد مزيبق 1*1 1/2 AFL</t>
  </si>
  <si>
    <t>وصل مخالف حديد مزيبق 1*1 1/2 HE</t>
  </si>
  <si>
    <t>وصل مخالف حديد مزيبق 1*1 1/4 AFL</t>
  </si>
  <si>
    <t>وصل مخالف حديد مزيبق 1*1 1/4 HE</t>
  </si>
  <si>
    <t>وصل مخالف حديد مزيبق 1*2 AFL</t>
  </si>
  <si>
    <t>وصل مخالف حديد مزيبق 1*2 HE</t>
  </si>
  <si>
    <t>وصل مخالف حديد مزيبق 1/2*1 AFL</t>
  </si>
  <si>
    <t>وصل مخالف حديد مزيبق 1/2*1 HE</t>
  </si>
  <si>
    <t>وصل مخالف حديد مزيبق 1/2*2 AFL</t>
  </si>
  <si>
    <t>وصل مخالف حديد مزيبق 1/2*2 HE</t>
  </si>
  <si>
    <t>وصل مخالف حديد مزيبق 1/2*3/4 AFL</t>
  </si>
  <si>
    <t>وصل مخالف حديد مزيبق 1/2*3/4 HE</t>
  </si>
  <si>
    <t>وصل مخالف حديد مزيبق 2 1/2*3 AFL</t>
  </si>
  <si>
    <t>وصل مخالف حديد مزيبق 2 1/2*3 HE</t>
  </si>
  <si>
    <t>وصل مخالف حديد مزيبق 2*3 AFL</t>
  </si>
  <si>
    <t>وصل مخالف حديد مزيبق 2*3 HE</t>
  </si>
  <si>
    <t>وصل مخالف حديد مزيبق 2*4 AFL</t>
  </si>
  <si>
    <t>SDGT</t>
  </si>
  <si>
    <t>وصل مخالف حديد مزيبق 2*4 HE</t>
  </si>
  <si>
    <t>PPRGSN25</t>
  </si>
  <si>
    <t>وصل مخالف حديد مزيبق 3/4*1 AFL</t>
  </si>
  <si>
    <t>وصل مخالف حديد مزيبق 3/4*1 HE</t>
  </si>
  <si>
    <t>وصل مخالف حديد مزيبق 3/4*2 AFL</t>
  </si>
  <si>
    <t>TGH</t>
  </si>
  <si>
    <t>وصل مخالف حديد مزيبق 3/4*2 HE</t>
  </si>
  <si>
    <t>MURES غطاء سيغما بيكاليت ابيض</t>
  </si>
  <si>
    <t>HMSHF</t>
  </si>
  <si>
    <t>MUREX  غطاء ايفو بيكاليت ابيض</t>
  </si>
  <si>
    <t>FIRST WATER</t>
  </si>
  <si>
    <t>MUREX غطاء زغرتا بيكاليت ابيض</t>
  </si>
  <si>
    <t>HMSHC</t>
  </si>
  <si>
    <t>MUREX غطاء زغرتا بيكاليت ازرق</t>
  </si>
  <si>
    <t>400470</t>
  </si>
  <si>
    <t>MUREX غطاء زغرتا بيكاليت باج</t>
  </si>
  <si>
    <t>GROHEH</t>
  </si>
  <si>
    <t>MUREX غطاء زغرتا بيكاليت رمادي</t>
  </si>
  <si>
    <t>HMSHC1</t>
  </si>
  <si>
    <t>MUREX غطاء زغرتا بيكاليت عاج</t>
  </si>
  <si>
    <t>KHARRAQA</t>
  </si>
  <si>
    <t>MUREX غطاء زغرتا رزين ابيض</t>
  </si>
  <si>
    <t>KHARRAQA-B</t>
  </si>
  <si>
    <t>MUREX غطاء زغرتا رزين باج</t>
  </si>
  <si>
    <t>KHSBF</t>
  </si>
  <si>
    <t>MUREX غطاء زغرتا رزين عاج</t>
  </si>
  <si>
    <t>KHSBKH</t>
  </si>
  <si>
    <t>MUREX غطاء غاردينيا بيكاليت ابيض</t>
  </si>
  <si>
    <t>K38642</t>
  </si>
  <si>
    <t>MUREX غطاء غاردينيا بيكاليت ازرق</t>
  </si>
  <si>
    <t>GROHE</t>
  </si>
  <si>
    <t>KHZSM400</t>
  </si>
  <si>
    <t>MUREX غطاء غاردينيا بيكاليت باج</t>
  </si>
  <si>
    <t>MUREX غطاء غاردينيا بيكاليت رمادي</t>
  </si>
  <si>
    <t>MUREX غطاء غاردينيا بيكاليت زهر</t>
  </si>
  <si>
    <t>MDFKHNI</t>
  </si>
  <si>
    <t>MUREX غطاء غاردينيا بيكاليت عاج</t>
  </si>
  <si>
    <t>MDF</t>
  </si>
  <si>
    <t>MUREX غطاء غاردينيا رزين ابيض</t>
  </si>
  <si>
    <t>MUREX غطاء غالاكسي رزين ابيض</t>
  </si>
  <si>
    <t>MUREX غطاء غالاكسي رزين رمادي</t>
  </si>
  <si>
    <t>MUREX غطاء غالاكسي رزين عاج</t>
  </si>
  <si>
    <t>MUREX غطاء غالاكسي رزين كحلي</t>
  </si>
  <si>
    <t>MUREX غطاء فيكتوريا رزين عاج</t>
  </si>
  <si>
    <t>MUREX غطاء فينيسيا بيكاليت ابيض</t>
  </si>
  <si>
    <t>MUREX غطاء فينيسيا بيكاليت باج</t>
  </si>
  <si>
    <t>MUREX غطاء فينيسيا بيكاليت رمادي</t>
  </si>
  <si>
    <t>MUREX غطاء فينيسيا بيكاليت زيتوني</t>
  </si>
  <si>
    <t>MUREX غطاء فينيسيا بيكاليت عاج</t>
  </si>
  <si>
    <t>MUREX غطاء فينيسيا رزين ابيض</t>
  </si>
  <si>
    <t>MUREX غطاء كاميليا بيكاليت ابيض</t>
  </si>
  <si>
    <t>MUREX غطاء كاميليا بيكاليت باج</t>
  </si>
  <si>
    <t>MUREX غطاء كاميليا بيكاليت عاج</t>
  </si>
  <si>
    <t>MUREX غطاء كاميليا رزين ابيض</t>
  </si>
  <si>
    <t>MUREX غطاء كاميليا رزين رمادي</t>
  </si>
  <si>
    <t>MUREX غطاء كاميليا رزين عاج</t>
  </si>
  <si>
    <t>MUREX غطاء لاغونا بيكاليت ابيض</t>
  </si>
  <si>
    <t>MUREX غطاء لاغونا بيكاليت عاج</t>
  </si>
  <si>
    <t>MUREX غطاء لاغونا رزين عاج</t>
  </si>
  <si>
    <t>MUREX غطاء منهاتن بيكاليت ابيض</t>
  </si>
  <si>
    <t>MUREX غطاء موناكو رزين ابيض</t>
  </si>
  <si>
    <t>MUREX غطاء موناكو رمادي</t>
  </si>
  <si>
    <t>MUREX غطاء ميندو بيكاليت ابيض</t>
  </si>
  <si>
    <t>MIR21</t>
  </si>
  <si>
    <t>MUREX غطاء نيو غالاكسي عاج</t>
  </si>
  <si>
    <t>KZN</t>
  </si>
  <si>
    <t>PASOTTI ELEGANCE H350 رادياتور المنيوم</t>
  </si>
  <si>
    <t>KHDD</t>
  </si>
  <si>
    <t>Pedralo 2CPM/25/14 B</t>
  </si>
  <si>
    <t>MIXB2</t>
  </si>
  <si>
    <t>Pedralo CPM 1.5 170 توربين</t>
  </si>
  <si>
    <t>GR-MAX</t>
  </si>
  <si>
    <t>Pedrollo 2CP 25/14A 380V (2CP 160/160)</t>
  </si>
  <si>
    <t>MIXMP</t>
  </si>
  <si>
    <t>PEDROLLO 2CP 32/200C  220/380 V</t>
  </si>
  <si>
    <t>GROHEMEB</t>
  </si>
  <si>
    <t>Pedrollo 2CP25/160 موتير 3 حصان 3 فازيه بدرلو</t>
  </si>
  <si>
    <t>MIXBF</t>
  </si>
  <si>
    <t>Pedrollo 2CP25/16A</t>
  </si>
  <si>
    <t>KHTB</t>
  </si>
  <si>
    <t>Pedrollo 2CPM25/14 A موتير 2 حصان بدرلو</t>
  </si>
  <si>
    <t>MAX-H</t>
  </si>
  <si>
    <t>Pedrollo 2CPM80 موتير 1/2 حصان صامت بدرلو</t>
  </si>
  <si>
    <t>Pedrollo 3CPM80 موتير 1/2 حصان صامت بدرلو</t>
  </si>
  <si>
    <t>MIXDB</t>
  </si>
  <si>
    <t>Pedrollo 4CPM100 موتير 1 حصان صامت بدرلو</t>
  </si>
  <si>
    <t>GROHEMED</t>
  </si>
  <si>
    <t>Pedrollo 4CPM80 موتير 3/4 حصان صامت بدرلو</t>
  </si>
  <si>
    <t>MIXDF</t>
  </si>
  <si>
    <t>Pedrollo BCM 10/50 موتير بدرلو</t>
  </si>
  <si>
    <t>شركة صالح اخوان للتجارة العامه / يورو محل زين</t>
  </si>
  <si>
    <t>PEDROLLO -CP 200 ST</t>
  </si>
  <si>
    <t>Pedrollo CPM158 موتير 1 حصان شفاط بدرلو</t>
  </si>
  <si>
    <t>MIXDC</t>
  </si>
  <si>
    <t>PEDROLLO ELECTRIC WATER UPM 2/5 220V</t>
  </si>
  <si>
    <t>WBR-201810</t>
  </si>
  <si>
    <t>PEDROLLO ELECTRIC WATER UPM 8/3 220V</t>
  </si>
  <si>
    <t>MIXYAKUT-SH</t>
  </si>
  <si>
    <t>PEDROLLO -JCRM/18 220V  1/2 حصان كاتم ستانلس</t>
  </si>
  <si>
    <t>Pedrollo -JSWM/1AX     220V سارق</t>
  </si>
  <si>
    <t>MIXR</t>
  </si>
  <si>
    <t>Pedrollo PKM100 موتير 1.5 حصان  بدرلو</t>
  </si>
  <si>
    <t>GROHEMEMG-Cا</t>
  </si>
  <si>
    <t>Pedrollo PKM60 موتير 0.5 حصان بدرلو</t>
  </si>
  <si>
    <t>Pedrollo PKM65 موتير 3/4 حصان بدرلو</t>
  </si>
  <si>
    <t>Pedrollo PKM80 موتير 1 حصان بدرلو</t>
  </si>
  <si>
    <t>WBR-770091</t>
  </si>
  <si>
    <t>Pedrollo PKM90 موتير 1 حصان بدرلو</t>
  </si>
  <si>
    <t>MIXMGHB</t>
  </si>
  <si>
    <t>Pedrollo فراشة موتير بدرلو</t>
  </si>
  <si>
    <t>GROHEMEMGH</t>
  </si>
  <si>
    <t>Pedrollo موتير غاطس بدرلو</t>
  </si>
  <si>
    <t>MIXMGHF</t>
  </si>
  <si>
    <t>PEDROLLO-CPM130 220V</t>
  </si>
  <si>
    <t>PEDROLLO-EASY PRESS</t>
  </si>
  <si>
    <t>MIXMGHC</t>
  </si>
  <si>
    <t>PEDROLLO-JSWM/1AX   220Vبدرلو 1سارق</t>
  </si>
  <si>
    <t>MIXMGSHS</t>
  </si>
  <si>
    <t>PEDROLLO-JSWM2AX (JSW/15HX)220Vبدرلو 1سارق</t>
  </si>
  <si>
    <t>MIXMGSHSN</t>
  </si>
  <si>
    <t>PEDROLLO-JSWM2CX (JSWM/10HX)220Vبدرلو سارق</t>
  </si>
  <si>
    <t>MIXMG006</t>
  </si>
  <si>
    <t>PENTAX / طابة اتوماتيك ايطالي  / فواشة</t>
  </si>
  <si>
    <t>GROHEMEMG-C</t>
  </si>
  <si>
    <t>PENTAX CB160 دوبل 1.5 حصان</t>
  </si>
  <si>
    <t>GROHEMEMG</t>
  </si>
  <si>
    <t>PENTAX CBT210/01 طلمبة ماء دوبل توربين</t>
  </si>
  <si>
    <t>GROHEMEMG-33202</t>
  </si>
  <si>
    <t>PENTAX CBT310/01 3PHASEطلمبة ماء دوبل توربين</t>
  </si>
  <si>
    <t>MIXMGSHF</t>
  </si>
  <si>
    <t>PENTAX DB150 طلمبة غاطسة فرامة</t>
  </si>
  <si>
    <t>PENTAX DG100G طلمبة غاطسة فرامة</t>
  </si>
  <si>
    <t>PENTAX PM 90 1HP طلمبة ماء ضغط عالي</t>
  </si>
  <si>
    <t>MIXMGSHC</t>
  </si>
  <si>
    <t>Pentax PM45 موتير 1/2 حصان بينتاكس</t>
  </si>
  <si>
    <t>MIXMGSHSH</t>
  </si>
  <si>
    <t>Pentax PM50 موتير 1/2 حصان بينتاكس</t>
  </si>
  <si>
    <t>F-06117/7</t>
  </si>
  <si>
    <t>Pentax PM65 075HP موتير حصان بينتاكس</t>
  </si>
  <si>
    <t>NEXUS.4160</t>
  </si>
  <si>
    <t>Pentax PM80 موتير 1 حصان بينتاكس</t>
  </si>
  <si>
    <t>GROHEMEMGH33281</t>
  </si>
  <si>
    <t>Pentax U3-120/6 موتير ماء صامت</t>
  </si>
  <si>
    <t>MIX06027</t>
  </si>
  <si>
    <t>Pentax U3-150/7 موتير ماء صامت</t>
  </si>
  <si>
    <t>GR-23324</t>
  </si>
  <si>
    <t>Pentax U3-50/2 موتير 1/2 حصان صامت بينتاكس</t>
  </si>
  <si>
    <t>MIXMB</t>
  </si>
  <si>
    <t>Pentax U3-70/3 موتير 3/4 حصان صامت بينتاكس</t>
  </si>
  <si>
    <t>GROHEMEM-23761</t>
  </si>
  <si>
    <t>Pentax U3-90/4 موتير 1 حصان صامت بينتاكس</t>
  </si>
  <si>
    <t>GROHEMEM-32856</t>
  </si>
  <si>
    <t>Pentax U5S-200/7T موتير صامت ستانلس 3 فاز</t>
  </si>
  <si>
    <t>سارة</t>
  </si>
  <si>
    <t>MIXDFCH</t>
  </si>
  <si>
    <t>Pentax موتير بينتاكس</t>
  </si>
  <si>
    <t>MIXMLC</t>
  </si>
  <si>
    <t>Pentex PM65 موتير 3/4 حصان بينتاكس</t>
  </si>
  <si>
    <t>PERFECTA طلمبة ضغط 80 وات  2 بار</t>
  </si>
  <si>
    <t>MIXYAKUT</t>
  </si>
  <si>
    <t>piston grohee 43544</t>
  </si>
  <si>
    <t>GROHEMEM-C</t>
  </si>
  <si>
    <t>POWER TECH 3 WP30DCE-A طلمبة ماء ديزل</t>
  </si>
  <si>
    <t>ورشة الورع</t>
  </si>
  <si>
    <t>GROHEMEM</t>
  </si>
  <si>
    <t>PRESS CONTROL</t>
  </si>
  <si>
    <t>MIXMF</t>
  </si>
  <si>
    <t>PRESS CONTROL +ELECT CABLE BERUO</t>
  </si>
  <si>
    <t>PRESS CONTROL/HYDRO STAR اتوماتيك طلمبة ماء COMET</t>
  </si>
  <si>
    <t>PRESSURE PUMP WITH MAGNAIC مع ادبتر ماركيز 15/20-1.5</t>
  </si>
  <si>
    <t>PRESSURE TANK 100LIT VERT</t>
  </si>
  <si>
    <t>MIXMC</t>
  </si>
  <si>
    <t>PRESSURE TANK 200LIT VERT.</t>
  </si>
  <si>
    <t>MIXMM</t>
  </si>
  <si>
    <t>PRESSURE TANK 24L</t>
  </si>
  <si>
    <t>PRESSURE TANK 25L</t>
  </si>
  <si>
    <t>PRESSURE TANK 50 LIT VERT</t>
  </si>
  <si>
    <t>PRESSURE TANK 500LIT VERT.</t>
  </si>
  <si>
    <t>PRESSURE TANK 80 LTR VERT.10 BAR بالون</t>
  </si>
  <si>
    <t>PRESSURE TESTING PUMP فحص ضغط</t>
  </si>
  <si>
    <t>WBR-700227</t>
  </si>
  <si>
    <t>PULL OUT SPRAY غروهي</t>
  </si>
  <si>
    <t>GR-23322</t>
  </si>
  <si>
    <t>RAD -2000 KALDO 600 رادياتور</t>
  </si>
  <si>
    <t>GRLIN23405</t>
  </si>
  <si>
    <t>RATO R1500 مولد</t>
  </si>
  <si>
    <t>MIX-K</t>
  </si>
  <si>
    <t>RATO R3500 مولد بنزين</t>
  </si>
  <si>
    <t>KHOZE</t>
  </si>
  <si>
    <t>RATO R4000ER مولد صامت</t>
  </si>
  <si>
    <t>KHESH</t>
  </si>
  <si>
    <t>RATO R4500Dمولد بنزين مارش مع دواليب</t>
  </si>
  <si>
    <t>PACK</t>
  </si>
  <si>
    <t>KHT</t>
  </si>
  <si>
    <t>RATO R5500 DWH  مولد</t>
  </si>
  <si>
    <t>DKHN</t>
  </si>
  <si>
    <t>RATO R6000 DWH مولد</t>
  </si>
  <si>
    <t>RO- سكر خزان</t>
  </si>
  <si>
    <t>DRFH</t>
  </si>
  <si>
    <t>ROVATTI 4E2/36 طلمبة غاطسة</t>
  </si>
  <si>
    <t>DAFASH</t>
  </si>
  <si>
    <t>ROVATTI 4ES4/11 طلمبة غاطسة</t>
  </si>
  <si>
    <t>DALAI</t>
  </si>
  <si>
    <t>ROVATTI 4ES4/16 طلمبة غاطسة</t>
  </si>
  <si>
    <t>DAL 7/25</t>
  </si>
  <si>
    <t>ROVATTI 4ES4/21 طلمبة غاطسة</t>
  </si>
  <si>
    <t>DHAN</t>
  </si>
  <si>
    <t>ROVATTI 4ES4/32 طلمبة غاطسة</t>
  </si>
  <si>
    <t>DD</t>
  </si>
  <si>
    <t>ROVATTI 4ES6/14 طلمبة غاطسة</t>
  </si>
  <si>
    <t>DT</t>
  </si>
  <si>
    <t>SDS MAX 40MM مقدح</t>
  </si>
  <si>
    <t>MG GROUP INTERNATIONAL S.A.R.L</t>
  </si>
  <si>
    <t>DG</t>
  </si>
  <si>
    <t>SDS كومبراسير</t>
  </si>
  <si>
    <t>DS</t>
  </si>
  <si>
    <t>SDS مقدح HAMMER 26MM 800W</t>
  </si>
  <si>
    <t>DOLAB</t>
  </si>
  <si>
    <t>SDS مقدح ROTARY HAMMER  800W</t>
  </si>
  <si>
    <t>DOLAB-F</t>
  </si>
  <si>
    <t>SENSOR خلاط مغسلة سنسور</t>
  </si>
  <si>
    <t>DGNTR-10 A</t>
  </si>
  <si>
    <t>SHIMGIE 24 LT بالون كامل</t>
  </si>
  <si>
    <t>DGNTR-16 A</t>
  </si>
  <si>
    <t>SHIMGIE QDX1.5-25-0.55 طلمبة جورة</t>
  </si>
  <si>
    <t>DGNTR-20 A</t>
  </si>
  <si>
    <t>SHIMGIE موتير 1/2 حصان</t>
  </si>
  <si>
    <t>DGNTR-32 A</t>
  </si>
  <si>
    <t>SOLAR LIGHT 300W لمبه</t>
  </si>
  <si>
    <t>DGNTR-2.5</t>
  </si>
  <si>
    <t>SOLAR SAFETY VALVE 1.5 BAR</t>
  </si>
  <si>
    <t>DGNTR-5 A</t>
  </si>
  <si>
    <t>SPR</t>
  </si>
  <si>
    <t>DGNTR</t>
  </si>
  <si>
    <t>SUPER POWER رجراج باطون</t>
  </si>
  <si>
    <t>HK-40</t>
  </si>
  <si>
    <t>TANGIT تلزيق بلاستيك 1 كيلو</t>
  </si>
  <si>
    <t>DISAK</t>
  </si>
  <si>
    <t>TANGIT تلزيق بلاستيك 1/2 كيلو</t>
  </si>
  <si>
    <t>DISAK-11.5</t>
  </si>
  <si>
    <t>TANK SENNER  صندوق لسيكو ابيض</t>
  </si>
  <si>
    <t>DISAK-18</t>
  </si>
  <si>
    <t>tectron ur elc exp 6v</t>
  </si>
  <si>
    <t>141212-DD</t>
  </si>
  <si>
    <t>Tellarini EEM25 طلمبة مازوت برونز</t>
  </si>
  <si>
    <t>DISKH</t>
  </si>
  <si>
    <t>Tellarini EEM40 1.2  طلمبة مازوت برونز</t>
  </si>
  <si>
    <t>DISAKW</t>
  </si>
  <si>
    <t>TIGER TG1200 بنزين 3.5 امبير</t>
  </si>
  <si>
    <t>DISAK-23</t>
  </si>
  <si>
    <t>TIGER TG1500 بنزين 4.5 امبير</t>
  </si>
  <si>
    <t>142001-DS</t>
  </si>
  <si>
    <t>TIGER TG3700AE-B مولدكهرباء مع دواليب</t>
  </si>
  <si>
    <t>141120-DASK</t>
  </si>
  <si>
    <t>TIYA200 LITRES جبالة كهرباء</t>
  </si>
  <si>
    <t>141205-DASK</t>
  </si>
  <si>
    <t>TORNADO موتير 1 حصان تورنادو</t>
  </si>
  <si>
    <t>142101-CD</t>
  </si>
  <si>
    <t>TORNADO موتير 1/2 حصان تورنادو</t>
  </si>
  <si>
    <t>DML</t>
  </si>
  <si>
    <t>TOT طربوش 10 مل</t>
  </si>
  <si>
    <t>RS1 1/4</t>
  </si>
  <si>
    <t>TOT طربوش 13 مل</t>
  </si>
  <si>
    <t>RS1 1/2</t>
  </si>
  <si>
    <t>TOT طربوش 8 مل</t>
  </si>
  <si>
    <t>671-36-1</t>
  </si>
  <si>
    <t>turpentine 3l</t>
  </si>
  <si>
    <t>SB 11</t>
  </si>
  <si>
    <t>UMBRAACUATEC  30  0.75HP طلمبة غاطسة</t>
  </si>
  <si>
    <t>SB 14</t>
  </si>
  <si>
    <t>UMBRAACUATEC  40  0.8HP طلمبة غاطسة</t>
  </si>
  <si>
    <t>UMBRAACUATEC 70 1.2HP طلمبة غاطسة</t>
  </si>
  <si>
    <t>uniset slim 6/31</t>
  </si>
  <si>
    <t>RSM</t>
  </si>
  <si>
    <t>universal shower trays waste,horizont</t>
  </si>
  <si>
    <t>MFK-R</t>
  </si>
  <si>
    <t>urinal trap horiz outlet</t>
  </si>
  <si>
    <t>RM</t>
  </si>
  <si>
    <t>VAREM 500 LITER بالون ضغط</t>
  </si>
  <si>
    <t>MOTRR</t>
  </si>
  <si>
    <t>Viega صباب بانيو</t>
  </si>
  <si>
    <t>RBAT'</t>
  </si>
  <si>
    <t>WILO موتير روتور ويلو</t>
  </si>
  <si>
    <t>RBAT</t>
  </si>
  <si>
    <t>WSTN ECO 15G-10 موتير اتوماتيك</t>
  </si>
  <si>
    <t>KLBS25</t>
  </si>
  <si>
    <t>WSTN ECO 15G-15 موتير اتوماتيك</t>
  </si>
  <si>
    <t>KLBS32</t>
  </si>
  <si>
    <t>WSTN اتوماتيك موتير</t>
  </si>
  <si>
    <t>RSHS2</t>
  </si>
  <si>
    <t>WSTN موتير اتوماتيك وستن</t>
  </si>
  <si>
    <t>BAG</t>
  </si>
  <si>
    <t>RSHS2 1/2</t>
  </si>
  <si>
    <t>WSTN موتير روتور</t>
  </si>
  <si>
    <t>RSHS3/4</t>
  </si>
  <si>
    <t>WSTN موتير شوفاج  WRS32/10-180</t>
  </si>
  <si>
    <t>RSHS</t>
  </si>
  <si>
    <t>XYLENE /اغزيلين</t>
  </si>
  <si>
    <t>RBAT-S</t>
  </si>
  <si>
    <t>ازميل</t>
  </si>
  <si>
    <t>VAR</t>
  </si>
  <si>
    <t>اساس</t>
  </si>
  <si>
    <t>MGHT</t>
  </si>
  <si>
    <t>اسافين</t>
  </si>
  <si>
    <t>RT</t>
  </si>
  <si>
    <t>اسافين الماني</t>
  </si>
  <si>
    <t>AGN</t>
  </si>
  <si>
    <t>اسافين تلحيم</t>
  </si>
  <si>
    <t>RDTR</t>
  </si>
  <si>
    <t>اسيد</t>
  </si>
  <si>
    <t>RDTR450*1200</t>
  </si>
  <si>
    <t>اشتراك ديجنتر 20*2</t>
  </si>
  <si>
    <t>RDTR45*1720</t>
  </si>
  <si>
    <t>اشتراك ديجنتر 24 5</t>
  </si>
  <si>
    <t>RDTR45*800</t>
  </si>
  <si>
    <t>اشتراك ديجنتر 32*2</t>
  </si>
  <si>
    <t>اكزيلين</t>
  </si>
  <si>
    <t>RZH</t>
  </si>
  <si>
    <t>اكما ابيض</t>
  </si>
  <si>
    <t>RSSST</t>
  </si>
  <si>
    <t>التكو</t>
  </si>
  <si>
    <t>RSST</t>
  </si>
  <si>
    <t>الكترود</t>
  </si>
  <si>
    <t>RAZEN</t>
  </si>
  <si>
    <t>الواح طاقه شمسيه</t>
  </si>
  <si>
    <t>RSASA</t>
  </si>
  <si>
    <t>انتيفريز غالون 3 ليتر</t>
  </si>
  <si>
    <t>واروجان</t>
  </si>
  <si>
    <t>RSR</t>
  </si>
  <si>
    <t>انجاصة</t>
  </si>
  <si>
    <t>RSORMJROR</t>
  </si>
  <si>
    <t xml:space="preserve"> كالون اندركوت MAX</t>
  </si>
  <si>
    <t>RSWB</t>
  </si>
  <si>
    <t>ايبوكسي</t>
  </si>
  <si>
    <t>LCICOLNRAFW50</t>
  </si>
  <si>
    <t>باتكس</t>
  </si>
  <si>
    <t>LCICOLNRAFI50</t>
  </si>
  <si>
    <t>باتين ملون تمشيح</t>
  </si>
  <si>
    <t>LCICOLNRAFW60</t>
  </si>
  <si>
    <t>بار دوش</t>
  </si>
  <si>
    <t>LCICOLNRAFI60</t>
  </si>
  <si>
    <t>بار دوش غروهي 26354</t>
  </si>
  <si>
    <t>LCICOLNRAFW70</t>
  </si>
  <si>
    <t>باردوش غروهي</t>
  </si>
  <si>
    <t>باردوش غروهي 27389</t>
  </si>
  <si>
    <t>C304/DS/B/3</t>
  </si>
  <si>
    <t>بالون ضغط 50 ليتر / ايطالي GTRALVERTICAL</t>
  </si>
  <si>
    <t>TAKKO COMPANY</t>
  </si>
  <si>
    <t>RF-Z</t>
  </si>
  <si>
    <t>بانيو</t>
  </si>
  <si>
    <t>RAFSH</t>
  </si>
  <si>
    <t>بحص</t>
  </si>
  <si>
    <t>براشة</t>
  </si>
  <si>
    <t>RKSN</t>
  </si>
  <si>
    <t>براشة 11.5</t>
  </si>
  <si>
    <t>ZRNRZ3/4</t>
  </si>
  <si>
    <t>براشة 11.5 TOTAL</t>
  </si>
  <si>
    <t>براشة 18 سم</t>
  </si>
  <si>
    <t>AZE</t>
  </si>
  <si>
    <t>براغي</t>
  </si>
  <si>
    <t>RAL</t>
  </si>
  <si>
    <t>براغي 1 4/1 *14 TOT</t>
  </si>
  <si>
    <t>RK</t>
  </si>
  <si>
    <t>براغي TOT  14*1</t>
  </si>
  <si>
    <t>RKMB</t>
  </si>
  <si>
    <t>براغي اسود 1 4/1 *7  3 سم</t>
  </si>
  <si>
    <t>T-R</t>
  </si>
  <si>
    <t>براغي اسود 1.5 سم</t>
  </si>
  <si>
    <t>RML</t>
  </si>
  <si>
    <t>براغي اسود 2.5 سم</t>
  </si>
  <si>
    <t>RANDAL</t>
  </si>
  <si>
    <t>براغي اسود 3/4*7 (2 سم</t>
  </si>
  <si>
    <t>RNSH</t>
  </si>
  <si>
    <t>براغي اسود 4 سم</t>
  </si>
  <si>
    <t>RWB</t>
  </si>
  <si>
    <t>براغي اسود 5 سم</t>
  </si>
  <si>
    <t>T-ROLL</t>
  </si>
  <si>
    <t>براغي اسود 6 سم</t>
  </si>
  <si>
    <t>ROLBALL10</t>
  </si>
  <si>
    <t>براغي اسود 7 سم</t>
  </si>
  <si>
    <t>ROLBALL6</t>
  </si>
  <si>
    <t>براغي اصفر  50*4.5</t>
  </si>
  <si>
    <t>ROLBALL8</t>
  </si>
  <si>
    <t>براغي اصفر 30*4.5</t>
  </si>
  <si>
    <t>ROL HMAM</t>
  </si>
  <si>
    <t>براغي اصفر 40**4</t>
  </si>
  <si>
    <t>ROLL-25</t>
  </si>
  <si>
    <t>براغي اصفر 40*4.5</t>
  </si>
  <si>
    <t>ROLL-450</t>
  </si>
  <si>
    <t>براغي اصفر 60*4.5</t>
  </si>
  <si>
    <t>ROLL-26</t>
  </si>
  <si>
    <t>براغي اصفر 70*5</t>
  </si>
  <si>
    <t>ROLL-422</t>
  </si>
  <si>
    <t>براغي اصفر 80*4.5</t>
  </si>
  <si>
    <t>براغي تيه عصفورة</t>
  </si>
  <si>
    <t>براغي ريشه 1*8</t>
  </si>
  <si>
    <t>RESHE</t>
  </si>
  <si>
    <t>براغي ريشه 1.25*8</t>
  </si>
  <si>
    <t>RESHE-10</t>
  </si>
  <si>
    <t>براغي ريشه 1/4 1*8</t>
  </si>
  <si>
    <t>RESHE-3</t>
  </si>
  <si>
    <t>براغي ريشه 14*1 TOT</t>
  </si>
  <si>
    <t>RESHE-4</t>
  </si>
  <si>
    <t>براغي ريشه 14*3/4  TOT</t>
  </si>
  <si>
    <t>RESHE-5</t>
  </si>
  <si>
    <t>براغي ريشه 3/4*8</t>
  </si>
  <si>
    <t>RESHE-6</t>
  </si>
  <si>
    <t>براغي ريشه 3سم</t>
  </si>
  <si>
    <t>RESHE-8</t>
  </si>
  <si>
    <t>براغي ريشه مع رندال</t>
  </si>
  <si>
    <t>RESHE-12*160</t>
  </si>
  <si>
    <t>براغي شنكل</t>
  </si>
  <si>
    <t>RESHE-14*160</t>
  </si>
  <si>
    <t>براغي صليب اصفر</t>
  </si>
  <si>
    <t>RESHE-14*260</t>
  </si>
  <si>
    <t>براغي صليب اصفر 35*4.5</t>
  </si>
  <si>
    <t>RESHE-16*160</t>
  </si>
  <si>
    <t>براغي صليب اصفر 40*5</t>
  </si>
  <si>
    <t>RESHE-16*260</t>
  </si>
  <si>
    <t>براغي صليب اصفر 50*4.5</t>
  </si>
  <si>
    <t>RESHE-10*160</t>
  </si>
  <si>
    <t>براغي كونسول</t>
  </si>
  <si>
    <t>RESHE-20*260</t>
  </si>
  <si>
    <t>براغي مسدس 10*30</t>
  </si>
  <si>
    <t>RESHE-22*260</t>
  </si>
  <si>
    <t>براغي مسدس 50*8</t>
  </si>
  <si>
    <t>RESHE-10*260</t>
  </si>
  <si>
    <t>براغي مسدس 6*50</t>
  </si>
  <si>
    <t>RESHE-28*310</t>
  </si>
  <si>
    <t>براغي مسدس 70*10</t>
  </si>
  <si>
    <t>RESHE-30*500</t>
  </si>
  <si>
    <t>براغي مسدس 8*60</t>
  </si>
  <si>
    <t>RESHE-B</t>
  </si>
  <si>
    <t>براغي مسدس 90*8</t>
  </si>
  <si>
    <t>RESHE-B6</t>
  </si>
  <si>
    <t>براية</t>
  </si>
  <si>
    <t>RESHE-HD</t>
  </si>
  <si>
    <t>برغي زنبار (L)</t>
  </si>
  <si>
    <t>RESHE-8*70</t>
  </si>
  <si>
    <t>برميل رول كبير ابيض موهير</t>
  </si>
  <si>
    <t>RESHE-10*210</t>
  </si>
  <si>
    <t>برميل رول كبير اوف وايت</t>
  </si>
  <si>
    <t>RRT</t>
  </si>
  <si>
    <t>برميل رول كبير كريم</t>
  </si>
  <si>
    <t>RRG</t>
  </si>
  <si>
    <t>بروفايل المنيوم</t>
  </si>
  <si>
    <t>TK3</t>
  </si>
  <si>
    <t>بريز كهرباء</t>
  </si>
  <si>
    <t>TK5</t>
  </si>
  <si>
    <t>بزبوزة</t>
  </si>
  <si>
    <t>مؤسسة كروماستيل / حسن الموسوي</t>
  </si>
  <si>
    <t>TK7</t>
  </si>
  <si>
    <t>بطاريه</t>
  </si>
  <si>
    <t>TK-R</t>
  </si>
  <si>
    <t>بطيخة سواد 33963 سواد فرعين</t>
  </si>
  <si>
    <t>RKLAG</t>
  </si>
  <si>
    <t>بكرة قشاط</t>
  </si>
  <si>
    <t>RMVR</t>
  </si>
  <si>
    <t>بلاط</t>
  </si>
  <si>
    <t>ZBB</t>
  </si>
  <si>
    <t>بلاك كهرباء</t>
  </si>
  <si>
    <t>ZT</t>
  </si>
  <si>
    <t>بلبل</t>
  </si>
  <si>
    <t>ZH</t>
  </si>
  <si>
    <t>بنبونه</t>
  </si>
  <si>
    <t>ZW</t>
  </si>
  <si>
    <t>بنسه</t>
  </si>
  <si>
    <t>ZL</t>
  </si>
  <si>
    <t>بولارتان</t>
  </si>
  <si>
    <t>ZFT</t>
  </si>
  <si>
    <t>بولش</t>
  </si>
  <si>
    <t>ZIBAG</t>
  </si>
  <si>
    <t>بوليبوند</t>
  </si>
  <si>
    <t>OIL</t>
  </si>
  <si>
    <t>كالون بويا MAX</t>
  </si>
  <si>
    <t>OIL-T</t>
  </si>
  <si>
    <t>تابلو</t>
  </si>
  <si>
    <t>ZRQN</t>
  </si>
  <si>
    <t>تابلو كهرباء</t>
  </si>
  <si>
    <t>SIP</t>
  </si>
  <si>
    <t>تباشيم</t>
  </si>
  <si>
    <t>SB10</t>
  </si>
  <si>
    <t>تحويلة دوش</t>
  </si>
  <si>
    <t>SDG</t>
  </si>
  <si>
    <t>تحويلة كرسي  جالس</t>
  </si>
  <si>
    <t>SGH</t>
  </si>
  <si>
    <t>تحويلة مقدح</t>
  </si>
  <si>
    <t>ST-D30</t>
  </si>
  <si>
    <t>ترابة بيضاء</t>
  </si>
  <si>
    <t>WAT</t>
  </si>
  <si>
    <t>ترابة جاهزة</t>
  </si>
  <si>
    <t>SQT</t>
  </si>
  <si>
    <t>ترابة سريعة</t>
  </si>
  <si>
    <t>SBSR</t>
  </si>
  <si>
    <t>ترابة سوداء</t>
  </si>
  <si>
    <t>SPRAY</t>
  </si>
  <si>
    <t>تطويلة سكر انكستريه</t>
  </si>
  <si>
    <t>SPRAYS</t>
  </si>
  <si>
    <t>تطويلة شاسيه</t>
  </si>
  <si>
    <t>SPRAYW</t>
  </si>
  <si>
    <t>تطويلة عنق مجلى بلاستيك</t>
  </si>
  <si>
    <t>SPT</t>
  </si>
  <si>
    <t>تعليقة اسم</t>
  </si>
  <si>
    <t>SPO-289</t>
  </si>
  <si>
    <t>تعليقة دوش متحركه</t>
  </si>
  <si>
    <t>SABOU</t>
  </si>
  <si>
    <t>تعليقة روب 6 مسمار كروم او شنكل</t>
  </si>
  <si>
    <t>TDN/09166</t>
  </si>
  <si>
    <t>تعليقة روب مبروم كروم</t>
  </si>
  <si>
    <t>C304/DS/Z/2</t>
  </si>
  <si>
    <t>تعليقة روب مربع كروم</t>
  </si>
  <si>
    <t>C304/DS/Z/3</t>
  </si>
  <si>
    <t>تعليقة شامبو كروم</t>
  </si>
  <si>
    <t>ST-86 -C</t>
  </si>
  <si>
    <t>تعليقة شطافة</t>
  </si>
  <si>
    <t>Farman Int. General Trading &amp; Contracting Co.</t>
  </si>
  <si>
    <t>STRNR</t>
  </si>
  <si>
    <t>تعليقة شنكل برنص كروم</t>
  </si>
  <si>
    <t>SF-103-02</t>
  </si>
  <si>
    <t>تعليقة صابون زاوية شبك كروم</t>
  </si>
  <si>
    <t>STOP</t>
  </si>
  <si>
    <t>تعليقة صابون كروم</t>
  </si>
  <si>
    <t>SBN</t>
  </si>
  <si>
    <t>تعليقة صيدليه</t>
  </si>
  <si>
    <t>تعليقة فرشاةحمام مربع كروم</t>
  </si>
  <si>
    <t>تعليقة كباية كروم</t>
  </si>
  <si>
    <t>تعليقة مروحة</t>
  </si>
  <si>
    <t>تعليقة منشفة كروم</t>
  </si>
  <si>
    <t>تعليقة منشفة مبرومة كروم</t>
  </si>
  <si>
    <t>تعليقة ورق محارم كروم</t>
  </si>
  <si>
    <t>تلزيق بلاط اسباني</t>
  </si>
  <si>
    <t>تلزيق دنسل اسود عريض</t>
  </si>
  <si>
    <t>SSF</t>
  </si>
  <si>
    <t>تلزيق دوبل فايس</t>
  </si>
  <si>
    <t>تلزيق عريض شفاف</t>
  </si>
  <si>
    <t>تلزيق كهرباء</t>
  </si>
  <si>
    <t>SKA</t>
  </si>
  <si>
    <t>تلزيق ورق عريض</t>
  </si>
  <si>
    <t>SDK</t>
  </si>
  <si>
    <t>تلوينة فرنيش</t>
  </si>
  <si>
    <t>MJRSD</t>
  </si>
  <si>
    <t>تنديرصغيره</t>
  </si>
  <si>
    <t>MJRSD10</t>
  </si>
  <si>
    <t>تنر  كالون</t>
  </si>
  <si>
    <t>MJRSD13</t>
  </si>
  <si>
    <t>تنفيسة رادياتور</t>
  </si>
  <si>
    <t>SAD</t>
  </si>
  <si>
    <t>تنفيسة قازان صيني</t>
  </si>
  <si>
    <t>STLA</t>
  </si>
  <si>
    <t>تيب كهرباء</t>
  </si>
  <si>
    <t>SEKA</t>
  </si>
  <si>
    <t>MJRSK</t>
  </si>
  <si>
    <t>SOLAR/485</t>
  </si>
  <si>
    <t>SOLAR6B</t>
  </si>
  <si>
    <t>SOLAR/480</t>
  </si>
  <si>
    <t>تيه ساعة ضغط</t>
  </si>
  <si>
    <t>SQ2B</t>
  </si>
  <si>
    <t>تيه غاز</t>
  </si>
  <si>
    <t>STD</t>
  </si>
  <si>
    <t>جرس</t>
  </si>
  <si>
    <t>جزمة</t>
  </si>
  <si>
    <t>GRCL22940</t>
  </si>
  <si>
    <t>جفصين</t>
  </si>
  <si>
    <t>GR22018</t>
  </si>
  <si>
    <t>جنزير</t>
  </si>
  <si>
    <t>جوان كرسي كونيك</t>
  </si>
  <si>
    <t>ZRBSZ32*32</t>
  </si>
  <si>
    <t>جوانات</t>
  </si>
  <si>
    <t>ZRBSZ75</t>
  </si>
  <si>
    <t>جوزة</t>
  </si>
  <si>
    <t>7122704</t>
  </si>
  <si>
    <t>جيليه</t>
  </si>
  <si>
    <t>SSH</t>
  </si>
  <si>
    <t>حاجز طريق</t>
  </si>
  <si>
    <t>SKR</t>
  </si>
  <si>
    <t>حبل</t>
  </si>
  <si>
    <t>GHSSKR</t>
  </si>
  <si>
    <t>حبل غسيل</t>
  </si>
  <si>
    <t>حجر حف</t>
  </si>
  <si>
    <t>حجر فوسفات</t>
  </si>
  <si>
    <t>حديد 6 ملم</t>
  </si>
  <si>
    <t>حراقة</t>
  </si>
  <si>
    <t>حرق عشب</t>
  </si>
  <si>
    <t>حزام امان</t>
  </si>
  <si>
    <t>حفافة</t>
  </si>
  <si>
    <t>حماية براد</t>
  </si>
  <si>
    <t>GR-4315</t>
  </si>
  <si>
    <t>خراقة</t>
  </si>
  <si>
    <t>SALE</t>
  </si>
  <si>
    <t>خضاضة</t>
  </si>
  <si>
    <t>خوذة</t>
  </si>
  <si>
    <t>SLNDR</t>
  </si>
  <si>
    <t>خيش</t>
  </si>
  <si>
    <t>SAMM</t>
  </si>
  <si>
    <t>خيط</t>
  </si>
  <si>
    <t>SHS</t>
  </si>
  <si>
    <t>داخون</t>
  </si>
  <si>
    <t>SPH</t>
  </si>
  <si>
    <t>درفة</t>
  </si>
  <si>
    <t>SKHBR</t>
  </si>
  <si>
    <t>دفاش</t>
  </si>
  <si>
    <t>SE</t>
  </si>
  <si>
    <t xml:space="preserve">دلاية  خزان </t>
  </si>
  <si>
    <t>SK</t>
  </si>
  <si>
    <t>دواء تنظيف</t>
  </si>
  <si>
    <t>SIFPR</t>
  </si>
  <si>
    <t>دواء جوان حراري</t>
  </si>
  <si>
    <t>SELER</t>
  </si>
  <si>
    <t>دواء صراصير</t>
  </si>
  <si>
    <t>SLKNA</t>
  </si>
  <si>
    <t xml:space="preserve">دولاب عربايه نفخ </t>
  </si>
  <si>
    <t>شركة صابر للصناعة ش.م.م</t>
  </si>
  <si>
    <t>SLKNB</t>
  </si>
  <si>
    <t>ديجنتير  A10 ABB</t>
  </si>
  <si>
    <t>SLKNA-R</t>
  </si>
  <si>
    <t>ديجنتير  A16 ABB</t>
  </si>
  <si>
    <t>SLKNSH</t>
  </si>
  <si>
    <t>ديجنتير  A20 ABB</t>
  </si>
  <si>
    <t>SLKNSHB</t>
  </si>
  <si>
    <t>ديجنتير  A32 ABB</t>
  </si>
  <si>
    <t>SLKNI</t>
  </si>
  <si>
    <t>ديجنتير  CBI 2.5 اسود</t>
  </si>
  <si>
    <t>SHADR</t>
  </si>
  <si>
    <t>ديجنتير  CBI 5A</t>
  </si>
  <si>
    <t>SHASE1</t>
  </si>
  <si>
    <t>ديجنتير كهرباء</t>
  </si>
  <si>
    <t>GRDA38729</t>
  </si>
  <si>
    <t>ديجنتير هاوس 40*2</t>
  </si>
  <si>
    <t>SHASE</t>
  </si>
  <si>
    <t>ديسك</t>
  </si>
  <si>
    <t>SHSEH</t>
  </si>
  <si>
    <t>ديسك او ورق مضلع ايطالي 11.5 ملم</t>
  </si>
  <si>
    <t>SHSK</t>
  </si>
  <si>
    <t>ديسك او ورق مضلع ايطالي 18 ملم</t>
  </si>
  <si>
    <t>SHASH</t>
  </si>
  <si>
    <t>ديسك تفتيح  DISC 1MM /115MM</t>
  </si>
  <si>
    <t>SH-N</t>
  </si>
  <si>
    <t>ديسك حديد</t>
  </si>
  <si>
    <t>SH</t>
  </si>
  <si>
    <t>ديسك خشب 11.5 سم</t>
  </si>
  <si>
    <t>SABA</t>
  </si>
  <si>
    <t>ديسك ستانلس 230*1.66*22</t>
  </si>
  <si>
    <t>SABA-H</t>
  </si>
  <si>
    <t>ديسك ستانلس HERO 115*1*22</t>
  </si>
  <si>
    <t>SABA-M</t>
  </si>
  <si>
    <t>ديسك سيراميك 11.5</t>
  </si>
  <si>
    <t>MJRSH</t>
  </si>
  <si>
    <t>ديسك غرانيت TURBO 11.5</t>
  </si>
  <si>
    <t>SABA-C</t>
  </si>
  <si>
    <t>ديسك قص  DEPRESS 115*2.5-22 /11.5CM</t>
  </si>
  <si>
    <t>S</t>
  </si>
  <si>
    <t>ديمول</t>
  </si>
  <si>
    <t>S1</t>
  </si>
  <si>
    <t>راس مثلث</t>
  </si>
  <si>
    <t>BLAS-1 1/4</t>
  </si>
  <si>
    <t>راس مفك</t>
  </si>
  <si>
    <t>قاسم قاسم</t>
  </si>
  <si>
    <t>BLAS-1</t>
  </si>
  <si>
    <t>راس مقدح</t>
  </si>
  <si>
    <t>BLAS1/2</t>
  </si>
  <si>
    <t>راس موتير</t>
  </si>
  <si>
    <t>رباط 16</t>
  </si>
  <si>
    <t>BLAS-3/4</t>
  </si>
  <si>
    <t>رباط 18</t>
  </si>
  <si>
    <t>E-K-10</t>
  </si>
  <si>
    <t>رباط او كليبس بلاستيك 25</t>
  </si>
  <si>
    <t>SHRTJ</t>
  </si>
  <si>
    <t>رباط او كليبس بلاستيك 32</t>
  </si>
  <si>
    <t>SHST</t>
  </si>
  <si>
    <t>رباط شد 2</t>
  </si>
  <si>
    <t>SHA</t>
  </si>
  <si>
    <t>رباط شد 2 1/2</t>
  </si>
  <si>
    <t>SHKR</t>
  </si>
  <si>
    <t>رباط شد 3/4</t>
  </si>
  <si>
    <t>MSHM1/2</t>
  </si>
  <si>
    <t>رباط شد سنتير</t>
  </si>
  <si>
    <t>رباط صناعي</t>
  </si>
  <si>
    <t>رباط غاز / شد</t>
  </si>
  <si>
    <t>رباط مغيط</t>
  </si>
  <si>
    <t>رجل طاولة ستانلس</t>
  </si>
  <si>
    <t>رجلين صندوق</t>
  </si>
  <si>
    <t>ردياتور</t>
  </si>
  <si>
    <t>ردياتور منشفه ابيض 450*1200</t>
  </si>
  <si>
    <t>CHROMSHM</t>
  </si>
  <si>
    <t>ردياتور منشفه ابيض 450*1720</t>
  </si>
  <si>
    <t>SHKM</t>
  </si>
  <si>
    <t>ردياتور منشفه ابيض 450*800</t>
  </si>
  <si>
    <t>SHFAT</t>
  </si>
  <si>
    <t>رزة</t>
  </si>
  <si>
    <t>SHFAT-B</t>
  </si>
  <si>
    <t>رصاصة عيار</t>
  </si>
  <si>
    <t>SHFAT 6</t>
  </si>
  <si>
    <t>رصور</t>
  </si>
  <si>
    <t>UNIT</t>
  </si>
  <si>
    <t>SHFAT 4</t>
  </si>
  <si>
    <t>رصور مجرور 5 متر</t>
  </si>
  <si>
    <t>SAFRA</t>
  </si>
  <si>
    <t>رصور ورق بلاستيك</t>
  </si>
  <si>
    <t>SHT</t>
  </si>
  <si>
    <t>SH-L</t>
  </si>
  <si>
    <t>TRS-T</t>
  </si>
  <si>
    <t>SHMS</t>
  </si>
  <si>
    <t>مازن سنو</t>
  </si>
  <si>
    <t>SHAM</t>
  </si>
  <si>
    <t>SHMA</t>
  </si>
  <si>
    <t>رف حمام ستانلس ط 3</t>
  </si>
  <si>
    <t>SHF</t>
  </si>
  <si>
    <t>رف زاوية</t>
  </si>
  <si>
    <t>SHFSH</t>
  </si>
  <si>
    <t>رفش</t>
  </si>
  <si>
    <t>نبيل جلول</t>
  </si>
  <si>
    <t>FGHSH</t>
  </si>
  <si>
    <t>ركور خلاط سن ناعم</t>
  </si>
  <si>
    <t>SHF1</t>
  </si>
  <si>
    <t>رمل</t>
  </si>
  <si>
    <t>SHQ</t>
  </si>
  <si>
    <t>رندال</t>
  </si>
  <si>
    <t>SHK</t>
  </si>
  <si>
    <t>رنش</t>
  </si>
  <si>
    <t>SHNTE</t>
  </si>
  <si>
    <t>روبة بلاط</t>
  </si>
  <si>
    <t>LCICOLNSHNKI</t>
  </si>
  <si>
    <t>رول</t>
  </si>
  <si>
    <t>SHWK</t>
  </si>
  <si>
    <t>رول بول 10 م</t>
  </si>
  <si>
    <t>SRKH</t>
  </si>
  <si>
    <t>رول بول 6 م</t>
  </si>
  <si>
    <t>JRS</t>
  </si>
  <si>
    <t>رول بول 8 م</t>
  </si>
  <si>
    <t>SA</t>
  </si>
  <si>
    <t>رول حمام</t>
  </si>
  <si>
    <t>SP</t>
  </si>
  <si>
    <t>رول دهان  اسفنج 4</t>
  </si>
  <si>
    <t>SBB</t>
  </si>
  <si>
    <t>رول دهان اخضر 9</t>
  </si>
  <si>
    <t>SB</t>
  </si>
  <si>
    <t>رول دهان قطن 4</t>
  </si>
  <si>
    <t>NR15</t>
  </si>
  <si>
    <t>رول دهان قطن 9"</t>
  </si>
  <si>
    <t>NR160</t>
  </si>
  <si>
    <t>رولو</t>
  </si>
  <si>
    <t>SBMGHLB</t>
  </si>
  <si>
    <t>ريشة</t>
  </si>
  <si>
    <t>SBMGHLK</t>
  </si>
  <si>
    <t>ريشة 10 مل</t>
  </si>
  <si>
    <t>SBMGLAK</t>
  </si>
  <si>
    <t>ريشة 3 مل</t>
  </si>
  <si>
    <t>SBMGHLM</t>
  </si>
  <si>
    <t>ريشة 4 مل</t>
  </si>
  <si>
    <t>SBMGHLN</t>
  </si>
  <si>
    <t>ريشة 5 مل</t>
  </si>
  <si>
    <t>SBMGHS</t>
  </si>
  <si>
    <t>ريشة 6 مل</t>
  </si>
  <si>
    <t>SBMGHSF</t>
  </si>
  <si>
    <t>ريشة 8 مل</t>
  </si>
  <si>
    <t>SBMGHSK</t>
  </si>
  <si>
    <t>ريشه 12*160 SDS</t>
  </si>
  <si>
    <t>SBMGHSN</t>
  </si>
  <si>
    <t>ريشه 14*160 SDS</t>
  </si>
  <si>
    <t>SBM</t>
  </si>
  <si>
    <t>ريشه 14*260 SDS</t>
  </si>
  <si>
    <t>SS</t>
  </si>
  <si>
    <t>ريشه 16*160 SDS</t>
  </si>
  <si>
    <t>SLB</t>
  </si>
  <si>
    <t>ريشه 16*260 SDS</t>
  </si>
  <si>
    <t>ريشه 160*10 SDS</t>
  </si>
  <si>
    <t>ريشه 20*260 SDS</t>
  </si>
  <si>
    <t>ريشه 22*310 SDS</t>
  </si>
  <si>
    <t>ريشه 260*10 SDS</t>
  </si>
  <si>
    <t>ريشه 28*310 SDS</t>
  </si>
  <si>
    <t>LCICOAW02</t>
  </si>
  <si>
    <t>ريشه 30*500 SDS</t>
  </si>
  <si>
    <t>ريشه باطون 5 ملم</t>
  </si>
  <si>
    <t>LCICOPW02</t>
  </si>
  <si>
    <t>ريشه باطون 6 مل</t>
  </si>
  <si>
    <t>LCICOPI02</t>
  </si>
  <si>
    <t>ريشه حديد 5 مل الماني DORMER</t>
  </si>
  <si>
    <t>LCICOZW02</t>
  </si>
  <si>
    <t>ريشه مسدس 8*70</t>
  </si>
  <si>
    <t>ريشه210*10 SDS</t>
  </si>
  <si>
    <t>LCICOZBL02</t>
  </si>
  <si>
    <t>ريغار رصاص فتحة تحت</t>
  </si>
  <si>
    <t>LCICOZBG02</t>
  </si>
  <si>
    <t>ريغار رصاص فتحة جنب</t>
  </si>
  <si>
    <t>LCICOZG02</t>
  </si>
  <si>
    <t>ريكلاج او تحويلة كرسي 3 سم</t>
  </si>
  <si>
    <t>شلهوب غروب ش.م.ل</t>
  </si>
  <si>
    <t>LCICOZZ02</t>
  </si>
  <si>
    <t xml:space="preserve">تحويله كرسي 5 سم تركي </t>
  </si>
  <si>
    <t>LCICOZI02</t>
  </si>
  <si>
    <t>ريكلاج او تحويلة كرسي 7 سم</t>
  </si>
  <si>
    <t>LCICOS102</t>
  </si>
  <si>
    <t>ريكلاج او تحويلة كرسي رصور</t>
  </si>
  <si>
    <t>LCICOS101</t>
  </si>
  <si>
    <t>ريكلاج خلاط</t>
  </si>
  <si>
    <t>LCICOSYDW02</t>
  </si>
  <si>
    <t>ريموفر</t>
  </si>
  <si>
    <t>LCICOSW02</t>
  </si>
  <si>
    <t>زاوية بلاط</t>
  </si>
  <si>
    <t>LCICOGW02</t>
  </si>
  <si>
    <t>زاوية تعليق</t>
  </si>
  <si>
    <t>LCICOGI02</t>
  </si>
  <si>
    <t>زاوية حديد</t>
  </si>
  <si>
    <t>T-GR</t>
  </si>
  <si>
    <t>زاوية ورقه</t>
  </si>
  <si>
    <t>LCICOGLXI02</t>
  </si>
  <si>
    <t>زجاجة لحام</t>
  </si>
  <si>
    <t>PORFS</t>
  </si>
  <si>
    <t>زفت</t>
  </si>
  <si>
    <t>زيبق</t>
  </si>
  <si>
    <t>LCICOVW02</t>
  </si>
  <si>
    <t>زيت</t>
  </si>
  <si>
    <t>LCICOVBL02</t>
  </si>
  <si>
    <t>زيت تيكا</t>
  </si>
  <si>
    <t>LCICOVBG02</t>
  </si>
  <si>
    <t>زيرقون</t>
  </si>
  <si>
    <t>LCICOVG02</t>
  </si>
  <si>
    <t>ساتان</t>
  </si>
  <si>
    <t>LCICOVZ02</t>
  </si>
  <si>
    <t>ساعة اوكسجين</t>
  </si>
  <si>
    <t>LCICOVZT02</t>
  </si>
  <si>
    <t>ساعة بالون 10 بار</t>
  </si>
  <si>
    <t>LCICOVI02</t>
  </si>
  <si>
    <t>ساعة ضغط</t>
  </si>
  <si>
    <t>ساعة غاز</t>
  </si>
  <si>
    <t>LCICOKW02</t>
  </si>
  <si>
    <t>ساعد دوش</t>
  </si>
  <si>
    <t>ساعه فحص</t>
  </si>
  <si>
    <t>LCICOKG02</t>
  </si>
  <si>
    <t>ساقوطة</t>
  </si>
  <si>
    <t>LCICOKI02</t>
  </si>
  <si>
    <t>سبايسر</t>
  </si>
  <si>
    <t>LCICO WC02</t>
  </si>
  <si>
    <t>سبراي بويا</t>
  </si>
  <si>
    <t>LCICOCLW02</t>
  </si>
  <si>
    <t>سبراي صديء</t>
  </si>
  <si>
    <t>LCICOLGAW02</t>
  </si>
  <si>
    <t>سبراي ماء</t>
  </si>
  <si>
    <t>LCICOLGAI02</t>
  </si>
  <si>
    <t>سبوت</t>
  </si>
  <si>
    <t>LCICOMILI02</t>
  </si>
  <si>
    <t>سبوت ظاهر LED 18 W 6300 K PANEL ROUND</t>
  </si>
  <si>
    <t>LCICONW02</t>
  </si>
  <si>
    <t>سبور كروم</t>
  </si>
  <si>
    <t>LCICONDW02</t>
  </si>
  <si>
    <t>ستاند زاوية حمام بلاستيك</t>
  </si>
  <si>
    <t>LCICONDG</t>
  </si>
  <si>
    <t>ستاند زاوية حمام ستانليس 304 ط2</t>
  </si>
  <si>
    <t>LCICONDIG02</t>
  </si>
  <si>
    <t>ستاند زاوية حمام ستانليس 304 ط3</t>
  </si>
  <si>
    <t>MDFS</t>
  </si>
  <si>
    <t>ستاند مناشف 3 طيقات 86C</t>
  </si>
  <si>
    <t>احمد غمراوي</t>
  </si>
  <si>
    <t>ستراينر</t>
  </si>
  <si>
    <t>150-WS</t>
  </si>
  <si>
    <t>ستره او جاكيت عاكسة ضوء لون اصفر</t>
  </si>
  <si>
    <t>DK</t>
  </si>
  <si>
    <t>ستوب</t>
  </si>
  <si>
    <t>TA</t>
  </si>
  <si>
    <t>سدة بانيو</t>
  </si>
  <si>
    <t>سدة صباب فيداج</t>
  </si>
  <si>
    <t>سدة كرسي عربي</t>
  </si>
  <si>
    <t>سدة كهرباء</t>
  </si>
  <si>
    <t>TT</t>
  </si>
  <si>
    <t>سدة مجراية</t>
  </si>
  <si>
    <t>سدة مجراية 10 سم</t>
  </si>
  <si>
    <t>TSAI</t>
  </si>
  <si>
    <t>سدة مجراية 13 سم</t>
  </si>
  <si>
    <t>TSHG</t>
  </si>
  <si>
    <t>سدة مغسلة كروم</t>
  </si>
  <si>
    <t>سشوار</t>
  </si>
  <si>
    <t>ESTT</t>
  </si>
  <si>
    <t>سطل عمار</t>
  </si>
  <si>
    <t>TF1/2</t>
  </si>
  <si>
    <t>سكة 2 م</t>
  </si>
  <si>
    <t>TBM</t>
  </si>
  <si>
    <t>سكة مجراية</t>
  </si>
  <si>
    <t>سكر شوفاج</t>
  </si>
  <si>
    <t>TB 3/8 T</t>
  </si>
  <si>
    <t>سكر غاز</t>
  </si>
  <si>
    <t>TIW1/2S</t>
  </si>
  <si>
    <t>سكر غسالة</t>
  </si>
  <si>
    <t>TRS</t>
  </si>
  <si>
    <t>سلة غروهي</t>
  </si>
  <si>
    <t>TSD1</t>
  </si>
  <si>
    <t>سلة مهملات</t>
  </si>
  <si>
    <t>سلندر</t>
  </si>
  <si>
    <t>TSD</t>
  </si>
  <si>
    <t>سم جردون</t>
  </si>
  <si>
    <t>TKSH</t>
  </si>
  <si>
    <t>سيبة حديد صناعي</t>
  </si>
  <si>
    <t>TW</t>
  </si>
  <si>
    <t>سيبه</t>
  </si>
  <si>
    <t>TK</t>
  </si>
  <si>
    <t>سيخ برداية</t>
  </si>
  <si>
    <t>TAB</t>
  </si>
  <si>
    <t>سيخ عدة</t>
  </si>
  <si>
    <t>B-L25</t>
  </si>
  <si>
    <t>سير كابل</t>
  </si>
  <si>
    <t>B19536</t>
  </si>
  <si>
    <t>سيفون باركيه رصاص</t>
  </si>
  <si>
    <t>TABLY</t>
  </si>
  <si>
    <t>سيلير</t>
  </si>
  <si>
    <t>علي قبلان</t>
  </si>
  <si>
    <t>سيليكون ابيض</t>
  </si>
  <si>
    <t>TARSH</t>
  </si>
  <si>
    <t>سيليكون اسود</t>
  </si>
  <si>
    <t>TARSH-Q</t>
  </si>
  <si>
    <t>سيليكون رمادي</t>
  </si>
  <si>
    <t>PRIM-TARSH</t>
  </si>
  <si>
    <t>سيليكون شفاف</t>
  </si>
  <si>
    <t>بريمو</t>
  </si>
  <si>
    <t>TRMB</t>
  </si>
  <si>
    <t>سيليكون شفاف بدون اسيد</t>
  </si>
  <si>
    <t>سيليكون عاج</t>
  </si>
  <si>
    <t>BRGZ</t>
  </si>
  <si>
    <t>شادر</t>
  </si>
  <si>
    <t>BRGS</t>
  </si>
  <si>
    <t>شاسي بيديه</t>
  </si>
  <si>
    <t>BRGES</t>
  </si>
  <si>
    <t>اكياس ردم الحبه</t>
  </si>
  <si>
    <t>BRGGK</t>
  </si>
  <si>
    <t>مسطرين</t>
  </si>
  <si>
    <t>BRGM</t>
  </si>
  <si>
    <t>تيه تلحيم 20 ملم اخضر ايطالي ITALY RIETTI</t>
  </si>
  <si>
    <t>TNC-M</t>
  </si>
  <si>
    <t>تيه تلحيم 25 ملم اخضر ايطالي ITALY RIETTI</t>
  </si>
  <si>
    <t>TKM</t>
  </si>
  <si>
    <t>تيه تلحيم 32 ملم اخضر ايطالي ITALY RIETTI</t>
  </si>
  <si>
    <t>TKM-M</t>
  </si>
  <si>
    <t>تيه تلحيم 40 ملم اخضر ايطالي ITALY RIETTI</t>
  </si>
  <si>
    <t>TKKM</t>
  </si>
  <si>
    <t>تيه تلحيم 50 ملم اخضر ايطالي ITALY RIETTI</t>
  </si>
  <si>
    <t>TKBM</t>
  </si>
  <si>
    <t>تيه تلحيم 63 ملم اخضر ايطالي ITALY RIETTI</t>
  </si>
  <si>
    <t>TKMNAP</t>
  </si>
  <si>
    <t>سكر انكستريه تلحيم 20 ملم اخضر ايطالي ITALY RIETTI</t>
  </si>
  <si>
    <t>TKBF</t>
  </si>
  <si>
    <t>سكر انكستريه تلحيم 25 ملم اخضر ايطالي ITALY RIETTI</t>
  </si>
  <si>
    <t>T-K</t>
  </si>
  <si>
    <t>سكر انكستريه تلحيم 32 ملم اخضر ايطالي ITALY RIETTI</t>
  </si>
  <si>
    <t>REC1/2*3/4</t>
  </si>
  <si>
    <t>سكر انكستريه تلحيم 40 ملم اخضر ايطالي ITALY RIETTI</t>
  </si>
  <si>
    <t>RADENA</t>
  </si>
  <si>
    <t>سكر انكستريه تلحيم 50 ملم اخضر ايطالي ITALY RIETTI</t>
  </si>
  <si>
    <t>TK-BOX</t>
  </si>
  <si>
    <t>سكر انكستريه تلحيم 63 ملم اخضر ايطالي ITALY RIETTI</t>
  </si>
  <si>
    <t>TKTK</t>
  </si>
  <si>
    <t>ظهر جمل انتاية قصير تلحيم 20 ملم اخضر ايطالي ITALY RIETTI</t>
  </si>
  <si>
    <t>TAKK</t>
  </si>
  <si>
    <t>ظهر جمل انتاية قصير تلحيم 25 ملم اخضر ايطالي ITALY RIETTI</t>
  </si>
  <si>
    <t>PORKWS/20</t>
  </si>
  <si>
    <t>ظهر جمل انتاية قصير تلحيم 32 ملم اخضر ايطالي ITALY RIETTI</t>
  </si>
  <si>
    <t>KORNISH</t>
  </si>
  <si>
    <t>ظهر جمل انتاية قصير تلحيم 40 ملم اخضر ايطالي ITALY RIETTI</t>
  </si>
  <si>
    <t>10012</t>
  </si>
  <si>
    <t>ظهر جمل انتاية قصير تلحيم 50 ملم اخضر ايطالي ITALY RIETTI</t>
  </si>
  <si>
    <t>MSDS</t>
  </si>
  <si>
    <t>ظهر جمل انتاية قصير تلحيم 63 ملم اخضر ايطالي ITALY RIETTI</t>
  </si>
  <si>
    <t>MNJM</t>
  </si>
  <si>
    <t>غطى فونت 60*60</t>
  </si>
  <si>
    <t>TNC</t>
  </si>
  <si>
    <t>ظهر جمل ذكر تلحيم 25 ملم اخضر ايطالي ITALY RIETTI</t>
  </si>
  <si>
    <t>CPP 120</t>
  </si>
  <si>
    <t>ظهر جمل ذكر تلحيم 32 ملم اخضر ايطالي ITALY RIETTI</t>
  </si>
  <si>
    <t>FPP120</t>
  </si>
  <si>
    <t>ظهر جمل ذكر تلحيم 40 ملم اخضر ايطالي ITALY RIETTI</t>
  </si>
  <si>
    <t>PP1510</t>
  </si>
  <si>
    <t>ظهر جمل ذكر تلحيم 50 ملم اخضر ايطالي ITALY RIETTI</t>
  </si>
  <si>
    <t>ظهر جمل ذكر تلحيم 63 ملم اخضر ايطالي ITALY RIETTI</t>
  </si>
  <si>
    <t>قسطل تلحيم 20 ملم اخضر ايطالي ITALY RIETTI</t>
  </si>
  <si>
    <t>قسطل تلحيم 25 ملم اخضر ايطالي ITALY RIETTI</t>
  </si>
  <si>
    <t>قسطل تلحيم 32 ملم اخضر ايطالي ITALY RIETTI</t>
  </si>
  <si>
    <t>AZEL</t>
  </si>
  <si>
    <t>قسطل تلحيم 40 ملم اخضر ايطالي ITALY RIETTI</t>
  </si>
  <si>
    <t>قسطل تلحيم 50 ملم اخضر ايطالي ITALY RIETTI</t>
  </si>
  <si>
    <t>قسطل تلحيم 63 ملم اخضر ايطالي ITALY RIETTI</t>
  </si>
  <si>
    <t>كوع بسن انتاية تلحيم 20*1/2 اخضر ايطالي ITALY RIETTI</t>
  </si>
  <si>
    <t>كوع بسن انتاية تلحيم 25*1/2 اخضر ايطالي ITALY RIETTI</t>
  </si>
  <si>
    <t>AD</t>
  </si>
  <si>
    <t>كوع بسن انتاية تلحيم 25*3/4 اخضر ايطالي ITALY RIETTI</t>
  </si>
  <si>
    <t>ADA</t>
  </si>
  <si>
    <t>كوع بسن انتاية تلحيم 32*1 اخضر ايطالي ITALY RIETTI</t>
  </si>
  <si>
    <t>كوع بسن انتاية تلحيم 32*3/4 اخضر ايطالي ITALY RIETTI</t>
  </si>
  <si>
    <t>LCICOSW04</t>
  </si>
  <si>
    <t>كوع بسن انتاية تلحيم 40*1 1/4 اخضر ايطالي ITALY RIETTI</t>
  </si>
  <si>
    <t>كوع بسن انتاية ثابت تلحيم 20*1/2 اخضر ايطالي ITALY RIETTI</t>
  </si>
  <si>
    <t>كوع بسن انتاية ثابت تلحيم 25*1/2 اخضر ايطالي ITALY RIETTI</t>
  </si>
  <si>
    <t>كوع بسن انتاية ثابت تلحيم 25*3/4 اخضر ايطالي ITALY RIETTI</t>
  </si>
  <si>
    <t>كوع بسن ذكر تلحيم 20*1/2 اخضر ايطالي ITALY RIETTI</t>
  </si>
  <si>
    <t>كوع بسن ذكر تلحيم 25*1/2 اخضر ايطالي ITALY RIETTI</t>
  </si>
  <si>
    <t>LCICOGW04</t>
  </si>
  <si>
    <t>كوع بسن ذكر تلحيم 25*3/4 اخضر ايطالي ITALY RIETTI</t>
  </si>
  <si>
    <t>كوع بسن ذكر تلحيم 32*1 اخضر ايطالي ITALY RIETTI</t>
  </si>
  <si>
    <t>LCICOGI04</t>
  </si>
  <si>
    <t>كوع بسن ذكر تلحيم 32*3/4 اخضر ايطالي ITALY RIETTI</t>
  </si>
  <si>
    <t>PORFA</t>
  </si>
  <si>
    <t>كوع بسن ذكر تلحيم 40*1 1/4 اخضر ايطالي ITALY RIETTI</t>
  </si>
  <si>
    <t>LCICOVW04</t>
  </si>
  <si>
    <t>كوع بسن ذكر ثابت تلحيم 20*1/2 اخضر ايطالي ITALY RIETTI</t>
  </si>
  <si>
    <t>LCICOVI04</t>
  </si>
  <si>
    <t>كوع بسن ذكر ثابت تلحيم 25*1/2 اخضر ايطالي ITALY RIETTI</t>
  </si>
  <si>
    <t>LCICOMILW04</t>
  </si>
  <si>
    <t>كوع بسن ذكر ثابت تلحيم 25*3/4 اخضر ايطالي ITALY RIETTI</t>
  </si>
  <si>
    <t>كوع زاوية تلحيم 20 ملم اخضر ايطالي ITALY RIETTI</t>
  </si>
  <si>
    <t>ADDADM</t>
  </si>
  <si>
    <t>كوع زاوية تلحيم 25 ملم اخضر ايطالي ITALY RIETTI</t>
  </si>
  <si>
    <t>ADE</t>
  </si>
  <si>
    <t>كوع زاوية تلحيم 32 ملم اخضر ايطالي ITALY RIETTI</t>
  </si>
  <si>
    <t>ES</t>
  </si>
  <si>
    <t>كوع زاوية تلحيم 40 ملم اخضر ايطالي ITALY RIETTI</t>
  </si>
  <si>
    <t>EST</t>
  </si>
  <si>
    <t>كوع زاوية تلحيم 50 ملم اخضر ايطالي ITALY RIETTI</t>
  </si>
  <si>
    <t>ESIG</t>
  </si>
  <si>
    <t>كوع زاوية تلحيم 63 ملم اخضر ايطالي ITALY RIETTI</t>
  </si>
  <si>
    <t>ESIF</t>
  </si>
  <si>
    <t>كوع فاتح تلحيم 20 ملم اخضر ايطالي ITALY RIETTI</t>
  </si>
  <si>
    <t>ESIK</t>
  </si>
  <si>
    <t>كوع فاتح تلحيم 25 ملم اخضر ايطالي ITALY RIETTI</t>
  </si>
  <si>
    <t>ESG</t>
  </si>
  <si>
    <t>كوع فاتح تلحيم 32 ملم اخضر ايطالي ITALY RIETTI</t>
  </si>
  <si>
    <t>كوع فاتح تلحيم 40 ملم اخضر ايطالي ITALY RIETTI</t>
  </si>
  <si>
    <t>كوع فاتح تلحيم 50 ملم اخضر ايطالي ITALY RIETTI</t>
  </si>
  <si>
    <t>ESLK1</t>
  </si>
  <si>
    <t>كوع فاتح تلحيم 63 ملم اخضر ايطالي ITALY RIETTI</t>
  </si>
  <si>
    <t>ESLK2</t>
  </si>
  <si>
    <t>وصل بسن انتاية تلحيم 20*1/2 اخضر ايطالي ITALY RIETTI</t>
  </si>
  <si>
    <t>وصل بسن انتاية تلحيم 25*1/2 اخضر ايطالي ITALY RIETTI</t>
  </si>
  <si>
    <t>ESN</t>
  </si>
  <si>
    <t>وصل بسن انتاية تلحيم 25*3/4 اخضر ايطالي ITALY RIETTI</t>
  </si>
  <si>
    <t>ARBY</t>
  </si>
  <si>
    <t>وصل بسن انتاية تلحيم 32*1 اخضر ايطالي ITALY RIETTI</t>
  </si>
  <si>
    <t>احمد عيتاني / قناني</t>
  </si>
  <si>
    <t>وصل بسن انتاية تلحيم 32*3/4 اخضر ايطالي ITALY RIETTI</t>
  </si>
  <si>
    <t>AZKA10</t>
  </si>
  <si>
    <t>وصل بسن انتاية تلحيم 40*1 1/4 اخضر ايطالي ITALY RIETTI</t>
  </si>
  <si>
    <t>AZKA12</t>
  </si>
  <si>
    <t>وصل بسن انتاية تلحيم 40*1 اخضر ايطالي ITALY RIETTI</t>
  </si>
  <si>
    <t>AZKA6</t>
  </si>
  <si>
    <t>وصل بسن انتاية تلحيم 50*1 1/2 اخضر ايطالي ITALY RIETTI</t>
  </si>
  <si>
    <t>AZKA8</t>
  </si>
  <si>
    <t>وصل بسن انتاية تلحيم 63*2 اخضر ايطالي ITALY RIETTI</t>
  </si>
  <si>
    <t>AS</t>
  </si>
  <si>
    <t>وصل بسن ذكر تلحيم 20*1/2 اخضر ايطالي ITALY RIETTI</t>
  </si>
  <si>
    <t>AZT</t>
  </si>
  <si>
    <t>وصل بسن ذكر تلحيم 25*1/2 اخضر ايطالي ITALY RIETTI</t>
  </si>
  <si>
    <t>AZKER</t>
  </si>
  <si>
    <t>وصل بسن ذكر تلحيم 25*3/4 اخضر ايطالي ITALY RIETTI</t>
  </si>
  <si>
    <t>AZV</t>
  </si>
  <si>
    <t>وصل بسن ذكر تلحيم 32*1 اخضر ايطالي ITALY RIETTI</t>
  </si>
  <si>
    <t>AZM</t>
  </si>
  <si>
    <t>وصل بسن ذكر تلحيم 32*3/4 اخضر ايطالي ITALY RIETTI</t>
  </si>
  <si>
    <t>IP11225</t>
  </si>
  <si>
    <t>وصل بسن ذكر تلحيم 40*1 1/4 اخضر ايطالي ITALY RIETTI</t>
  </si>
  <si>
    <t>IP225</t>
  </si>
  <si>
    <t>وصل بسن ذكر تلحيم 40*1 اخضر ايطالي ITALY RIETTI</t>
  </si>
  <si>
    <t>ASA-MSHT</t>
  </si>
  <si>
    <t>وصل بسن ذكر تلحيم 50*1 1/2 اخضر ايطالي ITALY RIETTI</t>
  </si>
  <si>
    <t>ASA</t>
  </si>
  <si>
    <t>وصل بسن ذكر تلحيم 63*2 اخضر ايطالي ITALY RIETTI</t>
  </si>
  <si>
    <t>ASFORA</t>
  </si>
  <si>
    <t>وصل تلحيم 20 ملم اخضر ايطالي ITALY RIETTI</t>
  </si>
  <si>
    <t>ADH</t>
  </si>
  <si>
    <t>وصل تلحيم 25 ملم اخضر ايطالي ITALY RIETTI</t>
  </si>
  <si>
    <t>AFRT</t>
  </si>
  <si>
    <t>وصل تلحيم 32 ملم اخضر ايطالي ITALY RIETTI</t>
  </si>
  <si>
    <t>ALB</t>
  </si>
  <si>
    <t>وصل تلحيم 40 ملم اخضر ايطالي ITALY RIETTI</t>
  </si>
  <si>
    <t>SABBON</t>
  </si>
  <si>
    <t>وصل تلحيم 50 ملم اخضر ايطالي ITALY RIETTI</t>
  </si>
  <si>
    <t>AK</t>
  </si>
  <si>
    <t>وصل تلحيم 63 ملم اخضر ايطالي ITALY RIETTI</t>
  </si>
  <si>
    <t>EMAL</t>
  </si>
  <si>
    <t>وصل مخالف تلحيم 20*25 ملم ابيض ايطالي ITALY RIETTI</t>
  </si>
  <si>
    <t>G-13255</t>
  </si>
  <si>
    <t>وصل مخالف تلحيم 20*25 ملم اخضر ايطالي ITALY RIETTI</t>
  </si>
  <si>
    <t>MIXEROMG</t>
  </si>
  <si>
    <t>وصل مخالف تلحيم 20*32 ملم ابيض ايطالي ITALY RIETTI</t>
  </si>
  <si>
    <t>وصل مخالف تلحيم 20*32 ملم اخضر ايطالي ITALY RIETTI</t>
  </si>
  <si>
    <t>MIXEROM</t>
  </si>
  <si>
    <t>وصل مخالف تلحيم 20*40 ملم ابيض ايطالي ITALY RIETTI</t>
  </si>
  <si>
    <t>وصل مخالف تلحيم 20*40 ملم اخضر ايطالي ITALY RIETTI</t>
  </si>
  <si>
    <t>AWNT</t>
  </si>
  <si>
    <t>وصل مخالف تلحيم 20*50 ملم ابيض ايطالي ITALY RIETTI</t>
  </si>
  <si>
    <t>AYARM</t>
  </si>
  <si>
    <t>وصل مخالف تلحيم 20*50 ملم اخضر ايطالي ITALY RIETTI</t>
  </si>
  <si>
    <t>MOTRGHB</t>
  </si>
  <si>
    <t>وصل مخالف تلحيم 25*32 ملم ابيض ايطالي ITALY RIETTI</t>
  </si>
  <si>
    <t>GHAL -S</t>
  </si>
  <si>
    <t>وصل مخالف تلحيم 25*32 ملم اخضر ايطالي ITALY RIETTI</t>
  </si>
  <si>
    <t>GHAL-BALL</t>
  </si>
  <si>
    <t>وصل مخالف تلحيم 25*40 ملم ابيض ايطالي ITALY RIETTI</t>
  </si>
  <si>
    <t>GHAL 50</t>
  </si>
  <si>
    <t>وصل مخالف تلحيم 25*40 ملم اخضر ايطالي ITALY RIETTI</t>
  </si>
  <si>
    <t>GHAL 60</t>
  </si>
  <si>
    <t>وصل مخالف تلحيم 25*50 ملم ابيض ايطالي ITALY RIETTI</t>
  </si>
  <si>
    <t>GALLO</t>
  </si>
  <si>
    <t>وصل مخالف تلحيم 25*50 ملم اخضر ايطالي ITALY RIETTI</t>
  </si>
  <si>
    <t>وصل مخالف تلحيم 25*63 ملم ابيض ايطالي ITALY RIETTI</t>
  </si>
  <si>
    <t>GLUE</t>
  </si>
  <si>
    <t>وصل مخالف تلحيم 25*63 ملم اخضر ايطالي ITALY RIETTI</t>
  </si>
  <si>
    <t>GRT</t>
  </si>
  <si>
    <t>وصل مخالف تلحيم 32*40 ملم ابيض ايطالي ITALY RIETTI</t>
  </si>
  <si>
    <t>GERBAL</t>
  </si>
  <si>
    <t>وصل مخالف تلحيم 32*40 ملم اخضر ايطالي ITALY RIETTI</t>
  </si>
  <si>
    <t>GR-29039</t>
  </si>
  <si>
    <t>وصل مخالف تلحيم 32*50 ملم ابيض ايطالي ITALY RIETTI</t>
  </si>
  <si>
    <t>GR-23605</t>
  </si>
  <si>
    <t>وصل مخالف تلحيم 32*50 ملم اخضر ايطالي ITALY RIETTI</t>
  </si>
  <si>
    <t>GR-290930</t>
  </si>
  <si>
    <t>وصل مخالف تلحيم 32*63 ملم ابيض ايطالي ITALY RIETTI</t>
  </si>
  <si>
    <t>GHKH</t>
  </si>
  <si>
    <t>وصل مخالف تلحيم 32*63 ملم اخضر ايطالي ITALY RIETTI</t>
  </si>
  <si>
    <t>M13</t>
  </si>
  <si>
    <t>وصل مخالف تلحيم 40*50 ملم ابيض ايطالي ITALY RIETTI</t>
  </si>
  <si>
    <t>M07</t>
  </si>
  <si>
    <t>وصل مخالف تلحيم 40*50 ملم اخضر ايطالي ITALY RIETTI</t>
  </si>
  <si>
    <t>M04</t>
  </si>
  <si>
    <t>وصل مخالف تلحيم 40*63 ملم ابيض ايطالي ITALY RIETTI</t>
  </si>
  <si>
    <t>وصل مخالف تلحيم 40*63 ملم اخضر ايطالي ITALY RIETTI</t>
  </si>
  <si>
    <t>وصل مخالف تلحيم 50*63 ملم ابيض ايطالي ITALY RIETTI</t>
  </si>
  <si>
    <t>وصل مخالف تلحيم 50*63 ملم اخضر ايطالي ITALY RIETTI</t>
  </si>
  <si>
    <t>GZW</t>
  </si>
  <si>
    <t>خلاط خادمه فيتاس</t>
  </si>
  <si>
    <t>GHATA</t>
  </si>
  <si>
    <t>مؤسسة جنوب بلاست</t>
  </si>
  <si>
    <t>عداد ماء 4\3 ايطالي</t>
  </si>
  <si>
    <t>GZBL</t>
  </si>
  <si>
    <t>سكر غله مع قطع وصل 32*32 PPR</t>
  </si>
  <si>
    <t xml:space="preserve">غطى خزان انثى نصار </t>
  </si>
  <si>
    <t>GZBG</t>
  </si>
  <si>
    <t>دولاب عربايه صب</t>
  </si>
  <si>
    <t>طرمبه غاطس فرامه LSWM100 LEO</t>
  </si>
  <si>
    <t>GZKI</t>
  </si>
  <si>
    <t>رزستانس طاقه شمسيه 1 انش</t>
  </si>
  <si>
    <t>GZG</t>
  </si>
  <si>
    <t>GZZ</t>
  </si>
  <si>
    <t>GZZT</t>
  </si>
  <si>
    <t>GZI</t>
  </si>
  <si>
    <t>GZM</t>
  </si>
  <si>
    <t>GHS</t>
  </si>
  <si>
    <t>GSW</t>
  </si>
  <si>
    <t>GSBL</t>
  </si>
  <si>
    <t>GSBG</t>
  </si>
  <si>
    <t>GSKW</t>
  </si>
  <si>
    <t>ستار لاين</t>
  </si>
  <si>
    <t>GSG</t>
  </si>
  <si>
    <t>GSZ</t>
  </si>
  <si>
    <t>GSZT</t>
  </si>
  <si>
    <t>GSI</t>
  </si>
  <si>
    <t>GSWM</t>
  </si>
  <si>
    <t>GGW</t>
  </si>
  <si>
    <t>GGI</t>
  </si>
  <si>
    <t>GK</t>
  </si>
  <si>
    <t>GHK</t>
  </si>
  <si>
    <t>GMF</t>
  </si>
  <si>
    <t>MC20*20</t>
  </si>
  <si>
    <t>FAK</t>
  </si>
  <si>
    <t>FHMT</t>
  </si>
  <si>
    <t>MOTRF</t>
  </si>
  <si>
    <t>FRD</t>
  </si>
  <si>
    <t>FRD-EB</t>
  </si>
  <si>
    <t>FRD-S-E</t>
  </si>
  <si>
    <t>FRD-S-A</t>
  </si>
  <si>
    <t>FRD SH</t>
  </si>
  <si>
    <t>FRSHY</t>
  </si>
  <si>
    <t>FRSHY 2 1/2</t>
  </si>
  <si>
    <t>FRSHY-3</t>
  </si>
  <si>
    <t>FRSHY-S</t>
  </si>
  <si>
    <t>FRSHY-SH</t>
  </si>
  <si>
    <t>FRGH</t>
  </si>
  <si>
    <t>2 PCS</t>
  </si>
  <si>
    <t>FRNISH</t>
  </si>
  <si>
    <t>FRNISH-C</t>
  </si>
  <si>
    <t>CHINE</t>
  </si>
  <si>
    <t>FLTERSH-B</t>
  </si>
  <si>
    <t>FLTERDBL</t>
  </si>
  <si>
    <t>FLTERDSH</t>
  </si>
  <si>
    <t>FLTERSH</t>
  </si>
  <si>
    <t>FGH</t>
  </si>
  <si>
    <t>FLTER MGNATES</t>
  </si>
  <si>
    <t>FLTERM</t>
  </si>
  <si>
    <t>FLTERMZ</t>
  </si>
  <si>
    <t>FLTERDSH-M</t>
  </si>
  <si>
    <t>FLN</t>
  </si>
  <si>
    <t>FOM</t>
  </si>
  <si>
    <t>FOAM42</t>
  </si>
  <si>
    <t>FOM 1</t>
  </si>
  <si>
    <t>FOM48</t>
  </si>
  <si>
    <t>FOM 1/2</t>
  </si>
  <si>
    <t>FOM3/4</t>
  </si>
  <si>
    <t>FO</t>
  </si>
  <si>
    <t>FBR</t>
  </si>
  <si>
    <t>FBRG</t>
  </si>
  <si>
    <t>101597</t>
  </si>
  <si>
    <t>10159694</t>
  </si>
  <si>
    <t>FK</t>
  </si>
  <si>
    <t>FF</t>
  </si>
  <si>
    <t>QRS</t>
  </si>
  <si>
    <t>QZNGAZ</t>
  </si>
  <si>
    <t>QZNH</t>
  </si>
  <si>
    <t>QA</t>
  </si>
  <si>
    <t>QB</t>
  </si>
  <si>
    <t>GR-28673</t>
  </si>
  <si>
    <t>BLN -K</t>
  </si>
  <si>
    <t>KDM</t>
  </si>
  <si>
    <t>DAGOT</t>
  </si>
  <si>
    <t>SK1/2</t>
  </si>
  <si>
    <t>HQ1/2</t>
  </si>
  <si>
    <t>SZ1/2</t>
  </si>
  <si>
    <t>CHROM-K1</t>
  </si>
  <si>
    <t>KSHT</t>
  </si>
  <si>
    <t>QSDR</t>
  </si>
  <si>
    <t>K-ES</t>
  </si>
  <si>
    <t>KATA</t>
  </si>
  <si>
    <t>415605</t>
  </si>
  <si>
    <t>QTRAN</t>
  </si>
  <si>
    <t>QTRN</t>
  </si>
  <si>
    <t>بلال دقاق</t>
  </si>
  <si>
    <t>PVCDQW20</t>
  </si>
  <si>
    <t>KWD90</t>
  </si>
  <si>
    <t>QTN</t>
  </si>
  <si>
    <t>KAFA</t>
  </si>
  <si>
    <t>KAFA-40</t>
  </si>
  <si>
    <t>KAFA-D</t>
  </si>
  <si>
    <t>KAFA 1 1/2</t>
  </si>
  <si>
    <t>KAFA-1</t>
  </si>
  <si>
    <t>KAFA-1 1/4</t>
  </si>
  <si>
    <t>KAFA-2</t>
  </si>
  <si>
    <t>GHAL</t>
  </si>
  <si>
    <t>واصف سنو</t>
  </si>
  <si>
    <t>KAF883</t>
  </si>
  <si>
    <t>KAFA-CRAD</t>
  </si>
  <si>
    <t>KAFA-1 1/2</t>
  </si>
  <si>
    <t>KAFA-2M</t>
  </si>
  <si>
    <t>KAFA-M/T</t>
  </si>
  <si>
    <t>KAFA-M</t>
  </si>
  <si>
    <t>GROHEQE</t>
  </si>
  <si>
    <t>QM</t>
  </si>
  <si>
    <t>QSE</t>
  </si>
  <si>
    <t>GR-42320</t>
  </si>
  <si>
    <t>PPRK</t>
  </si>
  <si>
    <t>QR</t>
  </si>
  <si>
    <t>PM</t>
  </si>
  <si>
    <t>KAM</t>
  </si>
  <si>
    <t>QM1</t>
  </si>
  <si>
    <t>QM2</t>
  </si>
  <si>
    <t>KO</t>
  </si>
  <si>
    <t>TLWEN GAWZE</t>
  </si>
  <si>
    <t>QZB</t>
  </si>
  <si>
    <t>GAZ</t>
  </si>
  <si>
    <t>MSRQM200</t>
  </si>
  <si>
    <t>MSS</t>
  </si>
  <si>
    <t>ربيع زعيتر</t>
  </si>
  <si>
    <t>BOR200</t>
  </si>
  <si>
    <t>BOR200 T</t>
  </si>
  <si>
    <t>QWAR</t>
  </si>
  <si>
    <t>GRDA37139</t>
  </si>
  <si>
    <t>KBLH-P</t>
  </si>
  <si>
    <t>BKDOUSH100*180</t>
  </si>
  <si>
    <t>BKDOUSH180*100</t>
  </si>
  <si>
    <t>BKDOUSH180*115</t>
  </si>
  <si>
    <t>BKDOUSH180*120</t>
  </si>
  <si>
    <t>BKDOUSH180*140</t>
  </si>
  <si>
    <t>BKDOUSH180*145</t>
  </si>
  <si>
    <t>BKDOUSH180*180</t>
  </si>
  <si>
    <t>BKDOUSH180*185</t>
  </si>
  <si>
    <t>BKDOUSH180*200</t>
  </si>
  <si>
    <t>BKDOUSH180*190</t>
  </si>
  <si>
    <t>BKDOUSH180*160-</t>
  </si>
  <si>
    <t>BKDOUSH180*165</t>
  </si>
  <si>
    <t>BKDOUSH180*110</t>
  </si>
  <si>
    <t>BKDOUSH180*160</t>
  </si>
  <si>
    <t>BKDOUSH165*140</t>
  </si>
  <si>
    <t>BKDOUSH170*140</t>
  </si>
  <si>
    <t>KSHK</t>
  </si>
  <si>
    <t>KBK</t>
  </si>
  <si>
    <t>امين عطوي</t>
  </si>
  <si>
    <t>KBM</t>
  </si>
  <si>
    <t>GR-40369</t>
  </si>
  <si>
    <t>ESIK-</t>
  </si>
  <si>
    <t>38732</t>
  </si>
  <si>
    <t>KK</t>
  </si>
  <si>
    <t>K38732</t>
  </si>
  <si>
    <t>KBB</t>
  </si>
  <si>
    <t>KTIT</t>
  </si>
  <si>
    <t>TG GR</t>
  </si>
  <si>
    <t>KARTON</t>
  </si>
  <si>
    <t>KT</t>
  </si>
  <si>
    <t>PORFK</t>
  </si>
  <si>
    <t>LCICOSIN</t>
  </si>
  <si>
    <t>LCICOAW01</t>
  </si>
  <si>
    <t>LCICOAI01</t>
  </si>
  <si>
    <t>LCICOKRDW</t>
  </si>
  <si>
    <t>KDB</t>
  </si>
  <si>
    <t>LCICOPW01</t>
  </si>
  <si>
    <t>TALIG</t>
  </si>
  <si>
    <t>WH-011</t>
  </si>
  <si>
    <t>WH-011-B</t>
  </si>
  <si>
    <t>LCICODW01</t>
  </si>
  <si>
    <t>LCICOZW01</t>
  </si>
  <si>
    <t>LCICOZBL01</t>
  </si>
  <si>
    <t>LCICOZBG01</t>
  </si>
  <si>
    <t>LCICOZG01</t>
  </si>
  <si>
    <t>LCICOZZ01</t>
  </si>
  <si>
    <t>LCICOZI01</t>
  </si>
  <si>
    <t>LCICOKRZGW</t>
  </si>
  <si>
    <t>LCICOSYDW01</t>
  </si>
  <si>
    <t>LCICOSW01</t>
  </si>
  <si>
    <t>CHINAW01</t>
  </si>
  <si>
    <t>LCICOGW01</t>
  </si>
  <si>
    <t>LCICOGG01</t>
  </si>
  <si>
    <t>LCICOGI01</t>
  </si>
  <si>
    <t>LCICOGLXI01</t>
  </si>
  <si>
    <t>LCICOVW01</t>
  </si>
  <si>
    <t>LCICOVBL01</t>
  </si>
  <si>
    <t>LCICOVBG01</t>
  </si>
  <si>
    <t>LCICOVG01</t>
  </si>
  <si>
    <t>LCICOVZ01</t>
  </si>
  <si>
    <t>LCICOVZT01</t>
  </si>
  <si>
    <t>LCICOVI01</t>
  </si>
  <si>
    <t>LCICOKW01</t>
  </si>
  <si>
    <t>LCICOKG01</t>
  </si>
  <si>
    <t>LCICOA CAR</t>
  </si>
  <si>
    <t>LCICOLGAW01</t>
  </si>
  <si>
    <t>LCICOLGTW01</t>
  </si>
  <si>
    <t>LCICOLGTI01</t>
  </si>
  <si>
    <t>PORKWS</t>
  </si>
  <si>
    <t>LCICOMODVW01</t>
  </si>
  <si>
    <t>LCICOKRMZW</t>
  </si>
  <si>
    <t>LCICONW01</t>
  </si>
  <si>
    <t>PORKW</t>
  </si>
  <si>
    <t>KH</t>
  </si>
  <si>
    <t>KOF</t>
  </si>
  <si>
    <t>KLS</t>
  </si>
  <si>
    <t>CLR</t>
  </si>
  <si>
    <t>CLNR1</t>
  </si>
  <si>
    <t>CAN</t>
  </si>
  <si>
    <t>CLNR1/2</t>
  </si>
  <si>
    <t>KM</t>
  </si>
  <si>
    <t>KMLK</t>
  </si>
  <si>
    <t>KWA10</t>
  </si>
  <si>
    <t>KWA13</t>
  </si>
  <si>
    <t>KWA14</t>
  </si>
  <si>
    <t>KWA8</t>
  </si>
  <si>
    <t>PVCDKF40</t>
  </si>
  <si>
    <t>KRR</t>
  </si>
  <si>
    <t>ZRBK63*63</t>
  </si>
  <si>
    <t>GR-42327</t>
  </si>
  <si>
    <t>KOLIKTIER</t>
  </si>
  <si>
    <t>KY50</t>
  </si>
  <si>
    <t>3Y5P850</t>
  </si>
  <si>
    <t>CONTKTR</t>
  </si>
  <si>
    <t>CONTR</t>
  </si>
  <si>
    <t>CONSOL</t>
  </si>
  <si>
    <t>LANCE</t>
  </si>
  <si>
    <t>LBD</t>
  </si>
  <si>
    <t>SLBL</t>
  </si>
  <si>
    <t>LQT10</t>
  </si>
  <si>
    <t>LQT</t>
  </si>
  <si>
    <t>TR</t>
  </si>
  <si>
    <t>LB</t>
  </si>
  <si>
    <t>LR</t>
  </si>
  <si>
    <t>LM</t>
  </si>
  <si>
    <t>LQM</t>
  </si>
  <si>
    <t>LKR</t>
  </si>
  <si>
    <t>LMP</t>
  </si>
  <si>
    <t>LAMP -12</t>
  </si>
  <si>
    <t>LMP-368</t>
  </si>
  <si>
    <t>LMP-358</t>
  </si>
  <si>
    <t>LMP-00284</t>
  </si>
  <si>
    <t>LAMP -20</t>
  </si>
  <si>
    <t>LAMP -30</t>
  </si>
  <si>
    <t>LMP-371</t>
  </si>
  <si>
    <t>علي حيدر</t>
  </si>
  <si>
    <t>LMP-40</t>
  </si>
  <si>
    <t>LMP-00557</t>
  </si>
  <si>
    <t>LB1</t>
  </si>
  <si>
    <t>LB2</t>
  </si>
  <si>
    <t>MS</t>
  </si>
  <si>
    <t>MASORA</t>
  </si>
  <si>
    <t>11491</t>
  </si>
  <si>
    <t>MLJ</t>
  </si>
  <si>
    <t>MYNR</t>
  </si>
  <si>
    <t>M+M</t>
  </si>
  <si>
    <t>MBL</t>
  </si>
  <si>
    <t>LCICOMBWTW</t>
  </si>
  <si>
    <t>LCICOMBWNW</t>
  </si>
  <si>
    <t>MG7.5</t>
  </si>
  <si>
    <t>MG100</t>
  </si>
  <si>
    <t>MG50</t>
  </si>
  <si>
    <t>MG13</t>
  </si>
  <si>
    <t>MG13*50</t>
  </si>
  <si>
    <t>MB</t>
  </si>
  <si>
    <t>MG10*40</t>
  </si>
  <si>
    <t>MJRF</t>
  </si>
  <si>
    <t>MGRD</t>
  </si>
  <si>
    <t>LEC-15*44*60 P</t>
  </si>
  <si>
    <t>MGB</t>
  </si>
  <si>
    <t>MR</t>
  </si>
  <si>
    <t>MGS100</t>
  </si>
  <si>
    <t>GARMJ</t>
  </si>
  <si>
    <t>MGMD</t>
  </si>
  <si>
    <t>GR27803</t>
  </si>
  <si>
    <t>MGMSH</t>
  </si>
  <si>
    <t>MGMSHI</t>
  </si>
  <si>
    <t>MGMSHT</t>
  </si>
  <si>
    <t>MGMSHG</t>
  </si>
  <si>
    <t>MGMSHM</t>
  </si>
  <si>
    <t>MGMSHM1</t>
  </si>
  <si>
    <t>GROHEH-N</t>
  </si>
  <si>
    <t>DAAT</t>
  </si>
  <si>
    <t>MDSH</t>
  </si>
  <si>
    <t>MSHSEH</t>
  </si>
  <si>
    <t>MRR</t>
  </si>
  <si>
    <t>MIR 1021</t>
  </si>
  <si>
    <t>MIR 131</t>
  </si>
  <si>
    <t>MIR -LED 222</t>
  </si>
  <si>
    <t>MIR 1025</t>
  </si>
  <si>
    <t>MIR 139</t>
  </si>
  <si>
    <t>احمد نابلسي</t>
  </si>
  <si>
    <t>MIR 216</t>
  </si>
  <si>
    <t>MABID</t>
  </si>
  <si>
    <t>MRG</t>
  </si>
  <si>
    <t>MSAAMER</t>
  </si>
  <si>
    <t>MSAAMERBK</t>
  </si>
  <si>
    <t>MTS</t>
  </si>
  <si>
    <t>MSTRN</t>
  </si>
  <si>
    <t>MSKT BAB</t>
  </si>
  <si>
    <t>MSKTBN</t>
  </si>
  <si>
    <t>MSKTJR</t>
  </si>
  <si>
    <t>MSJ</t>
  </si>
  <si>
    <t>MSK-H</t>
  </si>
  <si>
    <t>MN</t>
  </si>
  <si>
    <t>MV</t>
  </si>
  <si>
    <t>MD</t>
  </si>
  <si>
    <t>MASK-32</t>
  </si>
  <si>
    <t>MSB</t>
  </si>
  <si>
    <t>MSHD</t>
  </si>
  <si>
    <t>MSH</t>
  </si>
  <si>
    <t>MSKT BAB-</t>
  </si>
  <si>
    <t>MMR</t>
  </si>
  <si>
    <t>MSKT BAB-A</t>
  </si>
  <si>
    <t>GR-28261</t>
  </si>
  <si>
    <t>MSMER 1 1/8</t>
  </si>
  <si>
    <t>MSHF</t>
  </si>
  <si>
    <t>MSHF10"</t>
  </si>
  <si>
    <t>MSHF-3"</t>
  </si>
  <si>
    <t>MSHF-4"</t>
  </si>
  <si>
    <t>MSHF6"</t>
  </si>
  <si>
    <t>MSHF8"</t>
  </si>
  <si>
    <t>MSHT</t>
  </si>
  <si>
    <t>MSHT-14</t>
  </si>
  <si>
    <t>SI-050034</t>
  </si>
  <si>
    <t>BK-60</t>
  </si>
  <si>
    <t>M-B40*10</t>
  </si>
  <si>
    <t>M-B40</t>
  </si>
  <si>
    <t>M-B50</t>
  </si>
  <si>
    <t>MSFAYE</t>
  </si>
  <si>
    <t>MC60</t>
  </si>
  <si>
    <t>MC80</t>
  </si>
  <si>
    <t>MMS</t>
  </si>
  <si>
    <t>MMSM</t>
  </si>
  <si>
    <t>MSA</t>
  </si>
  <si>
    <t>MATRAKA</t>
  </si>
  <si>
    <t>MAT-1000</t>
  </si>
  <si>
    <t>MAT-1500</t>
  </si>
  <si>
    <t>MAT-500</t>
  </si>
  <si>
    <t>MTRY</t>
  </si>
  <si>
    <t>MJN</t>
  </si>
  <si>
    <t>MJN-J</t>
  </si>
  <si>
    <t>MJNH</t>
  </si>
  <si>
    <t>MSM</t>
  </si>
  <si>
    <t>MAWAL</t>
  </si>
  <si>
    <t>MGHR</t>
  </si>
  <si>
    <t>LCICOLGTI03</t>
  </si>
  <si>
    <t>LCICOMLAW</t>
  </si>
  <si>
    <t>MNW</t>
  </si>
  <si>
    <t>LCICOMLOSACAW</t>
  </si>
  <si>
    <t>LCICOMLOGW58*45</t>
  </si>
  <si>
    <t>LCICOPW03</t>
  </si>
  <si>
    <t>LCICOMLBBDTW41*55</t>
  </si>
  <si>
    <t>PORMB</t>
  </si>
  <si>
    <t>H2503</t>
  </si>
  <si>
    <t>LCICOMLRANP56*46</t>
  </si>
  <si>
    <t>MZ</t>
  </si>
  <si>
    <t>LCICOZW03</t>
  </si>
  <si>
    <t>LCICOMLSRNTW</t>
  </si>
  <si>
    <t>LCICOSYDW03</t>
  </si>
  <si>
    <t>LCICOGW03</t>
  </si>
  <si>
    <t>LCICOGI03</t>
  </si>
  <si>
    <t>PORFM</t>
  </si>
  <si>
    <t>LCICOVW03</t>
  </si>
  <si>
    <t>LCICOVI03</t>
  </si>
  <si>
    <t>LCICOKW03</t>
  </si>
  <si>
    <t>LCICOCLW03</t>
  </si>
  <si>
    <t>LCICOLGAW03</t>
  </si>
  <si>
    <t>LCICOMLLAGW50*40</t>
  </si>
  <si>
    <t>LCICOMLLAGI50*40</t>
  </si>
  <si>
    <t>LCICOMLMRNW45*61</t>
  </si>
  <si>
    <t>PORMWA</t>
  </si>
  <si>
    <t>LCICOMLNOVW45*36</t>
  </si>
  <si>
    <t>LCICOMLNOVI45*36</t>
  </si>
  <si>
    <t>MH40CM</t>
  </si>
  <si>
    <t>LCICO-C-GEO</t>
  </si>
  <si>
    <t>GR-42253</t>
  </si>
  <si>
    <t>MGHT-MOTO</t>
  </si>
  <si>
    <t>MF</t>
  </si>
  <si>
    <t>MFTEN</t>
  </si>
  <si>
    <t>MJ</t>
  </si>
  <si>
    <t>970</t>
  </si>
  <si>
    <t>MFTSHQ</t>
  </si>
  <si>
    <t>MT</t>
  </si>
  <si>
    <t>MFQ</t>
  </si>
  <si>
    <t>MFTK</t>
  </si>
  <si>
    <t>VR-6501</t>
  </si>
  <si>
    <t>MFTMGH</t>
  </si>
  <si>
    <t>MFRK</t>
  </si>
  <si>
    <t>MAS</t>
  </si>
  <si>
    <t>MFK</t>
  </si>
  <si>
    <t>MFK-T</t>
  </si>
  <si>
    <t>MQD</t>
  </si>
  <si>
    <t>3Y5P0846</t>
  </si>
  <si>
    <t>3Y5P878</t>
  </si>
  <si>
    <t>100317-T</t>
  </si>
  <si>
    <t>MQDB</t>
  </si>
  <si>
    <t>MQS</t>
  </si>
  <si>
    <t>MQS-O</t>
  </si>
  <si>
    <t>MQS-T</t>
  </si>
  <si>
    <t>MAKNATR</t>
  </si>
  <si>
    <t>MAKNATDK</t>
  </si>
  <si>
    <t>MAKNATGH</t>
  </si>
  <si>
    <t>MAKANAFMJ</t>
  </si>
  <si>
    <t>MAKNATL</t>
  </si>
  <si>
    <t>MAKNA</t>
  </si>
  <si>
    <t>MLZ</t>
  </si>
  <si>
    <t>MLKT</t>
  </si>
  <si>
    <t>MLKT-B</t>
  </si>
  <si>
    <t>MM</t>
  </si>
  <si>
    <t>M-QWAR</t>
  </si>
  <si>
    <t>MONKAL</t>
  </si>
  <si>
    <t>MNSHRH</t>
  </si>
  <si>
    <t>MNSHRKH</t>
  </si>
  <si>
    <t>MANSA</t>
  </si>
  <si>
    <t>MNH</t>
  </si>
  <si>
    <t>MHDE</t>
  </si>
  <si>
    <t>MOTRTRND3/4</t>
  </si>
  <si>
    <t>MOTRG</t>
  </si>
  <si>
    <t>MZIK</t>
  </si>
  <si>
    <t>عبد الخالق</t>
  </si>
  <si>
    <t>MIXD25</t>
  </si>
  <si>
    <t>MWLD</t>
  </si>
  <si>
    <t>TIGER</t>
  </si>
  <si>
    <t>MZN</t>
  </si>
  <si>
    <t>PPRKT</t>
  </si>
  <si>
    <t>NZR</t>
  </si>
  <si>
    <t>NAIL</t>
  </si>
  <si>
    <t>NHATE</t>
  </si>
  <si>
    <t>NRBG</t>
  </si>
  <si>
    <t>NB1/2</t>
  </si>
  <si>
    <t>NB 3/4</t>
  </si>
  <si>
    <t>NKHV</t>
  </si>
  <si>
    <t>P8/5CM</t>
  </si>
  <si>
    <t>GROHENR</t>
  </si>
  <si>
    <t>GR-28151</t>
  </si>
  <si>
    <t>ZRBNB3</t>
  </si>
  <si>
    <t>GR48293</t>
  </si>
  <si>
    <t>NRBG 1 S</t>
  </si>
  <si>
    <t>NRBGS</t>
  </si>
  <si>
    <t>NIKF1.25</t>
  </si>
  <si>
    <t>NSH-MSK</t>
  </si>
  <si>
    <t>NRBG1</t>
  </si>
  <si>
    <t>NRBG 1/2</t>
  </si>
  <si>
    <t>NRBG1-25</t>
  </si>
  <si>
    <t>NRBG 3/4</t>
  </si>
  <si>
    <t>NRBG 3/4-50</t>
  </si>
  <si>
    <t>NRBG 1 1/4</t>
  </si>
  <si>
    <t>NARBJ</t>
  </si>
  <si>
    <t>NGH</t>
  </si>
  <si>
    <t>NM</t>
  </si>
  <si>
    <t>LCICOSYDW04</t>
  </si>
  <si>
    <t>LCICOLGTW04</t>
  </si>
  <si>
    <t>LCICOLGTI04</t>
  </si>
  <si>
    <t>LCICOMILW04-1</t>
  </si>
  <si>
    <t>NFTLN</t>
  </si>
  <si>
    <t>NAFT</t>
  </si>
  <si>
    <t>KRD</t>
  </si>
  <si>
    <t>NSA</t>
  </si>
  <si>
    <t>HK-32</t>
  </si>
  <si>
    <t>HK-63</t>
  </si>
  <si>
    <t>HK</t>
  </si>
  <si>
    <t>HAM-SIP</t>
  </si>
  <si>
    <t>SIP -HAM</t>
  </si>
  <si>
    <t>WAJ-H</t>
  </si>
  <si>
    <t>W-L</t>
  </si>
  <si>
    <t>WRQ</t>
  </si>
  <si>
    <t>WH</t>
  </si>
  <si>
    <t>WS</t>
  </si>
  <si>
    <t>SS-3004 BB</t>
  </si>
  <si>
    <t>PVCDW32*1</t>
  </si>
  <si>
    <t>PVCDW40</t>
  </si>
  <si>
    <t>ZRB32*25</t>
  </si>
  <si>
    <t>HEWM5*4</t>
  </si>
  <si>
    <t>HWS</t>
  </si>
  <si>
    <t>TJW8</t>
  </si>
  <si>
    <t>WK</t>
  </si>
  <si>
    <t>WN</t>
  </si>
  <si>
    <t>WTRS</t>
  </si>
  <si>
    <t>قسطل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</si>
</sst>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9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rgb="FF000000"/>
      <name val="Calibri"/>
      <family val="2"/>
      <charset val="178"/>
    </font>
    <font>
      <sz val="11"/>
      <color rgb="FF000000"/>
      <name val="Aptos Narrow"/>
      <family val="2"/>
      <charset val="178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49" fontId="0" fillId="0" borderId="0" xfId="0" applyNumberFormat="1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12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 readingOrder="2"/>
    </xf>
    <xf numFmtId="0" fontId="6" fillId="0" borderId="0" xfId="0" applyFont="1" applyAlignment="1">
      <alignment horizontal="center" vertical="center" readingOrder="1"/>
    </xf>
    <xf numFmtId="0" fontId="6" fillId="0" borderId="0" xfId="0" applyFont="1" applyAlignment="1">
      <alignment horizontal="center" readingOrder="2"/>
    </xf>
    <xf numFmtId="164" fontId="0" fillId="0" borderId="0" xfId="1" applyFont="1" applyAlignment="1">
      <alignment horizontal="center" vertical="center"/>
    </xf>
    <xf numFmtId="164" fontId="5" fillId="0" borderId="0" xfId="1" applyFont="1" applyAlignment="1">
      <alignment horizontal="center" vertical="center"/>
    </xf>
    <xf numFmtId="0" fontId="7" fillId="0" borderId="0" xfId="0" applyFont="1" applyAlignment="1">
      <alignment readingOrder="2"/>
    </xf>
    <xf numFmtId="0" fontId="3" fillId="0" borderId="2" xfId="0" applyFont="1" applyBorder="1" applyAlignment="1">
      <alignment horizontal="center" vertical="center"/>
    </xf>
    <xf numFmtId="0" fontId="8" fillId="0" borderId="0" xfId="2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6"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B3801B-3E83-4E3F-8762-408A3F590E84}" name="Table1" displayName="Table1" ref="A1:AT3595" totalsRowShown="0" headerRowDxfId="5">
  <autoFilter ref="A1:AT3595" xr:uid="{00000000-0001-0000-0000-000000000000}"/>
  <sortState xmlns:xlrd2="http://schemas.microsoft.com/office/spreadsheetml/2017/richdata2" ref="A2:AT3595">
    <sortCondition ref="E1:E3595"/>
  </sortState>
  <tableColumns count="46">
    <tableColumn id="1" xr3:uid="{28FDE4E4-87FD-4FC6-AAC8-69F11548BA6B}" name="COMP" dataDxfId="4"/>
    <tableColumn id="2" xr3:uid="{72549D37-2A1F-4050-9279-41A15E13650A}" name="GOID" dataDxfId="3"/>
    <tableColumn id="3" xr3:uid="{CA766256-2F2F-493D-9927-461EC2A64718}" name="BARCODE" dataDxfId="2"/>
    <tableColumn id="4" xr3:uid="{44FE731C-9A23-4EE2-889B-88AB1BA8FCA6}" name="MAIN GOID"/>
    <tableColumn id="5" xr3:uid="{2CC78A0A-4B2D-4035-BF9E-3C260D2008A3}" name="Item_name" dataDxfId="1"/>
    <tableColumn id="6" xr3:uid="{1A812607-D5C3-4CA0-B071-8F7D37BE97B1}" name="Item_name2"/>
    <tableColumn id="7" xr3:uid="{1C97870E-ED83-4A06-8815-5300355D2532}" name="Sale1" dataDxfId="0" dataCellStyle="Comma"/>
    <tableColumn id="8" xr3:uid="{85D3F5DF-CE6F-45D4-B2F8-1DDF9AFACD92}" name="Sale2"/>
    <tableColumn id="9" xr3:uid="{29261C3A-C5DA-484F-9B67-83471F8FDE80}" name="Sale3"/>
    <tableColumn id="10" xr3:uid="{41B73293-9831-43C0-A6E6-2319392BAB39}" name="Sale4"/>
    <tableColumn id="11" xr3:uid="{C0C5A9B1-A45B-4724-A62B-108F289C94C8}" name="Sale5"/>
    <tableColumn id="12" xr3:uid="{818C4F88-CE1B-473A-8A3E-21C362F5CF70}" name="VAT"/>
    <tableColumn id="13" xr3:uid="{0E0F7DF8-F85B-49BA-A908-9768249BE83C}" name="Branch"/>
    <tableColumn id="14" xr3:uid="{9CD8EDB3-C462-4EDA-99E0-19A33497616C}" name="Qty"/>
    <tableColumn id="15" xr3:uid="{2C52D19B-2CA9-44F9-A42F-8D25A74F4783}" name="HQty"/>
    <tableColumn id="16" xr3:uid="{3691A01A-B5E9-4F8A-9D53-0813919C1221}" name="Cost"/>
    <tableColumn id="17" xr3:uid="{C72F68B2-AB7D-4D67-A7B0-841867F29E59}" name="TotalCost"/>
    <tableColumn id="18" xr3:uid="{5D74391E-EE79-4DC8-92F1-A8B127A92219}" name="SET"/>
    <tableColumn id="19" xr3:uid="{CA1123C0-4FC8-4D8E-B684-28902E9B6322}" name="Category"/>
    <tableColumn id="20" xr3:uid="{248BE893-7771-4174-8B16-76AFCB02E254}" name="Unit"/>
    <tableColumn id="21" xr3:uid="{92839C4A-379E-466C-BBDA-8D8E4C8793F4}" name="Brand"/>
    <tableColumn id="22" xr3:uid="{8BD6183C-5095-4240-AC53-210AA9F9A6BA}" name="Origin"/>
    <tableColumn id="23" xr3:uid="{271D41EF-0AD7-418F-8AFF-59B5E8E4F5DA}" name="Supplier"/>
    <tableColumn id="24" xr3:uid="{2E8F4DFA-44F6-4196-9C5F-2F373C18AD66}" name="Size"/>
    <tableColumn id="25" xr3:uid="{9047A3B2-341F-4D02-9D99-F405866E7A4E}" name="Color"/>
    <tableColumn id="26" xr3:uid="{EA3FFBE7-6F1F-4176-931F-BB8AE60707C9}" name="Family"/>
    <tableColumn id="27" xr3:uid="{064771D9-FFF6-4D35-B456-5504E76990D4}" name="Group"/>
    <tableColumn id="28" xr3:uid="{BD7C3208-01DD-46EE-860B-53C87B7FE365}" name="HIGHT"/>
    <tableColumn id="29" xr3:uid="{1874100F-2252-4133-B084-7B6C9F4498F2}" name="WEIGHT"/>
    <tableColumn id="30" xr3:uid="{1EC9CD5A-83B6-4C4D-8912-34953AF0F35C}" name="THICKNESS"/>
    <tableColumn id="31" xr3:uid="{A2D7E82D-2848-4C53-B177-40C1D89D81C0}" name="UMLASALEPRICE"/>
    <tableColumn id="32" xr3:uid="{1527012A-A3F1-4D54-8FCF-D68FFA21B360}" name="Sale1TTC"/>
    <tableColumn id="33" xr3:uid="{2DCF4248-7E72-48F3-89DB-B40F519C2D81}" name="Sale2TTC"/>
    <tableColumn id="34" xr3:uid="{0D6048C2-2A57-443C-88D6-1E7B851C0E96}" name="Sale3TTC"/>
    <tableColumn id="35" xr3:uid="{5735F886-84F2-48AF-AD96-265AE9367D64}" name="Sale4TTC"/>
    <tableColumn id="36" xr3:uid="{924A50F8-4617-451C-8460-1DCF544E8863}" name="Sale5TTC"/>
    <tableColumn id="37" xr3:uid="{0A9AB81F-949A-45E4-94B3-F0A91B9C258D}" name="Set_Name"/>
    <tableColumn id="38" xr3:uid="{C489442E-5347-4E78-A3D2-6A1C94B947EB}" name="Category_Name"/>
    <tableColumn id="39" xr3:uid="{CE7AFF91-063A-4F1F-A38E-4946E22DF119}" name="Unit_Name"/>
    <tableColumn id="40" xr3:uid="{79BCAF29-D198-46F4-B74A-3DD378851891}" name="Brand_Name"/>
    <tableColumn id="41" xr3:uid="{0F168721-10EB-475C-A87A-775437A4A366}" name="Origin_Name"/>
    <tableColumn id="42" xr3:uid="{1B13272C-5306-4C73-B2CB-7135FBFEEB5A}" name="Supplier_Name"/>
    <tableColumn id="43" xr3:uid="{70E32FDD-807E-4B57-8D20-15480058E22C}" name="DSize_Name"/>
    <tableColumn id="44" xr3:uid="{2DC9FB8F-3683-490B-A718-3666FB05686B}" name="Color_Name"/>
    <tableColumn id="45" xr3:uid="{4844E481-C0D8-4A9C-B2A4-120BE38B5460}" name="Family_Name"/>
    <tableColumn id="46" xr3:uid="{FD107B91-47F1-4B42-B487-A83F4BC9AB76}" name="Group_Nam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T3651"/>
  <sheetViews>
    <sheetView rightToLeft="1" tabSelected="1" topLeftCell="E1116" zoomScale="205" zoomScaleNormal="205" workbookViewId="0">
      <selection activeCell="G1125" sqref="G1125"/>
    </sheetView>
  </sheetViews>
  <sheetFormatPr defaultColWidth="9.140625" defaultRowHeight="14.45"/>
  <cols>
    <col min="1" max="4" width="1.28515625" hidden="1" customWidth="1"/>
    <col min="5" max="5" width="50.7109375" style="12" bestFit="1" customWidth="1"/>
    <col min="6" max="6" width="1.7109375" hidden="1" customWidth="1"/>
    <col min="7" max="7" width="11.7109375" style="4" customWidth="1"/>
    <col min="8" max="46" width="1.28515625" hidden="1" customWidth="1"/>
  </cols>
  <sheetData>
    <row r="1" spans="1:46" s="3" customFormat="1">
      <c r="A1" s="5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</row>
    <row r="2" spans="1:46" ht="15.6">
      <c r="A2" s="1" t="s">
        <v>46</v>
      </c>
      <c r="B2" s="1" t="s">
        <v>47</v>
      </c>
      <c r="C2" s="1" t="s">
        <v>47</v>
      </c>
      <c r="E2" s="14" t="s">
        <v>48</v>
      </c>
      <c r="G2" s="16"/>
      <c r="M2">
        <v>1</v>
      </c>
      <c r="N2">
        <v>-8</v>
      </c>
      <c r="O2">
        <v>0</v>
      </c>
      <c r="P2">
        <v>12.5</v>
      </c>
      <c r="Q2">
        <v>-100</v>
      </c>
      <c r="W2">
        <v>400017</v>
      </c>
      <c r="AE2">
        <v>0</v>
      </c>
      <c r="AP2" t="s">
        <v>49</v>
      </c>
    </row>
    <row r="3" spans="1:46" ht="15.6">
      <c r="A3" s="1" t="s">
        <v>46</v>
      </c>
      <c r="B3" s="1" t="s">
        <v>50</v>
      </c>
      <c r="C3" s="1" t="s">
        <v>50</v>
      </c>
      <c r="E3" s="14" t="s">
        <v>51</v>
      </c>
      <c r="G3" s="16"/>
      <c r="I3">
        <v>1</v>
      </c>
      <c r="M3">
        <v>1</v>
      </c>
      <c r="N3">
        <v>-28</v>
      </c>
      <c r="O3">
        <v>0</v>
      </c>
      <c r="P3">
        <v>0.65</v>
      </c>
      <c r="Q3">
        <v>-18.2</v>
      </c>
      <c r="R3">
        <v>0</v>
      </c>
      <c r="S3">
        <v>0</v>
      </c>
      <c r="T3" t="s">
        <v>52</v>
      </c>
      <c r="U3">
        <v>0</v>
      </c>
      <c r="V3">
        <v>0</v>
      </c>
      <c r="W3">
        <v>400119</v>
      </c>
      <c r="AE3">
        <v>0</v>
      </c>
      <c r="AH3">
        <v>1</v>
      </c>
      <c r="AP3" t="s">
        <v>53</v>
      </c>
    </row>
    <row r="4" spans="1:46" ht="15.6">
      <c r="A4" s="1" t="s">
        <v>46</v>
      </c>
      <c r="B4" s="1" t="s">
        <v>54</v>
      </c>
      <c r="C4" s="1" t="s">
        <v>54</v>
      </c>
      <c r="E4" s="14" t="s">
        <v>55</v>
      </c>
      <c r="G4" s="16"/>
      <c r="M4">
        <v>1</v>
      </c>
      <c r="N4">
        <v>2</v>
      </c>
      <c r="O4">
        <v>0</v>
      </c>
      <c r="P4">
        <v>7</v>
      </c>
      <c r="Q4">
        <v>14</v>
      </c>
      <c r="R4">
        <v>1</v>
      </c>
      <c r="S4">
        <v>0</v>
      </c>
      <c r="T4">
        <v>0</v>
      </c>
      <c r="U4">
        <v>0</v>
      </c>
      <c r="V4">
        <v>0</v>
      </c>
      <c r="W4">
        <v>400017</v>
      </c>
      <c r="X4" t="s">
        <v>56</v>
      </c>
      <c r="Y4" t="s">
        <v>57</v>
      </c>
      <c r="AE4">
        <v>0</v>
      </c>
      <c r="AK4" t="s">
        <v>58</v>
      </c>
      <c r="AP4" t="s">
        <v>49</v>
      </c>
    </row>
    <row r="5" spans="1:46" ht="15.6">
      <c r="A5" s="1" t="s">
        <v>46</v>
      </c>
      <c r="B5" s="1" t="s">
        <v>59</v>
      </c>
      <c r="C5" s="1" t="s">
        <v>59</v>
      </c>
      <c r="E5" s="14" t="s">
        <v>60</v>
      </c>
      <c r="G5" s="16"/>
      <c r="M5">
        <v>1</v>
      </c>
      <c r="N5">
        <v>592</v>
      </c>
      <c r="O5">
        <v>0</v>
      </c>
      <c r="P5">
        <v>2.25</v>
      </c>
      <c r="Q5">
        <v>1332</v>
      </c>
      <c r="R5">
        <v>0</v>
      </c>
      <c r="S5">
        <v>0</v>
      </c>
      <c r="T5">
        <v>0</v>
      </c>
      <c r="U5">
        <v>0</v>
      </c>
      <c r="V5">
        <v>0</v>
      </c>
      <c r="W5">
        <v>400158</v>
      </c>
      <c r="X5" t="s">
        <v>56</v>
      </c>
      <c r="Y5" t="s">
        <v>57</v>
      </c>
      <c r="AE5">
        <v>0</v>
      </c>
      <c r="AP5" t="s">
        <v>61</v>
      </c>
    </row>
    <row r="6" spans="1:46" ht="15.6">
      <c r="A6" s="1" t="s">
        <v>46</v>
      </c>
      <c r="B6" s="1" t="s">
        <v>62</v>
      </c>
      <c r="C6" s="1" t="s">
        <v>62</v>
      </c>
      <c r="E6" s="14" t="s">
        <v>63</v>
      </c>
      <c r="G6" s="16"/>
      <c r="M6">
        <v>1</v>
      </c>
      <c r="N6">
        <v>-8</v>
      </c>
      <c r="O6">
        <v>0</v>
      </c>
      <c r="P6">
        <v>1.66</v>
      </c>
      <c r="Q6">
        <v>-13.32</v>
      </c>
      <c r="R6">
        <v>0</v>
      </c>
      <c r="S6">
        <v>0</v>
      </c>
      <c r="T6" t="s">
        <v>52</v>
      </c>
      <c r="W6">
        <v>400017</v>
      </c>
      <c r="AE6">
        <v>0</v>
      </c>
      <c r="AP6" t="s">
        <v>49</v>
      </c>
    </row>
    <row r="7" spans="1:46" ht="15.6">
      <c r="A7" s="1" t="s">
        <v>46</v>
      </c>
      <c r="B7" s="1" t="s">
        <v>64</v>
      </c>
      <c r="C7" s="1" t="s">
        <v>64</v>
      </c>
      <c r="E7" s="14" t="s">
        <v>65</v>
      </c>
      <c r="G7" s="16"/>
      <c r="M7">
        <v>1</v>
      </c>
      <c r="N7">
        <v>-1</v>
      </c>
      <c r="O7">
        <v>0</v>
      </c>
      <c r="P7">
        <v>58.28</v>
      </c>
      <c r="Q7">
        <v>-58.28</v>
      </c>
      <c r="R7">
        <v>0</v>
      </c>
      <c r="S7">
        <v>0</v>
      </c>
      <c r="T7">
        <v>0</v>
      </c>
      <c r="W7">
        <v>400010</v>
      </c>
      <c r="AE7">
        <v>0</v>
      </c>
      <c r="AP7" t="s">
        <v>66</v>
      </c>
    </row>
    <row r="8" spans="1:46" ht="15.6">
      <c r="A8" s="1" t="s">
        <v>46</v>
      </c>
      <c r="B8" s="1" t="s">
        <v>67</v>
      </c>
      <c r="C8" s="1" t="s">
        <v>67</v>
      </c>
      <c r="E8" s="14" t="s">
        <v>68</v>
      </c>
      <c r="G8" s="16">
        <v>175</v>
      </c>
      <c r="M8">
        <v>1</v>
      </c>
      <c r="N8">
        <v>-38.35</v>
      </c>
      <c r="O8">
        <v>0</v>
      </c>
      <c r="P8">
        <v>1</v>
      </c>
      <c r="Q8">
        <v>-38.35</v>
      </c>
      <c r="R8">
        <v>0</v>
      </c>
      <c r="S8">
        <v>0</v>
      </c>
      <c r="T8">
        <v>0</v>
      </c>
      <c r="U8">
        <v>0</v>
      </c>
      <c r="V8">
        <v>0</v>
      </c>
      <c r="W8">
        <v>400017</v>
      </c>
      <c r="X8" t="s">
        <v>56</v>
      </c>
      <c r="Y8" t="s">
        <v>57</v>
      </c>
      <c r="AE8">
        <v>0</v>
      </c>
      <c r="AP8" t="s">
        <v>49</v>
      </c>
    </row>
    <row r="9" spans="1:46" ht="15.6">
      <c r="A9" s="1" t="s">
        <v>46</v>
      </c>
      <c r="B9" s="1" t="s">
        <v>69</v>
      </c>
      <c r="C9" s="1" t="s">
        <v>69</v>
      </c>
      <c r="E9" s="14" t="s">
        <v>70</v>
      </c>
      <c r="G9" s="16"/>
      <c r="M9">
        <v>1</v>
      </c>
      <c r="N9">
        <v>1056.5</v>
      </c>
      <c r="O9">
        <v>0</v>
      </c>
      <c r="P9">
        <v>1.4</v>
      </c>
      <c r="Q9">
        <v>1479.1</v>
      </c>
      <c r="R9">
        <v>0</v>
      </c>
      <c r="S9">
        <v>0</v>
      </c>
      <c r="T9" t="s">
        <v>71</v>
      </c>
      <c r="U9">
        <v>0</v>
      </c>
      <c r="V9">
        <v>0</v>
      </c>
      <c r="W9">
        <v>400158</v>
      </c>
      <c r="X9" t="s">
        <v>56</v>
      </c>
      <c r="Y9" t="s">
        <v>57</v>
      </c>
      <c r="AE9">
        <v>0</v>
      </c>
      <c r="AP9" t="s">
        <v>61</v>
      </c>
    </row>
    <row r="10" spans="1:46" ht="15.6">
      <c r="E10" s="14" t="s">
        <v>72</v>
      </c>
      <c r="G10" s="16"/>
    </row>
    <row r="11" spans="1:46" ht="15.6">
      <c r="A11" s="1" t="s">
        <v>46</v>
      </c>
      <c r="B11" s="1" t="s">
        <v>73</v>
      </c>
      <c r="C11" s="1" t="s">
        <v>73</v>
      </c>
      <c r="E11" s="14" t="s">
        <v>74</v>
      </c>
      <c r="G11" s="16"/>
      <c r="M11">
        <v>1</v>
      </c>
      <c r="N11">
        <v>-4033</v>
      </c>
      <c r="O11">
        <v>0</v>
      </c>
      <c r="P11">
        <v>5.94</v>
      </c>
      <c r="Q11">
        <v>-23958.44</v>
      </c>
      <c r="R11">
        <v>0</v>
      </c>
      <c r="S11">
        <v>0</v>
      </c>
      <c r="T11" t="s">
        <v>52</v>
      </c>
      <c r="W11">
        <v>400150</v>
      </c>
      <c r="AE11">
        <v>0</v>
      </c>
      <c r="AP11" t="s">
        <v>75</v>
      </c>
    </row>
    <row r="12" spans="1:46" ht="15.6">
      <c r="A12" s="1" t="s">
        <v>46</v>
      </c>
      <c r="B12" s="1" t="s">
        <v>76</v>
      </c>
      <c r="C12" s="1" t="s">
        <v>76</v>
      </c>
      <c r="E12" s="14" t="s">
        <v>77</v>
      </c>
      <c r="G12" s="16">
        <v>100</v>
      </c>
      <c r="M12">
        <v>1</v>
      </c>
      <c r="N12">
        <v>-1177</v>
      </c>
      <c r="O12">
        <v>0</v>
      </c>
      <c r="P12">
        <v>1.58</v>
      </c>
      <c r="Q12">
        <v>-1864.55</v>
      </c>
      <c r="R12">
        <v>0</v>
      </c>
      <c r="S12">
        <v>0</v>
      </c>
      <c r="T12" t="s">
        <v>52</v>
      </c>
      <c r="W12">
        <v>400150</v>
      </c>
      <c r="AE12">
        <v>0</v>
      </c>
      <c r="AP12" t="s">
        <v>75</v>
      </c>
    </row>
    <row r="13" spans="1:46" ht="15.6">
      <c r="A13" s="1" t="s">
        <v>46</v>
      </c>
      <c r="B13" s="1" t="s">
        <v>78</v>
      </c>
      <c r="C13" s="1" t="s">
        <v>78</v>
      </c>
      <c r="E13" s="14" t="s">
        <v>79</v>
      </c>
      <c r="G13" s="16">
        <v>125</v>
      </c>
      <c r="M13">
        <v>1</v>
      </c>
      <c r="N13">
        <v>-811</v>
      </c>
      <c r="O13">
        <v>0</v>
      </c>
      <c r="P13">
        <v>5.45</v>
      </c>
      <c r="Q13">
        <v>-4416.3</v>
      </c>
      <c r="R13">
        <v>0</v>
      </c>
      <c r="S13">
        <v>0</v>
      </c>
      <c r="T13" t="s">
        <v>52</v>
      </c>
      <c r="W13">
        <v>400150</v>
      </c>
      <c r="AE13">
        <v>0</v>
      </c>
      <c r="AP13" t="s">
        <v>75</v>
      </c>
    </row>
    <row r="14" spans="1:46" ht="15.6">
      <c r="A14" s="1" t="s">
        <v>46</v>
      </c>
      <c r="B14" s="1" t="s">
        <v>80</v>
      </c>
      <c r="C14" s="1" t="s">
        <v>80</v>
      </c>
      <c r="E14" s="14" t="s">
        <v>81</v>
      </c>
      <c r="G14" s="16"/>
      <c r="M14">
        <v>1</v>
      </c>
      <c r="N14">
        <v>-23</v>
      </c>
      <c r="O14">
        <v>0</v>
      </c>
      <c r="P14">
        <v>1.06</v>
      </c>
      <c r="Q14">
        <v>-24.29</v>
      </c>
      <c r="R14">
        <v>0</v>
      </c>
      <c r="S14">
        <v>0</v>
      </c>
      <c r="T14" t="s">
        <v>52</v>
      </c>
      <c r="W14">
        <v>400089</v>
      </c>
      <c r="AE14">
        <v>0</v>
      </c>
      <c r="AP14" t="s">
        <v>82</v>
      </c>
    </row>
    <row r="15" spans="1:46" ht="15.6">
      <c r="A15" s="1" t="s">
        <v>46</v>
      </c>
      <c r="B15" s="1" t="s">
        <v>83</v>
      </c>
      <c r="C15" s="1" t="s">
        <v>83</v>
      </c>
      <c r="E15" s="14" t="s">
        <v>84</v>
      </c>
      <c r="G15" s="16"/>
      <c r="M15">
        <v>1</v>
      </c>
      <c r="N15">
        <v>-548</v>
      </c>
      <c r="O15">
        <v>0</v>
      </c>
      <c r="P15">
        <v>2.64</v>
      </c>
      <c r="Q15">
        <v>-1446.86</v>
      </c>
      <c r="R15">
        <v>0</v>
      </c>
      <c r="S15">
        <v>0</v>
      </c>
      <c r="T15" t="s">
        <v>52</v>
      </c>
      <c r="W15">
        <v>400150</v>
      </c>
      <c r="AE15">
        <v>0</v>
      </c>
      <c r="AP15" t="s">
        <v>75</v>
      </c>
    </row>
    <row r="16" spans="1:46" ht="15.6">
      <c r="A16" s="1" t="s">
        <v>46</v>
      </c>
      <c r="B16" s="1" t="s">
        <v>85</v>
      </c>
      <c r="C16" s="1" t="s">
        <v>85</v>
      </c>
      <c r="E16" s="14" t="s">
        <v>86</v>
      </c>
      <c r="G16" s="16"/>
      <c r="M16">
        <v>1</v>
      </c>
      <c r="N16">
        <v>-56</v>
      </c>
      <c r="O16">
        <v>0</v>
      </c>
      <c r="P16">
        <v>0.3</v>
      </c>
      <c r="Q16">
        <v>-16.8</v>
      </c>
      <c r="R16">
        <v>0</v>
      </c>
      <c r="S16">
        <v>0</v>
      </c>
      <c r="T16" t="s">
        <v>52</v>
      </c>
      <c r="W16">
        <v>410004</v>
      </c>
      <c r="AE16">
        <v>0</v>
      </c>
      <c r="AP16" t="s">
        <v>87</v>
      </c>
    </row>
    <row r="17" spans="1:42" ht="15.6">
      <c r="A17" s="1" t="s">
        <v>46</v>
      </c>
      <c r="B17" s="1" t="s">
        <v>88</v>
      </c>
      <c r="C17" s="1" t="s">
        <v>88</v>
      </c>
      <c r="E17" s="14" t="s">
        <v>89</v>
      </c>
      <c r="G17" s="16"/>
      <c r="M17">
        <v>1</v>
      </c>
      <c r="N17">
        <v>38</v>
      </c>
      <c r="O17">
        <v>0</v>
      </c>
      <c r="P17">
        <v>1.75</v>
      </c>
      <c r="Q17">
        <v>66.5</v>
      </c>
      <c r="R17">
        <v>0</v>
      </c>
      <c r="S17">
        <v>0</v>
      </c>
      <c r="T17" t="s">
        <v>52</v>
      </c>
      <c r="U17">
        <v>0</v>
      </c>
      <c r="V17">
        <v>0</v>
      </c>
      <c r="W17">
        <v>400017</v>
      </c>
      <c r="X17" t="s">
        <v>56</v>
      </c>
      <c r="Y17" t="s">
        <v>57</v>
      </c>
      <c r="AE17">
        <v>0</v>
      </c>
      <c r="AP17" t="s">
        <v>49</v>
      </c>
    </row>
    <row r="18" spans="1:42" ht="15.6">
      <c r="A18" s="1" t="s">
        <v>46</v>
      </c>
      <c r="B18" s="1" t="s">
        <v>90</v>
      </c>
      <c r="C18" s="1" t="s">
        <v>90</v>
      </c>
      <c r="E18" s="14" t="s">
        <v>91</v>
      </c>
      <c r="G18" s="16"/>
      <c r="M18">
        <v>1</v>
      </c>
      <c r="N18">
        <v>5</v>
      </c>
      <c r="O18">
        <v>0</v>
      </c>
      <c r="P18">
        <v>10</v>
      </c>
      <c r="Q18">
        <v>50</v>
      </c>
      <c r="W18">
        <v>400030</v>
      </c>
      <c r="AE18">
        <v>0</v>
      </c>
      <c r="AP18" t="s">
        <v>92</v>
      </c>
    </row>
    <row r="19" spans="1:42" ht="15.6">
      <c r="A19" s="1" t="s">
        <v>46</v>
      </c>
      <c r="B19" s="1" t="s">
        <v>93</v>
      </c>
      <c r="C19" s="1" t="s">
        <v>93</v>
      </c>
      <c r="E19" s="14" t="s">
        <v>94</v>
      </c>
      <c r="G19" s="16"/>
      <c r="M19">
        <v>1</v>
      </c>
      <c r="N19">
        <v>-1</v>
      </c>
      <c r="O19">
        <v>0</v>
      </c>
      <c r="AE19">
        <v>0</v>
      </c>
    </row>
    <row r="20" spans="1:42" ht="15.6">
      <c r="E20" s="14" t="s">
        <v>95</v>
      </c>
      <c r="G20" s="16"/>
    </row>
    <row r="21" spans="1:42" ht="15.6">
      <c r="A21" s="1" t="s">
        <v>46</v>
      </c>
      <c r="B21" s="1" t="s">
        <v>96</v>
      </c>
      <c r="C21" s="1" t="s">
        <v>96</v>
      </c>
      <c r="E21" s="14" t="s">
        <v>97</v>
      </c>
      <c r="G21" s="16"/>
      <c r="M21">
        <v>1</v>
      </c>
      <c r="N21">
        <v>49</v>
      </c>
      <c r="O21">
        <v>0</v>
      </c>
      <c r="P21">
        <v>2.5</v>
      </c>
      <c r="Q21">
        <v>122.5</v>
      </c>
      <c r="R21">
        <v>0</v>
      </c>
      <c r="S21">
        <v>0</v>
      </c>
      <c r="T21" t="s">
        <v>52</v>
      </c>
      <c r="U21">
        <v>0</v>
      </c>
      <c r="V21">
        <v>0</v>
      </c>
      <c r="W21">
        <v>400154</v>
      </c>
      <c r="X21" t="s">
        <v>56</v>
      </c>
      <c r="Y21" t="s">
        <v>57</v>
      </c>
      <c r="AE21">
        <v>0</v>
      </c>
      <c r="AP21" t="s">
        <v>98</v>
      </c>
    </row>
    <row r="22" spans="1:42" ht="15.6">
      <c r="A22" s="1" t="s">
        <v>46</v>
      </c>
      <c r="B22" s="1" t="s">
        <v>99</v>
      </c>
      <c r="C22" s="1" t="s">
        <v>99</v>
      </c>
      <c r="E22" s="14" t="s">
        <v>100</v>
      </c>
      <c r="G22" s="16"/>
      <c r="M22">
        <v>1</v>
      </c>
      <c r="N22">
        <v>5</v>
      </c>
      <c r="O22">
        <v>0</v>
      </c>
      <c r="P22">
        <v>7</v>
      </c>
      <c r="Q22">
        <v>35</v>
      </c>
      <c r="R22">
        <v>0</v>
      </c>
      <c r="S22">
        <v>0</v>
      </c>
      <c r="T22" t="s">
        <v>52</v>
      </c>
      <c r="W22">
        <v>400030</v>
      </c>
      <c r="AE22">
        <v>0</v>
      </c>
      <c r="AP22" t="s">
        <v>92</v>
      </c>
    </row>
    <row r="23" spans="1:42" ht="15.6">
      <c r="A23" s="1" t="s">
        <v>46</v>
      </c>
      <c r="B23" s="1" t="s">
        <v>101</v>
      </c>
      <c r="C23" s="1" t="s">
        <v>101</v>
      </c>
      <c r="E23" s="14" t="s">
        <v>102</v>
      </c>
      <c r="G23" s="16"/>
      <c r="M23">
        <v>1</v>
      </c>
      <c r="N23">
        <v>2</v>
      </c>
      <c r="O23">
        <v>0</v>
      </c>
      <c r="P23">
        <v>8</v>
      </c>
      <c r="Q23">
        <v>16</v>
      </c>
      <c r="W23">
        <v>400017</v>
      </c>
      <c r="AE23">
        <v>0</v>
      </c>
      <c r="AP23" t="s">
        <v>49</v>
      </c>
    </row>
    <row r="24" spans="1:42" ht="15.6">
      <c r="A24" s="1" t="s">
        <v>46</v>
      </c>
      <c r="B24" s="1" t="s">
        <v>103</v>
      </c>
      <c r="C24" s="1" t="s">
        <v>103</v>
      </c>
      <c r="E24" s="14" t="s">
        <v>104</v>
      </c>
      <c r="G24" s="16"/>
      <c r="M24">
        <v>1</v>
      </c>
      <c r="N24">
        <v>157</v>
      </c>
      <c r="O24">
        <v>0</v>
      </c>
      <c r="P24">
        <v>1</v>
      </c>
      <c r="Q24">
        <v>157</v>
      </c>
      <c r="R24">
        <v>0</v>
      </c>
      <c r="S24">
        <v>0</v>
      </c>
      <c r="T24" t="s">
        <v>52</v>
      </c>
      <c r="U24">
        <v>0</v>
      </c>
      <c r="V24">
        <v>0</v>
      </c>
      <c r="W24">
        <v>400154</v>
      </c>
      <c r="X24" t="s">
        <v>56</v>
      </c>
      <c r="Y24" t="s">
        <v>57</v>
      </c>
      <c r="AE24">
        <v>0</v>
      </c>
      <c r="AP24" t="s">
        <v>98</v>
      </c>
    </row>
    <row r="25" spans="1:42" ht="15.6">
      <c r="A25" s="1" t="s">
        <v>46</v>
      </c>
      <c r="B25" s="1" t="s">
        <v>105</v>
      </c>
      <c r="C25" s="1" t="s">
        <v>105</v>
      </c>
      <c r="E25" s="14" t="s">
        <v>106</v>
      </c>
      <c r="G25" s="16">
        <v>80</v>
      </c>
      <c r="I25">
        <v>11</v>
      </c>
      <c r="M25">
        <v>1</v>
      </c>
      <c r="N25">
        <v>2</v>
      </c>
      <c r="O25">
        <v>0</v>
      </c>
      <c r="P25">
        <v>6.12</v>
      </c>
      <c r="Q25">
        <v>12.23</v>
      </c>
      <c r="R25" t="s">
        <v>107</v>
      </c>
      <c r="S25">
        <v>0</v>
      </c>
      <c r="T25" t="s">
        <v>52</v>
      </c>
      <c r="U25">
        <v>0</v>
      </c>
      <c r="V25">
        <v>0</v>
      </c>
      <c r="W25">
        <v>400010</v>
      </c>
      <c r="AE25">
        <v>0</v>
      </c>
      <c r="AH25">
        <v>11</v>
      </c>
      <c r="AP25" t="s">
        <v>66</v>
      </c>
    </row>
    <row r="26" spans="1:42" ht="15.6">
      <c r="A26" s="1" t="s">
        <v>46</v>
      </c>
      <c r="B26" s="1" t="s">
        <v>108</v>
      </c>
      <c r="C26" s="1" t="s">
        <v>108</v>
      </c>
      <c r="E26" s="14" t="s">
        <v>109</v>
      </c>
      <c r="G26" s="16">
        <v>25</v>
      </c>
      <c r="M26">
        <v>1</v>
      </c>
      <c r="N26">
        <v>9</v>
      </c>
      <c r="O26">
        <v>0</v>
      </c>
      <c r="P26">
        <v>4.5</v>
      </c>
      <c r="Q26">
        <v>40.5</v>
      </c>
      <c r="R26">
        <v>0</v>
      </c>
      <c r="S26">
        <v>0</v>
      </c>
      <c r="T26">
        <v>0</v>
      </c>
      <c r="U26">
        <v>0</v>
      </c>
      <c r="V26">
        <v>0</v>
      </c>
      <c r="W26">
        <v>400154</v>
      </c>
      <c r="AE26">
        <v>0</v>
      </c>
      <c r="AP26" t="s">
        <v>98</v>
      </c>
    </row>
    <row r="27" spans="1:42" ht="15.6">
      <c r="A27" s="1" t="s">
        <v>46</v>
      </c>
      <c r="B27" s="1" t="s">
        <v>110</v>
      </c>
      <c r="C27" s="1" t="s">
        <v>110</v>
      </c>
      <c r="E27" s="14" t="s">
        <v>111</v>
      </c>
      <c r="G27" s="16"/>
      <c r="M27">
        <v>1</v>
      </c>
      <c r="N27">
        <v>320</v>
      </c>
      <c r="O27">
        <v>0</v>
      </c>
      <c r="P27">
        <v>2.25</v>
      </c>
      <c r="Q27">
        <v>720</v>
      </c>
      <c r="R27">
        <v>0</v>
      </c>
      <c r="S27">
        <v>0</v>
      </c>
      <c r="T27" t="s">
        <v>52</v>
      </c>
      <c r="U27">
        <v>0</v>
      </c>
      <c r="V27">
        <v>0</v>
      </c>
      <c r="W27">
        <v>410120</v>
      </c>
      <c r="AE27">
        <v>0</v>
      </c>
      <c r="AP27" t="s">
        <v>112</v>
      </c>
    </row>
    <row r="28" spans="1:42" ht="15.6">
      <c r="A28" s="1" t="s">
        <v>46</v>
      </c>
      <c r="B28" s="1" t="s">
        <v>113</v>
      </c>
      <c r="C28" s="1" t="s">
        <v>113</v>
      </c>
      <c r="E28" s="14" t="s">
        <v>114</v>
      </c>
      <c r="G28" s="16"/>
      <c r="M28">
        <v>1</v>
      </c>
      <c r="N28">
        <v>-11</v>
      </c>
      <c r="O28">
        <v>0</v>
      </c>
      <c r="R28" t="s">
        <v>115</v>
      </c>
      <c r="S28">
        <v>0</v>
      </c>
      <c r="T28" t="s">
        <v>17</v>
      </c>
      <c r="U28">
        <v>0</v>
      </c>
      <c r="V28">
        <v>0</v>
      </c>
      <c r="W28">
        <v>400002</v>
      </c>
      <c r="X28" t="s">
        <v>56</v>
      </c>
      <c r="Y28" t="s">
        <v>57</v>
      </c>
      <c r="AE28">
        <v>0</v>
      </c>
      <c r="AP28" t="s">
        <v>116</v>
      </c>
    </row>
    <row r="29" spans="1:42" ht="15.6">
      <c r="E29" s="14" t="s">
        <v>117</v>
      </c>
      <c r="G29" s="16"/>
    </row>
    <row r="30" spans="1:42" ht="15.6">
      <c r="A30" s="1" t="s">
        <v>46</v>
      </c>
      <c r="B30" s="1" t="s">
        <v>118</v>
      </c>
      <c r="C30" s="1" t="s">
        <v>118</v>
      </c>
      <c r="E30" s="14" t="s">
        <v>119</v>
      </c>
      <c r="G30" s="16">
        <v>85</v>
      </c>
      <c r="M30">
        <v>1</v>
      </c>
      <c r="N30">
        <v>117</v>
      </c>
      <c r="O30">
        <v>0</v>
      </c>
      <c r="P30">
        <v>3.5</v>
      </c>
      <c r="Q30">
        <v>409.5</v>
      </c>
      <c r="R30">
        <v>0</v>
      </c>
      <c r="S30">
        <v>0</v>
      </c>
      <c r="T30" t="s">
        <v>52</v>
      </c>
      <c r="U30">
        <v>0</v>
      </c>
      <c r="V30">
        <v>0</v>
      </c>
      <c r="W30">
        <v>400186</v>
      </c>
      <c r="X30" t="s">
        <v>56</v>
      </c>
      <c r="Y30" t="s">
        <v>57</v>
      </c>
      <c r="AE30">
        <v>0</v>
      </c>
      <c r="AP30" t="s">
        <v>120</v>
      </c>
    </row>
    <row r="31" spans="1:42" ht="15.6">
      <c r="A31" s="1" t="s">
        <v>46</v>
      </c>
      <c r="B31" s="1" t="s">
        <v>121</v>
      </c>
      <c r="C31" s="1" t="s">
        <v>121</v>
      </c>
      <c r="E31" s="14" t="s">
        <v>122</v>
      </c>
      <c r="G31" s="16">
        <v>75</v>
      </c>
      <c r="M31">
        <v>1</v>
      </c>
      <c r="N31">
        <v>2</v>
      </c>
      <c r="O31">
        <v>0</v>
      </c>
      <c r="P31">
        <v>7.5</v>
      </c>
      <c r="Q31">
        <v>15</v>
      </c>
      <c r="R31">
        <v>0</v>
      </c>
      <c r="S31">
        <v>0</v>
      </c>
      <c r="T31">
        <v>0</v>
      </c>
      <c r="U31">
        <v>0</v>
      </c>
      <c r="V31">
        <v>0</v>
      </c>
      <c r="W31">
        <v>400121</v>
      </c>
      <c r="AE31">
        <v>0</v>
      </c>
      <c r="AP31" t="s">
        <v>123</v>
      </c>
    </row>
    <row r="32" spans="1:42" ht="15.6">
      <c r="A32" s="1" t="s">
        <v>46</v>
      </c>
      <c r="B32" s="1" t="s">
        <v>124</v>
      </c>
      <c r="C32" s="1" t="s">
        <v>124</v>
      </c>
      <c r="E32" s="14" t="s">
        <v>125</v>
      </c>
      <c r="G32" s="16"/>
      <c r="M32">
        <v>1</v>
      </c>
      <c r="N32">
        <v>-98</v>
      </c>
      <c r="O32">
        <v>0</v>
      </c>
      <c r="P32">
        <v>1.45</v>
      </c>
      <c r="Q32">
        <v>-142.1</v>
      </c>
      <c r="R32">
        <v>0</v>
      </c>
      <c r="S32">
        <v>0</v>
      </c>
      <c r="T32" t="s">
        <v>52</v>
      </c>
      <c r="U32">
        <v>0</v>
      </c>
      <c r="V32">
        <v>0</v>
      </c>
      <c r="W32">
        <v>400033</v>
      </c>
      <c r="AE32">
        <v>0</v>
      </c>
      <c r="AP32" t="s">
        <v>126</v>
      </c>
    </row>
    <row r="33" spans="1:42" ht="15.6">
      <c r="E33" s="14" t="s">
        <v>127</v>
      </c>
      <c r="G33" s="16">
        <v>35</v>
      </c>
    </row>
    <row r="34" spans="1:42" ht="15.6">
      <c r="E34" s="14" t="s">
        <v>128</v>
      </c>
      <c r="G34" s="16"/>
    </row>
    <row r="35" spans="1:42" ht="15.6">
      <c r="E35" s="14" t="s">
        <v>129</v>
      </c>
      <c r="G35" s="16">
        <v>55</v>
      </c>
    </row>
    <row r="36" spans="1:42" ht="15.6">
      <c r="E36" s="14" t="s">
        <v>130</v>
      </c>
      <c r="G36" s="16">
        <v>120</v>
      </c>
    </row>
    <row r="37" spans="1:42" ht="15.6">
      <c r="A37" s="1" t="s">
        <v>46</v>
      </c>
      <c r="B37" s="1" t="s">
        <v>131</v>
      </c>
      <c r="C37" s="1" t="s">
        <v>131</v>
      </c>
      <c r="E37" s="14" t="s">
        <v>132</v>
      </c>
      <c r="G37" s="16"/>
      <c r="M37">
        <v>1</v>
      </c>
      <c r="N37">
        <v>17</v>
      </c>
      <c r="O37">
        <v>0</v>
      </c>
      <c r="P37">
        <v>23.71</v>
      </c>
      <c r="Q37">
        <v>403.07</v>
      </c>
      <c r="R37">
        <v>0</v>
      </c>
      <c r="S37">
        <v>0</v>
      </c>
      <c r="T37" t="s">
        <v>52</v>
      </c>
      <c r="W37">
        <v>400027</v>
      </c>
      <c r="AE37">
        <v>0</v>
      </c>
      <c r="AP37" t="s">
        <v>133</v>
      </c>
    </row>
    <row r="38" spans="1:42" ht="15.6">
      <c r="A38" s="1" t="s">
        <v>46</v>
      </c>
      <c r="B38" s="1" t="s">
        <v>134</v>
      </c>
      <c r="C38" s="1" t="s">
        <v>134</v>
      </c>
      <c r="E38" s="14" t="s">
        <v>135</v>
      </c>
      <c r="G38" s="16"/>
      <c r="M38">
        <v>1</v>
      </c>
      <c r="N38">
        <v>28</v>
      </c>
      <c r="O38">
        <v>0</v>
      </c>
      <c r="P38">
        <v>28.38</v>
      </c>
      <c r="Q38">
        <v>794.54</v>
      </c>
      <c r="W38">
        <v>400184</v>
      </c>
      <c r="AE38">
        <v>0</v>
      </c>
      <c r="AP38" t="s">
        <v>136</v>
      </c>
    </row>
    <row r="39" spans="1:42" ht="15.6">
      <c r="A39" s="1" t="s">
        <v>46</v>
      </c>
      <c r="B39" s="1" t="s">
        <v>137</v>
      </c>
      <c r="C39" s="1" t="s">
        <v>137</v>
      </c>
      <c r="E39" s="14" t="s">
        <v>138</v>
      </c>
      <c r="G39" s="16"/>
      <c r="M39">
        <v>1</v>
      </c>
      <c r="N39">
        <v>511</v>
      </c>
      <c r="O39">
        <v>0</v>
      </c>
      <c r="P39">
        <v>5</v>
      </c>
      <c r="Q39">
        <v>2555</v>
      </c>
      <c r="R39">
        <v>0</v>
      </c>
      <c r="S39">
        <v>0</v>
      </c>
      <c r="T39" t="s">
        <v>52</v>
      </c>
      <c r="U39">
        <v>0</v>
      </c>
      <c r="V39">
        <v>0</v>
      </c>
      <c r="W39">
        <v>400130</v>
      </c>
      <c r="AE39">
        <v>0</v>
      </c>
      <c r="AP39" t="s">
        <v>139</v>
      </c>
    </row>
    <row r="40" spans="1:42" ht="15.6">
      <c r="E40" s="14" t="s">
        <v>140</v>
      </c>
      <c r="G40" s="16">
        <v>95</v>
      </c>
    </row>
    <row r="41" spans="1:42" ht="15.6">
      <c r="E41" s="14" t="s">
        <v>141</v>
      </c>
      <c r="G41" s="16"/>
    </row>
    <row r="42" spans="1:42" ht="15.6">
      <c r="A42" s="1" t="s">
        <v>46</v>
      </c>
      <c r="B42" s="1" t="s">
        <v>142</v>
      </c>
      <c r="C42" s="1" t="s">
        <v>142</v>
      </c>
      <c r="E42" s="14" t="s">
        <v>143</v>
      </c>
      <c r="G42" s="16">
        <v>145</v>
      </c>
      <c r="M42">
        <v>1</v>
      </c>
      <c r="N42">
        <v>155</v>
      </c>
      <c r="O42">
        <v>0</v>
      </c>
      <c r="P42">
        <v>3.25</v>
      </c>
      <c r="Q42">
        <v>503.75</v>
      </c>
      <c r="R42">
        <v>0</v>
      </c>
      <c r="S42">
        <v>0</v>
      </c>
      <c r="T42">
        <v>0</v>
      </c>
      <c r="U42">
        <v>0</v>
      </c>
      <c r="V42">
        <v>0</v>
      </c>
      <c r="W42">
        <v>410120</v>
      </c>
      <c r="AE42">
        <v>0</v>
      </c>
      <c r="AP42" t="s">
        <v>112</v>
      </c>
    </row>
    <row r="43" spans="1:42" ht="15.6">
      <c r="A43" s="1" t="s">
        <v>46</v>
      </c>
      <c r="B43" s="1" t="s">
        <v>144</v>
      </c>
      <c r="C43" s="1" t="s">
        <v>144</v>
      </c>
      <c r="E43" s="14" t="s">
        <v>145</v>
      </c>
      <c r="G43" s="16"/>
      <c r="M43">
        <v>1</v>
      </c>
      <c r="N43">
        <v>60</v>
      </c>
      <c r="O43">
        <v>0</v>
      </c>
      <c r="P43">
        <v>0.5</v>
      </c>
      <c r="Q43">
        <v>30</v>
      </c>
      <c r="R43">
        <v>0</v>
      </c>
      <c r="S43">
        <v>0</v>
      </c>
      <c r="T43" t="s">
        <v>52</v>
      </c>
      <c r="U43">
        <v>0</v>
      </c>
      <c r="V43">
        <v>0</v>
      </c>
      <c r="W43">
        <v>410120</v>
      </c>
      <c r="AE43">
        <v>0</v>
      </c>
      <c r="AP43" t="s">
        <v>112</v>
      </c>
    </row>
    <row r="44" spans="1:42" ht="15.6">
      <c r="E44" s="14" t="s">
        <v>146</v>
      </c>
      <c r="G44" s="16"/>
    </row>
    <row r="45" spans="1:42" ht="15.6">
      <c r="E45" s="14" t="s">
        <v>147</v>
      </c>
      <c r="G45" s="16"/>
    </row>
    <row r="46" spans="1:42" ht="15.6">
      <c r="A46" s="1" t="s">
        <v>46</v>
      </c>
      <c r="B46" s="1" t="s">
        <v>148</v>
      </c>
      <c r="C46" s="1" t="s">
        <v>148</v>
      </c>
      <c r="E46" s="14" t="s">
        <v>149</v>
      </c>
      <c r="G46" s="16"/>
      <c r="M46">
        <v>1</v>
      </c>
      <c r="N46">
        <v>6</v>
      </c>
      <c r="O46">
        <v>0</v>
      </c>
      <c r="P46">
        <v>27.17</v>
      </c>
      <c r="Q46">
        <v>163.02000000000001</v>
      </c>
      <c r="W46">
        <v>400208</v>
      </c>
      <c r="AE46">
        <v>0</v>
      </c>
      <c r="AP46" t="s">
        <v>150</v>
      </c>
    </row>
    <row r="47" spans="1:42" ht="15.6">
      <c r="E47" s="14" t="s">
        <v>151</v>
      </c>
      <c r="G47" s="16">
        <v>75</v>
      </c>
    </row>
    <row r="48" spans="1:42" ht="15.6">
      <c r="A48" s="1" t="s">
        <v>46</v>
      </c>
      <c r="B48" s="1" t="s">
        <v>152</v>
      </c>
      <c r="C48" s="1" t="s">
        <v>152</v>
      </c>
      <c r="E48" s="14" t="s">
        <v>153</v>
      </c>
      <c r="G48" s="16"/>
      <c r="M48">
        <v>1</v>
      </c>
      <c r="N48">
        <v>4</v>
      </c>
      <c r="O48">
        <v>0</v>
      </c>
      <c r="P48">
        <v>20</v>
      </c>
      <c r="Q48">
        <v>80</v>
      </c>
      <c r="R48">
        <v>0</v>
      </c>
      <c r="S48">
        <v>0</v>
      </c>
      <c r="T48">
        <v>0</v>
      </c>
      <c r="U48">
        <v>0</v>
      </c>
      <c r="V48">
        <v>0</v>
      </c>
      <c r="W48">
        <v>400042</v>
      </c>
      <c r="AE48">
        <v>0</v>
      </c>
      <c r="AP48" t="s">
        <v>154</v>
      </c>
    </row>
    <row r="49" spans="1:42" ht="15.6">
      <c r="E49" s="14" t="s">
        <v>155</v>
      </c>
      <c r="G49" s="16"/>
    </row>
    <row r="50" spans="1:42" ht="15.6">
      <c r="A50" s="1" t="s">
        <v>46</v>
      </c>
      <c r="B50" s="1" t="s">
        <v>156</v>
      </c>
      <c r="C50" s="1" t="s">
        <v>156</v>
      </c>
      <c r="E50" s="14" t="s">
        <v>157</v>
      </c>
      <c r="G50" s="16"/>
      <c r="M50">
        <v>1</v>
      </c>
      <c r="N50">
        <v>657</v>
      </c>
      <c r="O50">
        <v>0</v>
      </c>
      <c r="P50">
        <v>20</v>
      </c>
      <c r="Q50">
        <v>13140</v>
      </c>
      <c r="R50">
        <v>0</v>
      </c>
      <c r="S50">
        <v>0</v>
      </c>
      <c r="T50">
        <v>0</v>
      </c>
      <c r="U50">
        <v>0</v>
      </c>
      <c r="V50">
        <v>0</v>
      </c>
      <c r="W50">
        <v>400042</v>
      </c>
      <c r="AE50">
        <v>0</v>
      </c>
      <c r="AP50" t="s">
        <v>154</v>
      </c>
    </row>
    <row r="51" spans="1:42">
      <c r="A51" s="1" t="s">
        <v>46</v>
      </c>
      <c r="B51" s="1" t="s">
        <v>158</v>
      </c>
      <c r="C51" s="1" t="s">
        <v>158</v>
      </c>
      <c r="E51" s="4" t="s">
        <v>159</v>
      </c>
      <c r="G51" s="16">
        <v>5</v>
      </c>
      <c r="M51">
        <v>1</v>
      </c>
      <c r="N51">
        <v>7</v>
      </c>
      <c r="O51">
        <v>0</v>
      </c>
      <c r="P51">
        <v>2.2200000000000002</v>
      </c>
      <c r="Q51">
        <v>15.54</v>
      </c>
      <c r="W51">
        <v>400030</v>
      </c>
      <c r="AE51">
        <v>0</v>
      </c>
      <c r="AP51" t="s">
        <v>92</v>
      </c>
    </row>
    <row r="52" spans="1:42">
      <c r="A52" s="1" t="s">
        <v>46</v>
      </c>
      <c r="B52" s="1" t="s">
        <v>160</v>
      </c>
      <c r="C52" s="1" t="s">
        <v>160</v>
      </c>
      <c r="E52" s="4" t="s">
        <v>161</v>
      </c>
      <c r="G52" s="16">
        <v>3.5</v>
      </c>
      <c r="I52">
        <v>2</v>
      </c>
      <c r="M52">
        <v>1</v>
      </c>
      <c r="N52">
        <v>5078</v>
      </c>
      <c r="O52">
        <v>0</v>
      </c>
      <c r="P52">
        <v>0.85</v>
      </c>
      <c r="Q52">
        <v>4316.3</v>
      </c>
      <c r="R52">
        <v>0</v>
      </c>
      <c r="S52">
        <v>0</v>
      </c>
      <c r="T52" t="s">
        <v>52</v>
      </c>
      <c r="U52">
        <v>0</v>
      </c>
      <c r="V52">
        <v>0</v>
      </c>
      <c r="W52">
        <v>410298</v>
      </c>
      <c r="X52" t="s">
        <v>56</v>
      </c>
      <c r="Y52" t="s">
        <v>57</v>
      </c>
      <c r="AE52">
        <v>0</v>
      </c>
      <c r="AH52">
        <v>2</v>
      </c>
      <c r="AP52" t="s">
        <v>162</v>
      </c>
    </row>
    <row r="53" spans="1:42">
      <c r="A53" s="1" t="s">
        <v>46</v>
      </c>
      <c r="B53" s="1" t="s">
        <v>163</v>
      </c>
      <c r="C53" s="1" t="s">
        <v>163</v>
      </c>
      <c r="E53" s="4" t="s">
        <v>164</v>
      </c>
      <c r="G53" s="16">
        <v>2.75</v>
      </c>
      <c r="M53">
        <v>1</v>
      </c>
      <c r="N53">
        <v>7</v>
      </c>
      <c r="O53">
        <v>0</v>
      </c>
      <c r="P53">
        <v>1.25</v>
      </c>
      <c r="Q53">
        <v>8.75</v>
      </c>
      <c r="R53">
        <v>0</v>
      </c>
      <c r="S53">
        <v>0</v>
      </c>
      <c r="T53" t="s">
        <v>52</v>
      </c>
      <c r="W53">
        <v>400042</v>
      </c>
      <c r="AE53">
        <v>0</v>
      </c>
      <c r="AP53" t="s">
        <v>154</v>
      </c>
    </row>
    <row r="54" spans="1:42">
      <c r="A54" s="1" t="s">
        <v>46</v>
      </c>
      <c r="B54" s="1" t="s">
        <v>165</v>
      </c>
      <c r="C54" s="1" t="s">
        <v>165</v>
      </c>
      <c r="E54" s="4" t="s">
        <v>166</v>
      </c>
      <c r="G54" s="16">
        <v>3</v>
      </c>
      <c r="M54">
        <v>1</v>
      </c>
      <c r="N54">
        <v>20</v>
      </c>
      <c r="O54">
        <v>0</v>
      </c>
      <c r="P54">
        <v>1.5</v>
      </c>
      <c r="Q54">
        <v>30</v>
      </c>
      <c r="R54">
        <v>0</v>
      </c>
      <c r="S54">
        <v>0</v>
      </c>
      <c r="T54" t="s">
        <v>52</v>
      </c>
      <c r="U54">
        <v>0</v>
      </c>
      <c r="V54">
        <v>0</v>
      </c>
      <c r="W54">
        <v>400042</v>
      </c>
      <c r="X54" t="s">
        <v>56</v>
      </c>
      <c r="Y54" t="s">
        <v>57</v>
      </c>
      <c r="AE54">
        <v>0</v>
      </c>
      <c r="AP54" t="s">
        <v>154</v>
      </c>
    </row>
    <row r="55" spans="1:42">
      <c r="A55" s="1" t="s">
        <v>46</v>
      </c>
      <c r="B55" s="1" t="s">
        <v>167</v>
      </c>
      <c r="C55" s="1" t="s">
        <v>167</v>
      </c>
      <c r="E55" s="4" t="s">
        <v>168</v>
      </c>
      <c r="G55" s="16">
        <v>3</v>
      </c>
      <c r="M55">
        <v>1</v>
      </c>
      <c r="N55">
        <v>804</v>
      </c>
      <c r="O55">
        <v>0</v>
      </c>
      <c r="P55">
        <v>0.8</v>
      </c>
      <c r="Q55">
        <v>643.20000000000005</v>
      </c>
      <c r="R55">
        <v>0</v>
      </c>
      <c r="S55">
        <v>0</v>
      </c>
      <c r="T55" t="s">
        <v>52</v>
      </c>
      <c r="U55">
        <v>0</v>
      </c>
      <c r="V55">
        <v>0</v>
      </c>
      <c r="W55">
        <v>400061</v>
      </c>
      <c r="X55" t="s">
        <v>56</v>
      </c>
      <c r="Y55" t="s">
        <v>57</v>
      </c>
      <c r="AE55">
        <v>0</v>
      </c>
      <c r="AP55" t="s">
        <v>169</v>
      </c>
    </row>
    <row r="56" spans="1:42">
      <c r="A56" s="1" t="s">
        <v>46</v>
      </c>
      <c r="B56" s="1" t="s">
        <v>170</v>
      </c>
      <c r="C56" s="1" t="s">
        <v>170</v>
      </c>
      <c r="E56" s="4" t="s">
        <v>171</v>
      </c>
      <c r="G56" s="16">
        <v>1</v>
      </c>
      <c r="I56">
        <v>0.8</v>
      </c>
      <c r="M56">
        <v>1</v>
      </c>
      <c r="N56">
        <v>344</v>
      </c>
      <c r="O56">
        <v>0</v>
      </c>
      <c r="P56">
        <v>0.26</v>
      </c>
      <c r="Q56">
        <v>89.22</v>
      </c>
      <c r="R56" t="s">
        <v>172</v>
      </c>
      <c r="S56">
        <v>0</v>
      </c>
      <c r="T56" t="s">
        <v>52</v>
      </c>
      <c r="U56">
        <v>0</v>
      </c>
      <c r="V56">
        <v>0</v>
      </c>
      <c r="W56">
        <v>400194</v>
      </c>
      <c r="AE56">
        <v>0</v>
      </c>
      <c r="AH56">
        <v>0.8</v>
      </c>
      <c r="AP56" t="s">
        <v>173</v>
      </c>
    </row>
    <row r="57" spans="1:42">
      <c r="A57" s="1" t="s">
        <v>46</v>
      </c>
      <c r="B57" s="1" t="s">
        <v>174</v>
      </c>
      <c r="C57" s="1" t="s">
        <v>174</v>
      </c>
      <c r="E57" s="4" t="s">
        <v>175</v>
      </c>
      <c r="G57" s="16">
        <v>1.5</v>
      </c>
      <c r="M57">
        <v>1</v>
      </c>
      <c r="N57">
        <v>-5</v>
      </c>
      <c r="O57">
        <v>0</v>
      </c>
      <c r="P57">
        <v>5</v>
      </c>
      <c r="Q57">
        <v>-25</v>
      </c>
      <c r="R57" t="s">
        <v>176</v>
      </c>
      <c r="T57" t="s">
        <v>52</v>
      </c>
      <c r="W57">
        <v>410302</v>
      </c>
      <c r="AE57">
        <v>0</v>
      </c>
      <c r="AP57" t="s">
        <v>177</v>
      </c>
    </row>
    <row r="58" spans="1:42">
      <c r="A58" s="1" t="s">
        <v>46</v>
      </c>
      <c r="B58" s="1" t="s">
        <v>178</v>
      </c>
      <c r="C58" s="1" t="s">
        <v>178</v>
      </c>
      <c r="E58" s="4" t="s">
        <v>179</v>
      </c>
      <c r="G58" s="16">
        <v>1</v>
      </c>
      <c r="M58">
        <v>1</v>
      </c>
      <c r="N58">
        <v>-5.5</v>
      </c>
      <c r="O58">
        <v>0</v>
      </c>
      <c r="P58">
        <v>20</v>
      </c>
      <c r="Q58">
        <v>-110</v>
      </c>
      <c r="R58">
        <v>0</v>
      </c>
      <c r="S58">
        <v>0</v>
      </c>
      <c r="T58">
        <v>0</v>
      </c>
      <c r="U58">
        <v>0</v>
      </c>
      <c r="V58">
        <v>0</v>
      </c>
      <c r="W58">
        <v>400033</v>
      </c>
      <c r="X58" t="s">
        <v>56</v>
      </c>
      <c r="Y58" t="s">
        <v>57</v>
      </c>
      <c r="AE58">
        <v>0</v>
      </c>
      <c r="AP58" t="s">
        <v>126</v>
      </c>
    </row>
    <row r="59" spans="1:42">
      <c r="A59" s="1" t="s">
        <v>46</v>
      </c>
      <c r="B59" s="1" t="s">
        <v>180</v>
      </c>
      <c r="C59" s="1" t="s">
        <v>180</v>
      </c>
      <c r="E59" s="4" t="s">
        <v>181</v>
      </c>
      <c r="G59" s="16">
        <v>1.5</v>
      </c>
      <c r="I59">
        <v>1</v>
      </c>
      <c r="M59">
        <v>1</v>
      </c>
      <c r="N59">
        <v>2076</v>
      </c>
      <c r="O59">
        <v>0</v>
      </c>
      <c r="P59">
        <v>0.23</v>
      </c>
      <c r="Q59">
        <v>477.48</v>
      </c>
      <c r="R59">
        <v>0</v>
      </c>
      <c r="S59">
        <v>0</v>
      </c>
      <c r="T59" t="s">
        <v>52</v>
      </c>
      <c r="U59">
        <v>0</v>
      </c>
      <c r="V59">
        <v>0</v>
      </c>
      <c r="W59">
        <v>400033</v>
      </c>
      <c r="X59" t="s">
        <v>56</v>
      </c>
      <c r="Y59" t="s">
        <v>57</v>
      </c>
      <c r="AE59">
        <v>0</v>
      </c>
      <c r="AH59">
        <v>1</v>
      </c>
      <c r="AP59" t="s">
        <v>126</v>
      </c>
    </row>
    <row r="60" spans="1:42">
      <c r="A60" s="1" t="s">
        <v>46</v>
      </c>
      <c r="B60" s="1" t="s">
        <v>182</v>
      </c>
      <c r="C60" s="1" t="s">
        <v>182</v>
      </c>
      <c r="E60" s="4" t="s">
        <v>183</v>
      </c>
      <c r="G60" s="16">
        <v>1</v>
      </c>
      <c r="M60">
        <v>1</v>
      </c>
      <c r="N60">
        <v>1185</v>
      </c>
      <c r="O60">
        <v>0</v>
      </c>
      <c r="P60">
        <v>0.39</v>
      </c>
      <c r="Q60">
        <v>457.65</v>
      </c>
      <c r="R60">
        <v>0</v>
      </c>
      <c r="S60">
        <v>0</v>
      </c>
      <c r="T60" t="s">
        <v>17</v>
      </c>
      <c r="U60">
        <v>0</v>
      </c>
      <c r="V60">
        <v>0</v>
      </c>
      <c r="W60">
        <v>400125</v>
      </c>
      <c r="AE60">
        <v>0</v>
      </c>
      <c r="AP60" t="s">
        <v>184</v>
      </c>
    </row>
    <row r="61" spans="1:42">
      <c r="A61" s="1" t="s">
        <v>46</v>
      </c>
      <c r="B61" s="1" t="s">
        <v>185</v>
      </c>
      <c r="C61" s="1" t="s">
        <v>185</v>
      </c>
      <c r="E61" s="4" t="s">
        <v>186</v>
      </c>
      <c r="G61" s="16">
        <v>1.5</v>
      </c>
      <c r="M61">
        <v>1</v>
      </c>
      <c r="N61">
        <v>-7</v>
      </c>
      <c r="O61">
        <v>0</v>
      </c>
      <c r="P61">
        <v>4.91</v>
      </c>
      <c r="Q61">
        <v>-34.4</v>
      </c>
      <c r="R61">
        <v>0</v>
      </c>
      <c r="S61">
        <v>0</v>
      </c>
      <c r="T61" t="s">
        <v>52</v>
      </c>
      <c r="U61">
        <v>0</v>
      </c>
      <c r="V61">
        <v>0</v>
      </c>
      <c r="W61">
        <v>400026</v>
      </c>
      <c r="AE61">
        <v>0</v>
      </c>
      <c r="AP61" t="s">
        <v>187</v>
      </c>
    </row>
    <row r="62" spans="1:42">
      <c r="A62" s="1" t="s">
        <v>46</v>
      </c>
      <c r="B62" s="1" t="s">
        <v>188</v>
      </c>
      <c r="C62" s="1" t="s">
        <v>188</v>
      </c>
      <c r="E62" s="4" t="s">
        <v>189</v>
      </c>
      <c r="G62" s="16">
        <v>50</v>
      </c>
      <c r="M62">
        <v>1</v>
      </c>
      <c r="N62">
        <v>-41</v>
      </c>
      <c r="O62">
        <v>0</v>
      </c>
      <c r="P62">
        <v>21.98</v>
      </c>
      <c r="Q62">
        <v>-901.1</v>
      </c>
      <c r="R62">
        <v>0</v>
      </c>
      <c r="S62">
        <v>0</v>
      </c>
      <c r="T62" t="s">
        <v>52</v>
      </c>
      <c r="W62">
        <v>400159</v>
      </c>
      <c r="AE62">
        <v>0</v>
      </c>
      <c r="AP62" t="s">
        <v>190</v>
      </c>
    </row>
    <row r="63" spans="1:42">
      <c r="A63" s="1" t="s">
        <v>46</v>
      </c>
      <c r="B63" s="1" t="s">
        <v>191</v>
      </c>
      <c r="C63" s="1" t="s">
        <v>191</v>
      </c>
      <c r="E63" s="4" t="s">
        <v>192</v>
      </c>
      <c r="G63" s="16">
        <v>35</v>
      </c>
      <c r="M63">
        <v>1</v>
      </c>
      <c r="N63">
        <v>3</v>
      </c>
      <c r="O63">
        <v>0</v>
      </c>
      <c r="P63">
        <v>7.75</v>
      </c>
      <c r="Q63">
        <v>23.25</v>
      </c>
      <c r="R63">
        <v>0</v>
      </c>
      <c r="S63">
        <v>0</v>
      </c>
      <c r="T63" t="s">
        <v>52</v>
      </c>
      <c r="U63">
        <v>0</v>
      </c>
      <c r="V63">
        <v>0</v>
      </c>
      <c r="W63">
        <v>410120</v>
      </c>
      <c r="X63" t="s">
        <v>56</v>
      </c>
      <c r="Y63" t="s">
        <v>57</v>
      </c>
      <c r="AE63">
        <v>0</v>
      </c>
      <c r="AP63" t="s">
        <v>112</v>
      </c>
    </row>
    <row r="64" spans="1:42">
      <c r="A64" s="1" t="s">
        <v>46</v>
      </c>
      <c r="B64" s="1" t="s">
        <v>193</v>
      </c>
      <c r="C64" s="1" t="s">
        <v>193</v>
      </c>
      <c r="E64" s="4" t="s">
        <v>194</v>
      </c>
      <c r="G64" s="16">
        <v>35</v>
      </c>
      <c r="M64">
        <v>1</v>
      </c>
      <c r="N64">
        <v>101</v>
      </c>
      <c r="O64">
        <v>0</v>
      </c>
      <c r="P64">
        <v>22.99</v>
      </c>
      <c r="Q64">
        <v>2321.6</v>
      </c>
      <c r="R64">
        <v>0</v>
      </c>
      <c r="S64">
        <v>0</v>
      </c>
      <c r="T64" t="s">
        <v>52</v>
      </c>
      <c r="U64">
        <v>0</v>
      </c>
      <c r="V64">
        <v>0</v>
      </c>
      <c r="W64">
        <v>400215</v>
      </c>
      <c r="AE64">
        <v>0</v>
      </c>
      <c r="AP64" t="s">
        <v>195</v>
      </c>
    </row>
    <row r="65" spans="1:42">
      <c r="A65" s="1" t="s">
        <v>46</v>
      </c>
      <c r="B65" s="1" t="s">
        <v>196</v>
      </c>
      <c r="C65" s="1" t="s">
        <v>196</v>
      </c>
      <c r="E65" s="4" t="s">
        <v>197</v>
      </c>
      <c r="G65" s="16">
        <v>35</v>
      </c>
      <c r="M65">
        <v>1</v>
      </c>
      <c r="N65">
        <v>20</v>
      </c>
      <c r="O65">
        <v>0</v>
      </c>
      <c r="P65">
        <v>3</v>
      </c>
      <c r="Q65">
        <v>60</v>
      </c>
      <c r="W65">
        <v>410260</v>
      </c>
      <c r="AE65">
        <v>0</v>
      </c>
      <c r="AP65" t="s">
        <v>198</v>
      </c>
    </row>
    <row r="66" spans="1:42">
      <c r="A66" s="1" t="s">
        <v>46</v>
      </c>
      <c r="B66" s="1" t="s">
        <v>199</v>
      </c>
      <c r="C66" s="1" t="s">
        <v>199</v>
      </c>
      <c r="E66" s="4" t="s">
        <v>200</v>
      </c>
      <c r="G66" s="16">
        <v>18</v>
      </c>
      <c r="M66">
        <v>1</v>
      </c>
      <c r="N66">
        <v>7</v>
      </c>
      <c r="O66">
        <v>0</v>
      </c>
      <c r="P66">
        <v>15.35</v>
      </c>
      <c r="Q66">
        <v>107.47</v>
      </c>
      <c r="R66">
        <v>0</v>
      </c>
      <c r="S66">
        <v>0</v>
      </c>
      <c r="T66" t="s">
        <v>52</v>
      </c>
      <c r="W66">
        <v>400160</v>
      </c>
      <c r="AE66">
        <v>0</v>
      </c>
      <c r="AP66" t="s">
        <v>201</v>
      </c>
    </row>
    <row r="67" spans="1:42">
      <c r="A67" s="1" t="s">
        <v>46</v>
      </c>
      <c r="B67" s="1" t="s">
        <v>202</v>
      </c>
      <c r="C67" s="1" t="s">
        <v>202</v>
      </c>
      <c r="E67" s="4" t="s">
        <v>203</v>
      </c>
      <c r="G67" s="16">
        <v>0.5</v>
      </c>
      <c r="M67">
        <v>1</v>
      </c>
      <c r="N67">
        <v>18</v>
      </c>
      <c r="O67">
        <v>0</v>
      </c>
      <c r="P67">
        <v>20.56</v>
      </c>
      <c r="Q67">
        <v>370.13</v>
      </c>
      <c r="R67">
        <v>0</v>
      </c>
      <c r="S67">
        <v>0</v>
      </c>
      <c r="T67" t="s">
        <v>52</v>
      </c>
      <c r="W67">
        <v>400160</v>
      </c>
      <c r="AE67">
        <v>0</v>
      </c>
      <c r="AP67" t="s">
        <v>201</v>
      </c>
    </row>
    <row r="68" spans="1:42">
      <c r="A68" s="1" t="s">
        <v>46</v>
      </c>
      <c r="B68" s="1" t="s">
        <v>204</v>
      </c>
      <c r="C68" s="1" t="s">
        <v>204</v>
      </c>
      <c r="E68" s="4" t="s">
        <v>205</v>
      </c>
      <c r="G68" s="16">
        <v>0.65</v>
      </c>
      <c r="M68">
        <v>1</v>
      </c>
      <c r="N68">
        <v>4</v>
      </c>
      <c r="O68">
        <v>0</v>
      </c>
      <c r="P68">
        <v>47</v>
      </c>
      <c r="Q68">
        <v>188</v>
      </c>
      <c r="R68">
        <v>0</v>
      </c>
      <c r="S68">
        <v>0</v>
      </c>
      <c r="T68" t="s">
        <v>52</v>
      </c>
      <c r="U68">
        <v>0</v>
      </c>
      <c r="V68">
        <v>0</v>
      </c>
      <c r="W68">
        <v>400029</v>
      </c>
      <c r="AE68">
        <v>0</v>
      </c>
      <c r="AP68" t="s">
        <v>206</v>
      </c>
    </row>
    <row r="69" spans="1:42">
      <c r="A69" s="1" t="s">
        <v>46</v>
      </c>
      <c r="B69" s="1" t="s">
        <v>207</v>
      </c>
      <c r="C69" s="1" t="s">
        <v>207</v>
      </c>
      <c r="E69" s="4" t="s">
        <v>208</v>
      </c>
      <c r="G69" s="16">
        <v>0.75</v>
      </c>
      <c r="I69">
        <v>1</v>
      </c>
      <c r="M69">
        <v>1</v>
      </c>
      <c r="N69">
        <v>395.3</v>
      </c>
      <c r="O69">
        <v>0</v>
      </c>
      <c r="P69">
        <v>5.99</v>
      </c>
      <c r="Q69">
        <v>2369.4699999999998</v>
      </c>
      <c r="R69" t="s">
        <v>172</v>
      </c>
      <c r="S69">
        <v>0</v>
      </c>
      <c r="T69" t="s">
        <v>209</v>
      </c>
      <c r="U69">
        <v>0</v>
      </c>
      <c r="V69">
        <v>0</v>
      </c>
      <c r="W69">
        <v>400002</v>
      </c>
      <c r="X69" t="s">
        <v>56</v>
      </c>
      <c r="Y69" t="s">
        <v>57</v>
      </c>
      <c r="AE69">
        <v>0</v>
      </c>
      <c r="AF69">
        <v>1.75</v>
      </c>
      <c r="AH69">
        <v>1</v>
      </c>
      <c r="AP69" t="s">
        <v>116</v>
      </c>
    </row>
    <row r="70" spans="1:42">
      <c r="A70" s="1" t="s">
        <v>46</v>
      </c>
      <c r="B70" s="1" t="s">
        <v>210</v>
      </c>
      <c r="C70" s="1" t="s">
        <v>210</v>
      </c>
      <c r="E70" s="4" t="s">
        <v>211</v>
      </c>
      <c r="G70" s="16">
        <v>1.75</v>
      </c>
      <c r="I70">
        <v>8.89</v>
      </c>
      <c r="M70">
        <v>1</v>
      </c>
      <c r="N70">
        <v>27</v>
      </c>
      <c r="O70">
        <v>0</v>
      </c>
      <c r="P70">
        <v>44.14</v>
      </c>
      <c r="Q70">
        <v>1191.8</v>
      </c>
      <c r="R70" t="s">
        <v>212</v>
      </c>
      <c r="S70">
        <v>0</v>
      </c>
      <c r="T70" t="s">
        <v>209</v>
      </c>
      <c r="U70">
        <v>0</v>
      </c>
      <c r="V70">
        <v>0</v>
      </c>
      <c r="W70">
        <v>400159</v>
      </c>
      <c r="AE70">
        <v>0</v>
      </c>
      <c r="AH70">
        <v>8.89</v>
      </c>
      <c r="AP70" t="s">
        <v>190</v>
      </c>
    </row>
    <row r="71" spans="1:42">
      <c r="A71" s="1" t="s">
        <v>46</v>
      </c>
      <c r="B71" s="1" t="s">
        <v>213</v>
      </c>
      <c r="C71" s="1" t="s">
        <v>213</v>
      </c>
      <c r="E71" s="4" t="s">
        <v>214</v>
      </c>
      <c r="G71" s="16"/>
      <c r="M71">
        <v>1</v>
      </c>
      <c r="N71">
        <v>42</v>
      </c>
      <c r="O71">
        <v>0</v>
      </c>
      <c r="P71">
        <v>15.59</v>
      </c>
      <c r="Q71">
        <v>654.91999999999996</v>
      </c>
      <c r="R71">
        <v>0</v>
      </c>
      <c r="S71">
        <v>0</v>
      </c>
      <c r="T71" t="s">
        <v>209</v>
      </c>
      <c r="U71">
        <v>0</v>
      </c>
      <c r="V71">
        <v>0</v>
      </c>
      <c r="W71">
        <v>400160</v>
      </c>
      <c r="AE71">
        <v>0</v>
      </c>
      <c r="AP71" t="s">
        <v>201</v>
      </c>
    </row>
    <row r="72" spans="1:42">
      <c r="A72" s="1" t="s">
        <v>46</v>
      </c>
      <c r="B72" s="1" t="s">
        <v>215</v>
      </c>
      <c r="C72" s="1" t="s">
        <v>215</v>
      </c>
      <c r="E72" s="4" t="s">
        <v>216</v>
      </c>
      <c r="G72" s="16"/>
      <c r="I72">
        <v>1</v>
      </c>
      <c r="M72">
        <v>1</v>
      </c>
      <c r="N72">
        <v>-3</v>
      </c>
      <c r="O72">
        <v>0</v>
      </c>
      <c r="P72">
        <v>0.8</v>
      </c>
      <c r="Q72">
        <v>-2.4</v>
      </c>
      <c r="R72">
        <v>0</v>
      </c>
      <c r="S72">
        <v>0</v>
      </c>
      <c r="T72" t="s">
        <v>52</v>
      </c>
      <c r="U72">
        <v>0</v>
      </c>
      <c r="V72">
        <v>0</v>
      </c>
      <c r="W72">
        <v>400045</v>
      </c>
      <c r="AE72">
        <v>0</v>
      </c>
      <c r="AH72">
        <v>1</v>
      </c>
      <c r="AP72" t="s">
        <v>217</v>
      </c>
    </row>
    <row r="73" spans="1:42">
      <c r="A73" s="1" t="s">
        <v>46</v>
      </c>
      <c r="B73" s="1" t="s">
        <v>218</v>
      </c>
      <c r="C73" s="1" t="s">
        <v>218</v>
      </c>
      <c r="E73" s="4" t="s">
        <v>219</v>
      </c>
      <c r="G73" s="16"/>
      <c r="I73">
        <v>0.75</v>
      </c>
      <c r="M73">
        <v>1</v>
      </c>
      <c r="N73">
        <v>1809</v>
      </c>
      <c r="O73">
        <v>0</v>
      </c>
      <c r="P73">
        <v>0.28000000000000003</v>
      </c>
      <c r="Q73">
        <v>497.48</v>
      </c>
      <c r="R73" t="s">
        <v>172</v>
      </c>
      <c r="S73">
        <v>0</v>
      </c>
      <c r="T73" t="s">
        <v>52</v>
      </c>
      <c r="U73">
        <v>0</v>
      </c>
      <c r="V73">
        <v>0</v>
      </c>
      <c r="W73">
        <v>400112</v>
      </c>
      <c r="AE73">
        <v>0</v>
      </c>
      <c r="AH73">
        <v>0.75</v>
      </c>
      <c r="AP73" t="s">
        <v>220</v>
      </c>
    </row>
    <row r="74" spans="1:42">
      <c r="A74" s="1" t="s">
        <v>46</v>
      </c>
      <c r="B74" s="1" t="s">
        <v>221</v>
      </c>
      <c r="C74" s="1" t="s">
        <v>221</v>
      </c>
      <c r="E74" s="4" t="s">
        <v>222</v>
      </c>
      <c r="G74" s="16"/>
      <c r="I74">
        <v>0.5</v>
      </c>
      <c r="M74">
        <v>1</v>
      </c>
      <c r="N74">
        <v>1521</v>
      </c>
      <c r="O74">
        <v>0</v>
      </c>
      <c r="P74">
        <v>0.28000000000000003</v>
      </c>
      <c r="Q74">
        <v>418.28</v>
      </c>
      <c r="R74" t="s">
        <v>172</v>
      </c>
      <c r="S74">
        <v>0</v>
      </c>
      <c r="T74" t="s">
        <v>52</v>
      </c>
      <c r="U74">
        <v>0</v>
      </c>
      <c r="V74">
        <v>0</v>
      </c>
      <c r="W74">
        <v>400112</v>
      </c>
      <c r="X74" t="s">
        <v>56</v>
      </c>
      <c r="Y74" t="s">
        <v>57</v>
      </c>
      <c r="AE74">
        <v>0</v>
      </c>
      <c r="AF74">
        <v>0.75</v>
      </c>
      <c r="AH74">
        <v>0.5</v>
      </c>
      <c r="AP74" t="s">
        <v>220</v>
      </c>
    </row>
    <row r="75" spans="1:42">
      <c r="A75" s="1" t="s">
        <v>46</v>
      </c>
      <c r="B75" s="1" t="s">
        <v>223</v>
      </c>
      <c r="C75" s="1" t="s">
        <v>223</v>
      </c>
      <c r="E75" s="4" t="s">
        <v>224</v>
      </c>
      <c r="G75" s="16"/>
      <c r="M75">
        <v>1</v>
      </c>
      <c r="N75">
        <v>46</v>
      </c>
      <c r="O75">
        <v>0</v>
      </c>
      <c r="P75">
        <v>2.5499999999999998</v>
      </c>
      <c r="Q75">
        <v>117.3</v>
      </c>
      <c r="R75" t="s">
        <v>176</v>
      </c>
      <c r="S75">
        <v>0</v>
      </c>
      <c r="T75" t="s">
        <v>52</v>
      </c>
      <c r="U75">
        <v>0</v>
      </c>
      <c r="V75">
        <v>0</v>
      </c>
      <c r="W75">
        <v>400061</v>
      </c>
      <c r="AE75">
        <v>0</v>
      </c>
      <c r="AP75" t="s">
        <v>169</v>
      </c>
    </row>
    <row r="76" spans="1:42">
      <c r="A76" s="1" t="s">
        <v>46</v>
      </c>
      <c r="B76" s="1" t="s">
        <v>225</v>
      </c>
      <c r="C76" s="1" t="s">
        <v>225</v>
      </c>
      <c r="E76" s="4" t="s">
        <v>226</v>
      </c>
      <c r="G76" s="16">
        <v>20</v>
      </c>
      <c r="M76">
        <v>1</v>
      </c>
      <c r="N76">
        <v>-194</v>
      </c>
      <c r="O76">
        <v>0</v>
      </c>
      <c r="P76">
        <v>45</v>
      </c>
      <c r="Q76">
        <v>-8730</v>
      </c>
      <c r="R76" t="s">
        <v>176</v>
      </c>
      <c r="S76">
        <v>0</v>
      </c>
      <c r="T76" t="s">
        <v>227</v>
      </c>
      <c r="U76">
        <v>0</v>
      </c>
      <c r="V76">
        <v>0</v>
      </c>
      <c r="W76">
        <v>400061</v>
      </c>
      <c r="X76" t="s">
        <v>56</v>
      </c>
      <c r="Y76" t="s">
        <v>57</v>
      </c>
      <c r="AE76">
        <v>0</v>
      </c>
      <c r="AP76" t="s">
        <v>169</v>
      </c>
    </row>
    <row r="77" spans="1:42">
      <c r="A77" s="1" t="s">
        <v>46</v>
      </c>
      <c r="B77" s="1" t="s">
        <v>228</v>
      </c>
      <c r="C77" s="1" t="s">
        <v>228</v>
      </c>
      <c r="E77" s="4" t="s">
        <v>229</v>
      </c>
      <c r="G77" s="16">
        <v>25</v>
      </c>
      <c r="M77">
        <v>1</v>
      </c>
      <c r="N77">
        <v>2</v>
      </c>
      <c r="O77">
        <v>0</v>
      </c>
      <c r="P77">
        <v>27</v>
      </c>
      <c r="Q77">
        <v>54</v>
      </c>
      <c r="R77" t="s">
        <v>176</v>
      </c>
      <c r="S77">
        <v>0</v>
      </c>
      <c r="T77" t="s">
        <v>227</v>
      </c>
      <c r="W77">
        <v>400042</v>
      </c>
      <c r="AE77">
        <v>0</v>
      </c>
      <c r="AP77" t="s">
        <v>154</v>
      </c>
    </row>
    <row r="78" spans="1:42">
      <c r="A78" s="1" t="s">
        <v>46</v>
      </c>
      <c r="B78" s="1" t="s">
        <v>230</v>
      </c>
      <c r="C78" s="1" t="s">
        <v>230</v>
      </c>
      <c r="E78" s="4" t="s">
        <v>231</v>
      </c>
      <c r="G78" s="16">
        <v>25</v>
      </c>
      <c r="I78">
        <v>1.3</v>
      </c>
      <c r="M78">
        <v>1</v>
      </c>
      <c r="N78">
        <v>-5</v>
      </c>
      <c r="O78">
        <v>0</v>
      </c>
      <c r="R78" t="s">
        <v>172</v>
      </c>
      <c r="S78">
        <v>0</v>
      </c>
      <c r="T78" t="s">
        <v>52</v>
      </c>
      <c r="U78">
        <v>0</v>
      </c>
      <c r="V78">
        <v>0</v>
      </c>
      <c r="W78">
        <v>400013</v>
      </c>
      <c r="AE78">
        <v>0</v>
      </c>
      <c r="AH78">
        <v>1.3</v>
      </c>
      <c r="AP78" t="s">
        <v>232</v>
      </c>
    </row>
    <row r="79" spans="1:42">
      <c r="A79" s="1" t="s">
        <v>46</v>
      </c>
      <c r="B79" s="1" t="s">
        <v>233</v>
      </c>
      <c r="C79" s="1" t="s">
        <v>233</v>
      </c>
      <c r="E79" s="4" t="s">
        <v>234</v>
      </c>
      <c r="G79" s="16">
        <v>45</v>
      </c>
      <c r="I79">
        <v>0.6</v>
      </c>
      <c r="M79">
        <v>1</v>
      </c>
      <c r="N79">
        <v>376</v>
      </c>
      <c r="O79">
        <v>0</v>
      </c>
      <c r="P79">
        <v>0.28000000000000003</v>
      </c>
      <c r="Q79">
        <v>103.4</v>
      </c>
      <c r="R79" t="s">
        <v>172</v>
      </c>
      <c r="S79">
        <v>0</v>
      </c>
      <c r="T79" t="s">
        <v>52</v>
      </c>
      <c r="U79">
        <v>0</v>
      </c>
      <c r="V79">
        <v>0</v>
      </c>
      <c r="W79">
        <v>400112</v>
      </c>
      <c r="AE79">
        <v>0</v>
      </c>
      <c r="AH79">
        <v>0.6</v>
      </c>
      <c r="AP79" t="s">
        <v>220</v>
      </c>
    </row>
    <row r="80" spans="1:42">
      <c r="A80" s="1" t="s">
        <v>46</v>
      </c>
      <c r="B80" s="1" t="s">
        <v>235</v>
      </c>
      <c r="C80" s="1" t="s">
        <v>235</v>
      </c>
      <c r="E80" s="4" t="s">
        <v>236</v>
      </c>
      <c r="G80" s="16">
        <v>35</v>
      </c>
      <c r="M80">
        <v>1</v>
      </c>
      <c r="N80">
        <v>87</v>
      </c>
      <c r="O80">
        <v>0</v>
      </c>
      <c r="P80">
        <v>1.95</v>
      </c>
      <c r="Q80">
        <v>169.65</v>
      </c>
      <c r="R80" t="s">
        <v>176</v>
      </c>
      <c r="S80">
        <v>0</v>
      </c>
      <c r="T80" t="s">
        <v>52</v>
      </c>
      <c r="U80">
        <v>0</v>
      </c>
      <c r="V80">
        <v>0</v>
      </c>
      <c r="W80">
        <v>400061</v>
      </c>
      <c r="X80" t="s">
        <v>56</v>
      </c>
      <c r="Y80" t="s">
        <v>57</v>
      </c>
      <c r="AE80">
        <v>0</v>
      </c>
      <c r="AP80" t="s">
        <v>169</v>
      </c>
    </row>
    <row r="81" spans="1:42">
      <c r="A81" s="1" t="s">
        <v>46</v>
      </c>
      <c r="B81" s="1" t="s">
        <v>237</v>
      </c>
      <c r="C81" s="1" t="s">
        <v>237</v>
      </c>
      <c r="E81" s="4" t="s">
        <v>238</v>
      </c>
      <c r="G81" s="16">
        <v>20</v>
      </c>
      <c r="I81">
        <v>0.6</v>
      </c>
      <c r="M81">
        <v>1</v>
      </c>
      <c r="N81">
        <v>288</v>
      </c>
      <c r="O81">
        <v>0</v>
      </c>
      <c r="P81">
        <v>0.19</v>
      </c>
      <c r="Q81">
        <v>54</v>
      </c>
      <c r="R81" t="s">
        <v>172</v>
      </c>
      <c r="S81">
        <v>0</v>
      </c>
      <c r="T81" t="s">
        <v>52</v>
      </c>
      <c r="U81">
        <v>0</v>
      </c>
      <c r="V81">
        <v>0</v>
      </c>
      <c r="W81">
        <v>400112</v>
      </c>
      <c r="X81" t="s">
        <v>56</v>
      </c>
      <c r="Y81" t="s">
        <v>57</v>
      </c>
      <c r="AE81">
        <v>0</v>
      </c>
      <c r="AH81">
        <v>0.6</v>
      </c>
      <c r="AP81" t="s">
        <v>220</v>
      </c>
    </row>
    <row r="82" spans="1:42">
      <c r="A82" s="1" t="s">
        <v>46</v>
      </c>
      <c r="B82" s="1" t="s">
        <v>239</v>
      </c>
      <c r="C82" s="1" t="s">
        <v>239</v>
      </c>
      <c r="E82" s="4" t="s">
        <v>240</v>
      </c>
      <c r="G82" s="16">
        <v>35</v>
      </c>
      <c r="M82">
        <v>1</v>
      </c>
      <c r="N82">
        <v>13</v>
      </c>
      <c r="O82">
        <v>0</v>
      </c>
      <c r="P82">
        <v>2.63</v>
      </c>
      <c r="Q82">
        <v>34.19</v>
      </c>
      <c r="R82" t="s">
        <v>241</v>
      </c>
      <c r="S82">
        <v>0</v>
      </c>
      <c r="T82" t="s">
        <v>52</v>
      </c>
      <c r="U82">
        <v>0</v>
      </c>
      <c r="V82">
        <v>0</v>
      </c>
      <c r="W82">
        <v>400061</v>
      </c>
      <c r="X82" t="s">
        <v>56</v>
      </c>
      <c r="Y82" t="s">
        <v>57</v>
      </c>
      <c r="AE82">
        <v>0</v>
      </c>
      <c r="AP82" t="s">
        <v>169</v>
      </c>
    </row>
    <row r="83" spans="1:42">
      <c r="A83" s="1" t="s">
        <v>46</v>
      </c>
      <c r="B83" s="1" t="s">
        <v>242</v>
      </c>
      <c r="C83" s="1" t="s">
        <v>242</v>
      </c>
      <c r="E83" s="4" t="s">
        <v>243</v>
      </c>
      <c r="G83" s="16">
        <v>20</v>
      </c>
      <c r="M83">
        <v>1</v>
      </c>
      <c r="N83">
        <v>1</v>
      </c>
      <c r="O83">
        <v>0</v>
      </c>
      <c r="P83">
        <v>7.33</v>
      </c>
      <c r="Q83">
        <v>7.33</v>
      </c>
      <c r="W83">
        <v>400061</v>
      </c>
      <c r="AE83">
        <v>0</v>
      </c>
      <c r="AP83" t="s">
        <v>169</v>
      </c>
    </row>
    <row r="84" spans="1:42">
      <c r="A84" s="1" t="s">
        <v>46</v>
      </c>
      <c r="B84" s="1" t="s">
        <v>244</v>
      </c>
      <c r="C84" s="1" t="s">
        <v>244</v>
      </c>
      <c r="E84" s="4" t="s">
        <v>245</v>
      </c>
      <c r="G84" s="16">
        <v>35</v>
      </c>
      <c r="I84">
        <v>2</v>
      </c>
      <c r="M84">
        <v>1</v>
      </c>
      <c r="N84">
        <v>5813</v>
      </c>
      <c r="O84">
        <v>0</v>
      </c>
      <c r="P84">
        <v>0.85</v>
      </c>
      <c r="Q84">
        <v>4941.05</v>
      </c>
      <c r="R84">
        <v>0</v>
      </c>
      <c r="S84">
        <v>0</v>
      </c>
      <c r="T84" t="s">
        <v>52</v>
      </c>
      <c r="U84">
        <v>0</v>
      </c>
      <c r="V84">
        <v>0</v>
      </c>
      <c r="W84">
        <v>400028</v>
      </c>
      <c r="X84" t="s">
        <v>56</v>
      </c>
      <c r="Y84" t="s">
        <v>57</v>
      </c>
      <c r="AE84">
        <v>0</v>
      </c>
      <c r="AH84">
        <v>2</v>
      </c>
      <c r="AP84" t="s">
        <v>246</v>
      </c>
    </row>
    <row r="85" spans="1:42">
      <c r="A85" s="1" t="s">
        <v>46</v>
      </c>
      <c r="B85" s="1" t="s">
        <v>247</v>
      </c>
      <c r="C85" s="1" t="s">
        <v>247</v>
      </c>
      <c r="E85" s="4" t="s">
        <v>248</v>
      </c>
      <c r="G85" s="16">
        <v>35</v>
      </c>
      <c r="M85">
        <v>1</v>
      </c>
      <c r="N85">
        <v>566</v>
      </c>
      <c r="O85">
        <v>0</v>
      </c>
      <c r="P85">
        <v>0.65</v>
      </c>
      <c r="Q85">
        <v>367.9</v>
      </c>
      <c r="R85">
        <v>0</v>
      </c>
      <c r="S85">
        <v>0</v>
      </c>
      <c r="T85" t="s">
        <v>52</v>
      </c>
      <c r="U85">
        <v>0</v>
      </c>
      <c r="V85">
        <v>0</v>
      </c>
      <c r="W85">
        <v>400061</v>
      </c>
      <c r="AE85">
        <v>0</v>
      </c>
      <c r="AP85" t="s">
        <v>169</v>
      </c>
    </row>
    <row r="86" spans="1:42">
      <c r="A86" s="1" t="s">
        <v>46</v>
      </c>
      <c r="B86" s="1" t="s">
        <v>249</v>
      </c>
      <c r="C86" s="1" t="s">
        <v>249</v>
      </c>
      <c r="E86" s="4" t="s">
        <v>250</v>
      </c>
      <c r="G86" s="16">
        <v>35</v>
      </c>
      <c r="I86">
        <v>0.75</v>
      </c>
      <c r="M86">
        <v>1</v>
      </c>
      <c r="N86">
        <v>235</v>
      </c>
      <c r="O86">
        <v>0</v>
      </c>
      <c r="P86">
        <v>0.25</v>
      </c>
      <c r="Q86">
        <v>58.75</v>
      </c>
      <c r="R86" t="s">
        <v>172</v>
      </c>
      <c r="S86">
        <v>0</v>
      </c>
      <c r="T86" t="s">
        <v>52</v>
      </c>
      <c r="U86">
        <v>0</v>
      </c>
      <c r="V86">
        <v>0</v>
      </c>
      <c r="W86">
        <v>400112</v>
      </c>
      <c r="AE86">
        <v>0</v>
      </c>
      <c r="AH86">
        <v>0.75</v>
      </c>
      <c r="AP86" t="s">
        <v>220</v>
      </c>
    </row>
    <row r="87" spans="1:42">
      <c r="A87" s="1" t="s">
        <v>46</v>
      </c>
      <c r="B87" s="1" t="s">
        <v>251</v>
      </c>
      <c r="C87" s="1" t="s">
        <v>251</v>
      </c>
      <c r="E87" s="4" t="s">
        <v>252</v>
      </c>
      <c r="G87" s="16">
        <v>20</v>
      </c>
      <c r="M87">
        <v>1</v>
      </c>
      <c r="N87">
        <v>-5</v>
      </c>
      <c r="O87">
        <v>0</v>
      </c>
      <c r="P87">
        <v>3.15</v>
      </c>
      <c r="Q87">
        <v>-15.75</v>
      </c>
      <c r="R87" t="s">
        <v>176</v>
      </c>
      <c r="S87">
        <v>0</v>
      </c>
      <c r="T87" t="s">
        <v>52</v>
      </c>
      <c r="U87">
        <v>0</v>
      </c>
      <c r="V87">
        <v>0</v>
      </c>
      <c r="W87">
        <v>400061</v>
      </c>
      <c r="AE87">
        <v>0</v>
      </c>
      <c r="AP87" t="s">
        <v>169</v>
      </c>
    </row>
    <row r="88" spans="1:42">
      <c r="A88" s="1" t="s">
        <v>46</v>
      </c>
      <c r="B88" s="1" t="s">
        <v>253</v>
      </c>
      <c r="C88" s="1" t="s">
        <v>253</v>
      </c>
      <c r="E88" s="4" t="s">
        <v>254</v>
      </c>
      <c r="G88" s="16">
        <v>37</v>
      </c>
      <c r="M88">
        <v>1</v>
      </c>
      <c r="N88">
        <v>154.5</v>
      </c>
      <c r="O88">
        <v>0</v>
      </c>
      <c r="P88">
        <v>20</v>
      </c>
      <c r="Q88">
        <v>3090</v>
      </c>
      <c r="R88">
        <v>0</v>
      </c>
      <c r="S88">
        <v>0</v>
      </c>
      <c r="T88">
        <v>0</v>
      </c>
      <c r="W88">
        <v>400033</v>
      </c>
      <c r="AE88">
        <v>0</v>
      </c>
      <c r="AP88" t="s">
        <v>126</v>
      </c>
    </row>
    <row r="89" spans="1:42">
      <c r="A89" s="1" t="s">
        <v>46</v>
      </c>
      <c r="B89" s="1" t="s">
        <v>255</v>
      </c>
      <c r="C89" s="1" t="s">
        <v>255</v>
      </c>
      <c r="E89" s="4" t="s">
        <v>256</v>
      </c>
      <c r="G89" s="16">
        <v>8</v>
      </c>
      <c r="I89">
        <v>1</v>
      </c>
      <c r="M89">
        <v>1</v>
      </c>
      <c r="N89">
        <v>1702</v>
      </c>
      <c r="O89">
        <v>0</v>
      </c>
      <c r="P89">
        <v>0.23</v>
      </c>
      <c r="Q89">
        <v>391.46</v>
      </c>
      <c r="R89">
        <v>0</v>
      </c>
      <c r="S89">
        <v>0</v>
      </c>
      <c r="T89" t="s">
        <v>52</v>
      </c>
      <c r="U89">
        <v>0</v>
      </c>
      <c r="V89">
        <v>0</v>
      </c>
      <c r="W89">
        <v>400033</v>
      </c>
      <c r="X89" t="s">
        <v>56</v>
      </c>
      <c r="Y89" t="s">
        <v>57</v>
      </c>
      <c r="AE89">
        <v>0</v>
      </c>
      <c r="AH89">
        <v>1</v>
      </c>
      <c r="AP89" t="s">
        <v>126</v>
      </c>
    </row>
    <row r="90" spans="1:42">
      <c r="A90" s="1" t="s">
        <v>46</v>
      </c>
      <c r="B90" s="1" t="s">
        <v>257</v>
      </c>
      <c r="C90" s="1" t="s">
        <v>257</v>
      </c>
      <c r="E90" s="4" t="s">
        <v>258</v>
      </c>
      <c r="G90" s="16">
        <v>8</v>
      </c>
      <c r="M90">
        <v>1</v>
      </c>
      <c r="N90">
        <v>1727</v>
      </c>
      <c r="O90">
        <v>0</v>
      </c>
      <c r="P90">
        <v>0.37</v>
      </c>
      <c r="Q90">
        <v>632.6</v>
      </c>
      <c r="R90">
        <v>0</v>
      </c>
      <c r="S90">
        <v>0</v>
      </c>
      <c r="T90" t="s">
        <v>17</v>
      </c>
      <c r="U90">
        <v>0</v>
      </c>
      <c r="V90">
        <v>0</v>
      </c>
      <c r="W90">
        <v>400215</v>
      </c>
      <c r="X90" t="s">
        <v>56</v>
      </c>
      <c r="Y90" t="s">
        <v>57</v>
      </c>
      <c r="AE90">
        <v>0</v>
      </c>
      <c r="AP90" t="s">
        <v>195</v>
      </c>
    </row>
    <row r="91" spans="1:42">
      <c r="A91" s="1" t="s">
        <v>46</v>
      </c>
      <c r="B91" s="1" t="s">
        <v>259</v>
      </c>
      <c r="C91" s="1" t="s">
        <v>259</v>
      </c>
      <c r="E91" s="4" t="s">
        <v>260</v>
      </c>
      <c r="G91" s="16">
        <v>15</v>
      </c>
      <c r="M91">
        <v>1</v>
      </c>
      <c r="N91">
        <v>-1</v>
      </c>
      <c r="O91">
        <v>0</v>
      </c>
      <c r="P91">
        <v>0.36</v>
      </c>
      <c r="Q91">
        <v>-0.36</v>
      </c>
      <c r="R91">
        <v>0</v>
      </c>
      <c r="S91">
        <v>0</v>
      </c>
      <c r="T91" t="s">
        <v>17</v>
      </c>
      <c r="W91">
        <v>400103</v>
      </c>
      <c r="AE91">
        <v>0</v>
      </c>
      <c r="AP91" t="s">
        <v>261</v>
      </c>
    </row>
    <row r="92" spans="1:42">
      <c r="A92" s="1" t="s">
        <v>46</v>
      </c>
      <c r="B92" s="1" t="s">
        <v>262</v>
      </c>
      <c r="C92" s="1" t="s">
        <v>262</v>
      </c>
      <c r="E92" s="4" t="s">
        <v>263</v>
      </c>
      <c r="G92" s="16"/>
      <c r="M92">
        <v>1</v>
      </c>
      <c r="N92">
        <v>172</v>
      </c>
      <c r="O92">
        <v>0</v>
      </c>
      <c r="P92">
        <v>0.7</v>
      </c>
      <c r="Q92">
        <v>120.4</v>
      </c>
      <c r="R92" t="s">
        <v>176</v>
      </c>
      <c r="S92">
        <v>0</v>
      </c>
      <c r="T92" t="s">
        <v>52</v>
      </c>
      <c r="U92">
        <v>0</v>
      </c>
      <c r="V92">
        <v>0</v>
      </c>
      <c r="W92">
        <v>400061</v>
      </c>
      <c r="X92" t="s">
        <v>56</v>
      </c>
      <c r="Y92" t="s">
        <v>57</v>
      </c>
      <c r="AE92">
        <v>0</v>
      </c>
      <c r="AP92" t="s">
        <v>169</v>
      </c>
    </row>
    <row r="93" spans="1:42">
      <c r="A93" s="1" t="s">
        <v>46</v>
      </c>
      <c r="B93" s="1" t="s">
        <v>264</v>
      </c>
      <c r="C93" s="1" t="s">
        <v>264</v>
      </c>
      <c r="E93" s="4" t="s">
        <v>265</v>
      </c>
      <c r="G93" s="16"/>
      <c r="M93">
        <v>1</v>
      </c>
      <c r="N93">
        <v>142</v>
      </c>
      <c r="O93">
        <v>0</v>
      </c>
      <c r="P93">
        <v>3.85</v>
      </c>
      <c r="Q93">
        <v>546.23</v>
      </c>
      <c r="R93">
        <v>0</v>
      </c>
      <c r="S93">
        <v>0</v>
      </c>
      <c r="T93" t="s">
        <v>52</v>
      </c>
      <c r="W93">
        <v>400003</v>
      </c>
      <c r="AE93">
        <v>0</v>
      </c>
      <c r="AP93" t="s">
        <v>266</v>
      </c>
    </row>
    <row r="94" spans="1:42">
      <c r="A94" s="1" t="s">
        <v>46</v>
      </c>
      <c r="B94" s="1" t="s">
        <v>267</v>
      </c>
      <c r="C94" s="1" t="s">
        <v>267</v>
      </c>
      <c r="E94" s="4" t="s">
        <v>268</v>
      </c>
      <c r="G94" s="16"/>
      <c r="M94">
        <v>1</v>
      </c>
      <c r="N94">
        <v>176</v>
      </c>
      <c r="O94">
        <v>0</v>
      </c>
      <c r="P94">
        <v>0.7</v>
      </c>
      <c r="Q94">
        <v>123.2</v>
      </c>
      <c r="R94" t="s">
        <v>176</v>
      </c>
      <c r="S94">
        <v>0</v>
      </c>
      <c r="T94" t="s">
        <v>52</v>
      </c>
      <c r="U94">
        <v>0</v>
      </c>
      <c r="V94">
        <v>0</v>
      </c>
      <c r="W94">
        <v>400061</v>
      </c>
      <c r="X94" t="s">
        <v>56</v>
      </c>
      <c r="Y94" t="s">
        <v>57</v>
      </c>
      <c r="AE94">
        <v>0</v>
      </c>
      <c r="AP94" t="s">
        <v>169</v>
      </c>
    </row>
    <row r="95" spans="1:42">
      <c r="A95" s="1" t="s">
        <v>46</v>
      </c>
      <c r="B95" s="1" t="s">
        <v>269</v>
      </c>
      <c r="C95" s="1" t="s">
        <v>269</v>
      </c>
      <c r="E95" s="4" t="s">
        <v>270</v>
      </c>
      <c r="G95" s="16"/>
      <c r="M95">
        <v>1</v>
      </c>
      <c r="N95">
        <v>51</v>
      </c>
      <c r="O95">
        <v>0</v>
      </c>
      <c r="P95">
        <v>18.32</v>
      </c>
      <c r="Q95">
        <v>934.06</v>
      </c>
      <c r="R95">
        <v>0</v>
      </c>
      <c r="S95">
        <v>0</v>
      </c>
      <c r="T95" t="s">
        <v>52</v>
      </c>
      <c r="W95">
        <v>400159</v>
      </c>
      <c r="AE95">
        <v>0</v>
      </c>
      <c r="AP95" t="s">
        <v>190</v>
      </c>
    </row>
    <row r="96" spans="1:42">
      <c r="A96" s="1" t="s">
        <v>46</v>
      </c>
      <c r="B96" s="1" t="s">
        <v>271</v>
      </c>
      <c r="C96" s="1" t="s">
        <v>271</v>
      </c>
      <c r="E96" s="4" t="s">
        <v>272</v>
      </c>
      <c r="G96" s="16"/>
      <c r="M96">
        <v>1</v>
      </c>
      <c r="N96">
        <v>19</v>
      </c>
      <c r="O96">
        <v>0</v>
      </c>
      <c r="P96">
        <v>5</v>
      </c>
      <c r="Q96">
        <v>95</v>
      </c>
      <c r="R96" t="s">
        <v>176</v>
      </c>
      <c r="S96">
        <v>0</v>
      </c>
      <c r="T96" t="s">
        <v>52</v>
      </c>
      <c r="U96">
        <v>0</v>
      </c>
      <c r="V96">
        <v>0</v>
      </c>
      <c r="W96">
        <v>400061</v>
      </c>
      <c r="AE96">
        <v>0</v>
      </c>
      <c r="AP96" t="s">
        <v>169</v>
      </c>
    </row>
    <row r="97" spans="1:42">
      <c r="A97" s="1" t="s">
        <v>46</v>
      </c>
      <c r="B97" s="1" t="s">
        <v>273</v>
      </c>
      <c r="C97" s="1" t="s">
        <v>273</v>
      </c>
      <c r="E97" s="4" t="s">
        <v>274</v>
      </c>
      <c r="G97" s="16"/>
      <c r="M97">
        <v>1</v>
      </c>
      <c r="N97">
        <v>175</v>
      </c>
      <c r="O97">
        <v>0</v>
      </c>
      <c r="P97">
        <v>5.75</v>
      </c>
      <c r="Q97">
        <v>1006.25</v>
      </c>
      <c r="R97">
        <v>0</v>
      </c>
      <c r="S97">
        <v>0</v>
      </c>
      <c r="T97" t="s">
        <v>52</v>
      </c>
      <c r="U97">
        <v>0</v>
      </c>
      <c r="V97">
        <v>0</v>
      </c>
      <c r="W97">
        <v>410120</v>
      </c>
      <c r="AE97">
        <v>0</v>
      </c>
      <c r="AP97" t="s">
        <v>112</v>
      </c>
    </row>
    <row r="98" spans="1:42">
      <c r="A98" s="1" t="s">
        <v>46</v>
      </c>
      <c r="B98" s="1" t="s">
        <v>275</v>
      </c>
      <c r="C98" s="1" t="s">
        <v>275</v>
      </c>
      <c r="E98" s="4" t="s">
        <v>276</v>
      </c>
      <c r="G98" s="16"/>
      <c r="M98">
        <v>1</v>
      </c>
      <c r="N98">
        <v>112</v>
      </c>
      <c r="O98">
        <v>0</v>
      </c>
      <c r="P98">
        <v>11.99</v>
      </c>
      <c r="Q98">
        <v>1342.95</v>
      </c>
      <c r="R98">
        <v>0</v>
      </c>
      <c r="S98">
        <v>0</v>
      </c>
      <c r="T98" t="s">
        <v>52</v>
      </c>
      <c r="U98">
        <v>0</v>
      </c>
      <c r="V98">
        <v>0</v>
      </c>
      <c r="W98">
        <v>400126</v>
      </c>
      <c r="AE98">
        <v>0</v>
      </c>
      <c r="AP98" t="s">
        <v>277</v>
      </c>
    </row>
    <row r="99" spans="1:42">
      <c r="A99" s="1" t="s">
        <v>46</v>
      </c>
      <c r="B99" s="1" t="s">
        <v>278</v>
      </c>
      <c r="C99" s="1" t="s">
        <v>278</v>
      </c>
      <c r="E99" s="4" t="s">
        <v>279</v>
      </c>
      <c r="G99" s="16"/>
      <c r="M99">
        <v>1</v>
      </c>
      <c r="N99">
        <v>67</v>
      </c>
      <c r="O99">
        <v>0</v>
      </c>
      <c r="P99">
        <v>9.76</v>
      </c>
      <c r="Q99">
        <v>654.1</v>
      </c>
      <c r="R99">
        <v>0</v>
      </c>
      <c r="S99">
        <v>0</v>
      </c>
      <c r="T99" t="s">
        <v>52</v>
      </c>
      <c r="U99">
        <v>0</v>
      </c>
      <c r="V99">
        <v>0</v>
      </c>
      <c r="W99">
        <v>400160</v>
      </c>
      <c r="X99" t="s">
        <v>56</v>
      </c>
      <c r="Y99" t="s">
        <v>57</v>
      </c>
      <c r="AE99">
        <v>0</v>
      </c>
      <c r="AP99" t="s">
        <v>201</v>
      </c>
    </row>
    <row r="100" spans="1:42">
      <c r="A100" s="1" t="s">
        <v>46</v>
      </c>
      <c r="B100" s="1" t="s">
        <v>280</v>
      </c>
      <c r="C100" s="1" t="s">
        <v>280</v>
      </c>
      <c r="E100" s="4" t="s">
        <v>281</v>
      </c>
      <c r="G100" s="16"/>
      <c r="M100">
        <v>1</v>
      </c>
      <c r="N100">
        <v>-6</v>
      </c>
      <c r="O100">
        <v>0</v>
      </c>
      <c r="P100">
        <v>5.7</v>
      </c>
      <c r="Q100">
        <v>-34.200000000000003</v>
      </c>
      <c r="R100">
        <v>0</v>
      </c>
      <c r="S100">
        <v>0</v>
      </c>
      <c r="T100" t="s">
        <v>52</v>
      </c>
      <c r="W100">
        <v>400160</v>
      </c>
      <c r="AE100">
        <v>0</v>
      </c>
      <c r="AP100" t="s">
        <v>201</v>
      </c>
    </row>
    <row r="101" spans="1:42">
      <c r="A101" s="1" t="s">
        <v>46</v>
      </c>
      <c r="B101" s="1" t="s">
        <v>282</v>
      </c>
      <c r="C101" s="1" t="s">
        <v>282</v>
      </c>
      <c r="E101" s="4" t="s">
        <v>283</v>
      </c>
      <c r="G101" s="16"/>
      <c r="M101">
        <v>1</v>
      </c>
      <c r="N101">
        <v>10</v>
      </c>
      <c r="O101">
        <v>0</v>
      </c>
      <c r="P101">
        <v>16.45</v>
      </c>
      <c r="Q101">
        <v>164.5</v>
      </c>
      <c r="T101" t="s">
        <v>52</v>
      </c>
      <c r="W101">
        <v>400160</v>
      </c>
      <c r="AE101">
        <v>0</v>
      </c>
      <c r="AP101" t="s">
        <v>201</v>
      </c>
    </row>
    <row r="102" spans="1:42">
      <c r="A102" s="1" t="s">
        <v>46</v>
      </c>
      <c r="B102" s="1" t="s">
        <v>284</v>
      </c>
      <c r="C102" s="1" t="s">
        <v>284</v>
      </c>
      <c r="E102" s="4" t="s">
        <v>285</v>
      </c>
      <c r="G102" s="16"/>
      <c r="M102">
        <v>1</v>
      </c>
      <c r="N102">
        <v>20</v>
      </c>
      <c r="O102">
        <v>0</v>
      </c>
      <c r="P102">
        <v>23</v>
      </c>
      <c r="Q102">
        <v>460</v>
      </c>
      <c r="R102">
        <v>0</v>
      </c>
      <c r="S102">
        <v>0</v>
      </c>
      <c r="T102" t="s">
        <v>52</v>
      </c>
      <c r="U102">
        <v>0</v>
      </c>
      <c r="V102">
        <v>0</v>
      </c>
      <c r="W102">
        <v>400190</v>
      </c>
      <c r="AE102">
        <v>0</v>
      </c>
      <c r="AP102" t="s">
        <v>286</v>
      </c>
    </row>
    <row r="103" spans="1:42">
      <c r="A103" s="1" t="s">
        <v>46</v>
      </c>
      <c r="B103" s="1" t="s">
        <v>287</v>
      </c>
      <c r="C103" s="1" t="s">
        <v>287</v>
      </c>
      <c r="E103" s="4" t="s">
        <v>288</v>
      </c>
      <c r="G103" s="16"/>
      <c r="I103">
        <v>1.55</v>
      </c>
      <c r="M103">
        <v>1</v>
      </c>
      <c r="N103">
        <v>250.7</v>
      </c>
      <c r="O103">
        <v>0</v>
      </c>
      <c r="P103">
        <v>5.4</v>
      </c>
      <c r="Q103">
        <v>1353.78</v>
      </c>
      <c r="R103" t="s">
        <v>172</v>
      </c>
      <c r="S103">
        <v>0</v>
      </c>
      <c r="T103" t="s">
        <v>209</v>
      </c>
      <c r="U103">
        <v>0</v>
      </c>
      <c r="V103">
        <v>0</v>
      </c>
      <c r="W103">
        <v>400002</v>
      </c>
      <c r="X103" t="s">
        <v>56</v>
      </c>
      <c r="Y103" t="s">
        <v>57</v>
      </c>
      <c r="AE103">
        <v>0</v>
      </c>
      <c r="AH103">
        <v>1.55</v>
      </c>
      <c r="AP103" t="s">
        <v>116</v>
      </c>
    </row>
    <row r="104" spans="1:42">
      <c r="A104" s="1" t="s">
        <v>46</v>
      </c>
      <c r="B104" s="1" t="s">
        <v>289</v>
      </c>
      <c r="C104" s="1" t="s">
        <v>289</v>
      </c>
      <c r="E104" s="4" t="s">
        <v>290</v>
      </c>
      <c r="G104" s="16"/>
      <c r="I104">
        <v>7.75</v>
      </c>
      <c r="M104">
        <v>1</v>
      </c>
      <c r="N104">
        <v>126</v>
      </c>
      <c r="O104">
        <v>0</v>
      </c>
      <c r="P104">
        <v>37</v>
      </c>
      <c r="Q104">
        <v>4662</v>
      </c>
      <c r="R104" t="s">
        <v>212</v>
      </c>
      <c r="S104">
        <v>0</v>
      </c>
      <c r="T104" t="s">
        <v>209</v>
      </c>
      <c r="U104">
        <v>0</v>
      </c>
      <c r="V104">
        <v>0</v>
      </c>
      <c r="W104">
        <v>400123</v>
      </c>
      <c r="AE104">
        <v>0</v>
      </c>
      <c r="AH104">
        <v>7.75</v>
      </c>
      <c r="AP104" t="s">
        <v>291</v>
      </c>
    </row>
    <row r="105" spans="1:42">
      <c r="A105" s="1" t="s">
        <v>46</v>
      </c>
      <c r="B105" s="1" t="s">
        <v>292</v>
      </c>
      <c r="C105" s="1" t="s">
        <v>292</v>
      </c>
      <c r="E105" s="4" t="s">
        <v>293</v>
      </c>
      <c r="G105" s="16"/>
      <c r="M105">
        <v>1</v>
      </c>
      <c r="N105">
        <v>-6</v>
      </c>
      <c r="O105">
        <v>0</v>
      </c>
      <c r="P105">
        <v>35.409999999999997</v>
      </c>
      <c r="Q105">
        <v>-212.45</v>
      </c>
      <c r="R105" t="s">
        <v>294</v>
      </c>
      <c r="S105">
        <v>0</v>
      </c>
      <c r="T105" t="s">
        <v>209</v>
      </c>
      <c r="W105">
        <v>400026</v>
      </c>
      <c r="AE105">
        <v>0</v>
      </c>
      <c r="AP105" t="s">
        <v>187</v>
      </c>
    </row>
    <row r="106" spans="1:42">
      <c r="A106" s="1" t="s">
        <v>46</v>
      </c>
      <c r="B106" s="1" t="s">
        <v>295</v>
      </c>
      <c r="C106" s="1" t="s">
        <v>295</v>
      </c>
      <c r="E106" s="4" t="s">
        <v>296</v>
      </c>
      <c r="G106" s="16"/>
      <c r="M106">
        <v>1</v>
      </c>
      <c r="N106">
        <v>59</v>
      </c>
      <c r="O106">
        <v>0</v>
      </c>
      <c r="P106">
        <v>41.17</v>
      </c>
      <c r="Q106">
        <v>2428.79</v>
      </c>
      <c r="R106">
        <v>0</v>
      </c>
      <c r="S106">
        <v>0</v>
      </c>
      <c r="T106" t="s">
        <v>209</v>
      </c>
      <c r="U106">
        <v>0</v>
      </c>
      <c r="V106">
        <v>0</v>
      </c>
      <c r="W106">
        <v>400013</v>
      </c>
      <c r="AE106">
        <v>0</v>
      </c>
      <c r="AP106" t="s">
        <v>232</v>
      </c>
    </row>
    <row r="107" spans="1:42">
      <c r="A107" s="1" t="s">
        <v>46</v>
      </c>
      <c r="B107" s="1" t="s">
        <v>297</v>
      </c>
      <c r="C107" s="1" t="s">
        <v>297</v>
      </c>
      <c r="E107" s="4" t="s">
        <v>298</v>
      </c>
      <c r="G107" s="16"/>
      <c r="I107">
        <v>1</v>
      </c>
      <c r="M107">
        <v>1</v>
      </c>
      <c r="N107">
        <v>-2</v>
      </c>
      <c r="O107">
        <v>0</v>
      </c>
      <c r="P107">
        <v>0.85</v>
      </c>
      <c r="Q107">
        <v>-1.7</v>
      </c>
      <c r="R107">
        <v>0</v>
      </c>
      <c r="S107">
        <v>0</v>
      </c>
      <c r="T107" t="s">
        <v>52</v>
      </c>
      <c r="U107">
        <v>0</v>
      </c>
      <c r="V107">
        <v>0</v>
      </c>
      <c r="W107">
        <v>400125</v>
      </c>
      <c r="AE107">
        <v>0</v>
      </c>
      <c r="AH107">
        <v>1</v>
      </c>
      <c r="AP107" t="s">
        <v>184</v>
      </c>
    </row>
    <row r="108" spans="1:42">
      <c r="A108" s="1" t="s">
        <v>46</v>
      </c>
      <c r="B108" s="1" t="s">
        <v>299</v>
      </c>
      <c r="C108" s="1" t="s">
        <v>299</v>
      </c>
      <c r="E108" s="4" t="s">
        <v>300</v>
      </c>
      <c r="G108" s="16"/>
      <c r="I108">
        <v>0.7</v>
      </c>
      <c r="M108">
        <v>1</v>
      </c>
      <c r="N108">
        <v>1250</v>
      </c>
      <c r="O108">
        <v>0</v>
      </c>
      <c r="P108">
        <v>0.2</v>
      </c>
      <c r="Q108">
        <v>250</v>
      </c>
      <c r="R108" t="s">
        <v>172</v>
      </c>
      <c r="S108">
        <v>0</v>
      </c>
      <c r="T108" t="s">
        <v>52</v>
      </c>
      <c r="U108">
        <v>0</v>
      </c>
      <c r="V108">
        <v>0</v>
      </c>
      <c r="W108">
        <v>400112</v>
      </c>
      <c r="AE108">
        <v>0</v>
      </c>
      <c r="AH108">
        <v>0.7</v>
      </c>
      <c r="AP108" t="s">
        <v>220</v>
      </c>
    </row>
    <row r="109" spans="1:42">
      <c r="A109" s="1" t="s">
        <v>46</v>
      </c>
      <c r="B109" s="1" t="s">
        <v>301</v>
      </c>
      <c r="C109" s="1" t="s">
        <v>301</v>
      </c>
      <c r="E109" s="4" t="s">
        <v>302</v>
      </c>
      <c r="G109" s="16"/>
      <c r="I109">
        <v>0.7</v>
      </c>
      <c r="M109">
        <v>1</v>
      </c>
      <c r="N109">
        <v>1387</v>
      </c>
      <c r="O109">
        <v>0</v>
      </c>
      <c r="P109">
        <v>0.28000000000000003</v>
      </c>
      <c r="Q109">
        <v>381.42</v>
      </c>
      <c r="R109" t="s">
        <v>172</v>
      </c>
      <c r="S109">
        <v>0</v>
      </c>
      <c r="T109" t="s">
        <v>52</v>
      </c>
      <c r="U109">
        <v>0</v>
      </c>
      <c r="V109">
        <v>0</v>
      </c>
      <c r="W109">
        <v>400112</v>
      </c>
      <c r="AE109">
        <v>0</v>
      </c>
      <c r="AH109">
        <v>0.7</v>
      </c>
      <c r="AP109" t="s">
        <v>220</v>
      </c>
    </row>
    <row r="110" spans="1:42">
      <c r="A110" s="1" t="s">
        <v>46</v>
      </c>
      <c r="B110" s="1" t="s">
        <v>303</v>
      </c>
      <c r="C110" s="1" t="s">
        <v>303</v>
      </c>
      <c r="E110" s="4" t="s">
        <v>304</v>
      </c>
      <c r="G110" s="16"/>
      <c r="M110">
        <v>1</v>
      </c>
      <c r="N110">
        <v>17</v>
      </c>
      <c r="O110">
        <v>0</v>
      </c>
      <c r="P110">
        <v>1.85</v>
      </c>
      <c r="Q110">
        <v>31.45</v>
      </c>
      <c r="R110" t="s">
        <v>176</v>
      </c>
      <c r="S110">
        <v>0</v>
      </c>
      <c r="T110" t="s">
        <v>52</v>
      </c>
      <c r="U110">
        <v>0</v>
      </c>
      <c r="V110">
        <v>0</v>
      </c>
      <c r="W110">
        <v>400061</v>
      </c>
      <c r="AE110">
        <v>0</v>
      </c>
      <c r="AP110" t="s">
        <v>169</v>
      </c>
    </row>
    <row r="111" spans="1:42">
      <c r="A111" s="1" t="s">
        <v>46</v>
      </c>
      <c r="B111" s="1" t="s">
        <v>305</v>
      </c>
      <c r="C111" s="1" t="s">
        <v>305</v>
      </c>
      <c r="E111" s="4" t="s">
        <v>306</v>
      </c>
      <c r="G111" s="16"/>
      <c r="M111">
        <v>1</v>
      </c>
      <c r="N111">
        <v>1</v>
      </c>
      <c r="O111">
        <v>0</v>
      </c>
      <c r="P111">
        <v>65</v>
      </c>
      <c r="Q111">
        <v>65</v>
      </c>
      <c r="R111" t="s">
        <v>176</v>
      </c>
      <c r="S111">
        <v>0</v>
      </c>
      <c r="T111" t="s">
        <v>227</v>
      </c>
      <c r="U111">
        <v>0</v>
      </c>
      <c r="V111">
        <v>0</v>
      </c>
      <c r="W111">
        <v>400061</v>
      </c>
      <c r="X111" t="s">
        <v>56</v>
      </c>
      <c r="Y111" t="s">
        <v>57</v>
      </c>
      <c r="AE111">
        <v>0</v>
      </c>
      <c r="AP111" t="s">
        <v>169</v>
      </c>
    </row>
    <row r="112" spans="1:42">
      <c r="A112" s="1" t="s">
        <v>46</v>
      </c>
      <c r="B112" s="1" t="s">
        <v>307</v>
      </c>
      <c r="C112" s="1" t="s">
        <v>307</v>
      </c>
      <c r="E112" s="4" t="s">
        <v>308</v>
      </c>
      <c r="G112" s="16"/>
      <c r="M112">
        <v>1</v>
      </c>
      <c r="N112">
        <v>63</v>
      </c>
      <c r="O112">
        <v>0</v>
      </c>
      <c r="P112">
        <v>65</v>
      </c>
      <c r="Q112">
        <v>4095</v>
      </c>
      <c r="R112" t="s">
        <v>176</v>
      </c>
      <c r="S112">
        <v>0</v>
      </c>
      <c r="T112" t="s">
        <v>227</v>
      </c>
      <c r="U112">
        <v>0</v>
      </c>
      <c r="V112">
        <v>0</v>
      </c>
      <c r="W112">
        <v>400061</v>
      </c>
      <c r="X112" t="s">
        <v>56</v>
      </c>
      <c r="Y112" t="s">
        <v>57</v>
      </c>
      <c r="AE112">
        <v>0</v>
      </c>
      <c r="AP112" t="s">
        <v>169</v>
      </c>
    </row>
    <row r="113" spans="1:42">
      <c r="A113" s="1" t="s">
        <v>46</v>
      </c>
      <c r="B113" s="1" t="s">
        <v>309</v>
      </c>
      <c r="C113" s="1" t="s">
        <v>309</v>
      </c>
      <c r="E113" s="4" t="s">
        <v>310</v>
      </c>
      <c r="G113" s="16"/>
      <c r="M113">
        <v>1</v>
      </c>
      <c r="N113">
        <v>2</v>
      </c>
      <c r="O113">
        <v>0</v>
      </c>
      <c r="P113">
        <v>22.5</v>
      </c>
      <c r="Q113">
        <v>45</v>
      </c>
      <c r="R113" t="s">
        <v>176</v>
      </c>
      <c r="S113">
        <v>0</v>
      </c>
      <c r="T113" t="s">
        <v>227</v>
      </c>
      <c r="U113">
        <v>0</v>
      </c>
      <c r="V113">
        <v>0</v>
      </c>
      <c r="W113">
        <v>400061</v>
      </c>
      <c r="X113" t="s">
        <v>56</v>
      </c>
      <c r="Y113" t="s">
        <v>57</v>
      </c>
      <c r="AE113">
        <v>0</v>
      </c>
      <c r="AP113" t="s">
        <v>169</v>
      </c>
    </row>
    <row r="114" spans="1:42">
      <c r="A114" s="1" t="s">
        <v>46</v>
      </c>
      <c r="B114" s="1" t="s">
        <v>311</v>
      </c>
      <c r="C114" s="1" t="s">
        <v>311</v>
      </c>
      <c r="E114" s="4" t="s">
        <v>312</v>
      </c>
      <c r="G114" s="16"/>
      <c r="M114">
        <v>1</v>
      </c>
      <c r="N114">
        <v>2</v>
      </c>
      <c r="O114">
        <v>0</v>
      </c>
      <c r="P114">
        <v>18</v>
      </c>
      <c r="Q114">
        <v>36</v>
      </c>
      <c r="T114" t="s">
        <v>52</v>
      </c>
      <c r="AE114">
        <v>0</v>
      </c>
    </row>
    <row r="115" spans="1:42">
      <c r="A115" s="1" t="s">
        <v>46</v>
      </c>
      <c r="B115" s="1" t="s">
        <v>313</v>
      </c>
      <c r="C115" s="1" t="s">
        <v>313</v>
      </c>
      <c r="E115" s="4" t="s">
        <v>314</v>
      </c>
      <c r="G115" s="16"/>
      <c r="I115">
        <v>0.55000000000000004</v>
      </c>
      <c r="M115">
        <v>1</v>
      </c>
      <c r="N115">
        <v>-7</v>
      </c>
      <c r="O115">
        <v>0</v>
      </c>
      <c r="P115">
        <v>0.25</v>
      </c>
      <c r="Q115">
        <v>-1.75</v>
      </c>
      <c r="R115" t="s">
        <v>172</v>
      </c>
      <c r="S115">
        <v>0</v>
      </c>
      <c r="T115" t="s">
        <v>52</v>
      </c>
      <c r="U115">
        <v>0</v>
      </c>
      <c r="V115">
        <v>0</v>
      </c>
      <c r="W115">
        <v>400036</v>
      </c>
      <c r="AE115">
        <v>0</v>
      </c>
      <c r="AH115">
        <v>0.55000000000000004</v>
      </c>
      <c r="AP115" t="s">
        <v>315</v>
      </c>
    </row>
    <row r="116" spans="1:42">
      <c r="A116" s="1" t="s">
        <v>46</v>
      </c>
      <c r="B116" s="1" t="s">
        <v>316</v>
      </c>
      <c r="C116" s="1" t="s">
        <v>316</v>
      </c>
      <c r="E116" s="4" t="s">
        <v>317</v>
      </c>
      <c r="G116" s="16"/>
      <c r="M116">
        <v>1</v>
      </c>
      <c r="N116">
        <v>131</v>
      </c>
      <c r="O116">
        <v>0</v>
      </c>
      <c r="P116">
        <v>0.9</v>
      </c>
      <c r="Q116">
        <v>117.9</v>
      </c>
      <c r="R116" t="s">
        <v>176</v>
      </c>
      <c r="S116">
        <v>0</v>
      </c>
      <c r="T116" t="s">
        <v>52</v>
      </c>
      <c r="U116">
        <v>0</v>
      </c>
      <c r="V116">
        <v>0</v>
      </c>
      <c r="W116">
        <v>400061</v>
      </c>
      <c r="X116" t="s">
        <v>56</v>
      </c>
      <c r="Y116" t="s">
        <v>57</v>
      </c>
      <c r="AE116">
        <v>0</v>
      </c>
      <c r="AP116" t="s">
        <v>169</v>
      </c>
    </row>
    <row r="117" spans="1:42">
      <c r="A117" s="1" t="s">
        <v>46</v>
      </c>
      <c r="B117" s="1" t="s">
        <v>318</v>
      </c>
      <c r="C117" s="1" t="s">
        <v>318</v>
      </c>
      <c r="E117" s="4" t="s">
        <v>319</v>
      </c>
      <c r="G117" s="16"/>
      <c r="I117">
        <v>0.55000000000000004</v>
      </c>
      <c r="M117">
        <v>1</v>
      </c>
      <c r="N117">
        <v>-46</v>
      </c>
      <c r="O117">
        <v>0</v>
      </c>
      <c r="P117">
        <v>0.35</v>
      </c>
      <c r="Q117">
        <v>-16.100000000000001</v>
      </c>
      <c r="R117" t="s">
        <v>172</v>
      </c>
      <c r="S117">
        <v>0</v>
      </c>
      <c r="T117" t="s">
        <v>52</v>
      </c>
      <c r="U117">
        <v>0</v>
      </c>
      <c r="V117">
        <v>0</v>
      </c>
      <c r="W117">
        <v>400112</v>
      </c>
      <c r="AE117">
        <v>0</v>
      </c>
      <c r="AH117">
        <v>0.55000000000000004</v>
      </c>
      <c r="AP117" t="s">
        <v>220</v>
      </c>
    </row>
    <row r="118" spans="1:42">
      <c r="A118" s="1" t="s">
        <v>46</v>
      </c>
      <c r="B118" s="1" t="s">
        <v>320</v>
      </c>
      <c r="C118" s="1" t="s">
        <v>320</v>
      </c>
      <c r="E118" s="4" t="s">
        <v>321</v>
      </c>
      <c r="G118" s="16"/>
      <c r="M118">
        <v>1</v>
      </c>
      <c r="N118">
        <v>1</v>
      </c>
      <c r="O118">
        <v>0</v>
      </c>
      <c r="P118">
        <v>1.75</v>
      </c>
      <c r="Q118">
        <v>1.75</v>
      </c>
      <c r="W118">
        <v>400017</v>
      </c>
      <c r="AE118">
        <v>0</v>
      </c>
      <c r="AP118" t="s">
        <v>49</v>
      </c>
    </row>
    <row r="119" spans="1:42">
      <c r="A119" s="1" t="s">
        <v>46</v>
      </c>
      <c r="B119" s="1" t="s">
        <v>322</v>
      </c>
      <c r="C119" s="1" t="s">
        <v>322</v>
      </c>
      <c r="E119" s="4" t="s">
        <v>323</v>
      </c>
      <c r="G119" s="16"/>
      <c r="M119">
        <v>1</v>
      </c>
      <c r="N119">
        <v>889</v>
      </c>
      <c r="O119">
        <v>0</v>
      </c>
      <c r="P119">
        <v>0.46</v>
      </c>
      <c r="Q119">
        <v>408.94</v>
      </c>
      <c r="R119" t="s">
        <v>176</v>
      </c>
      <c r="S119">
        <v>0</v>
      </c>
      <c r="T119" t="s">
        <v>52</v>
      </c>
      <c r="U119">
        <v>0</v>
      </c>
      <c r="V119">
        <v>0</v>
      </c>
      <c r="W119">
        <v>400061</v>
      </c>
      <c r="X119" t="s">
        <v>56</v>
      </c>
      <c r="Y119" t="s">
        <v>57</v>
      </c>
      <c r="AE119">
        <v>0</v>
      </c>
      <c r="AP119" t="s">
        <v>169</v>
      </c>
    </row>
    <row r="120" spans="1:42">
      <c r="A120" s="1" t="s">
        <v>46</v>
      </c>
      <c r="B120" s="1" t="s">
        <v>324</v>
      </c>
      <c r="C120" s="1" t="s">
        <v>324</v>
      </c>
      <c r="E120" s="4" t="s">
        <v>325</v>
      </c>
      <c r="G120" s="16"/>
      <c r="M120">
        <v>1</v>
      </c>
      <c r="N120">
        <v>-3</v>
      </c>
      <c r="O120">
        <v>0</v>
      </c>
      <c r="P120">
        <v>14</v>
      </c>
      <c r="Q120">
        <v>-42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400033</v>
      </c>
      <c r="X120" t="s">
        <v>56</v>
      </c>
      <c r="Y120" t="s">
        <v>57</v>
      </c>
      <c r="AE120">
        <v>0</v>
      </c>
      <c r="AP120" t="s">
        <v>126</v>
      </c>
    </row>
    <row r="121" spans="1:42">
      <c r="A121" s="1" t="s">
        <v>46</v>
      </c>
      <c r="B121" s="1" t="s">
        <v>326</v>
      </c>
      <c r="C121" s="1" t="s">
        <v>326</v>
      </c>
      <c r="E121" s="4" t="s">
        <v>327</v>
      </c>
      <c r="G121" s="16"/>
      <c r="M121">
        <v>1</v>
      </c>
      <c r="N121">
        <v>9</v>
      </c>
      <c r="O121">
        <v>0</v>
      </c>
      <c r="P121">
        <v>6</v>
      </c>
      <c r="Q121">
        <v>54</v>
      </c>
      <c r="T121" t="s">
        <v>52</v>
      </c>
      <c r="W121">
        <v>400028</v>
      </c>
      <c r="AE121">
        <v>0</v>
      </c>
      <c r="AP121" t="s">
        <v>246</v>
      </c>
    </row>
    <row r="122" spans="1:42">
      <c r="A122" s="1" t="s">
        <v>46</v>
      </c>
      <c r="B122" s="1" t="s">
        <v>328</v>
      </c>
      <c r="C122" s="1" t="s">
        <v>328</v>
      </c>
      <c r="E122" s="4" t="s">
        <v>329</v>
      </c>
      <c r="G122" s="16"/>
      <c r="M122">
        <v>1</v>
      </c>
      <c r="N122">
        <v>-26</v>
      </c>
      <c r="O122">
        <v>0</v>
      </c>
      <c r="P122">
        <v>0.34</v>
      </c>
      <c r="Q122">
        <v>-8.84</v>
      </c>
      <c r="R122">
        <v>0</v>
      </c>
      <c r="S122">
        <v>0</v>
      </c>
      <c r="T122" t="s">
        <v>17</v>
      </c>
      <c r="W122">
        <v>400103</v>
      </c>
      <c r="AE122">
        <v>0</v>
      </c>
      <c r="AP122" t="s">
        <v>261</v>
      </c>
    </row>
    <row r="123" spans="1:42">
      <c r="A123" s="1" t="s">
        <v>46</v>
      </c>
      <c r="B123" s="1" t="s">
        <v>330</v>
      </c>
      <c r="C123" s="1" t="s">
        <v>330</v>
      </c>
      <c r="E123" s="4" t="s">
        <v>331</v>
      </c>
      <c r="G123" s="16"/>
      <c r="M123">
        <v>1</v>
      </c>
      <c r="N123">
        <v>-9</v>
      </c>
      <c r="O123">
        <v>0</v>
      </c>
      <c r="P123">
        <v>3.5</v>
      </c>
      <c r="Q123">
        <v>-31.5</v>
      </c>
      <c r="R123">
        <v>0</v>
      </c>
      <c r="S123">
        <v>0</v>
      </c>
      <c r="T123" t="s">
        <v>52</v>
      </c>
      <c r="W123">
        <v>400036</v>
      </c>
      <c r="AE123">
        <v>0</v>
      </c>
      <c r="AP123" t="s">
        <v>315</v>
      </c>
    </row>
    <row r="124" spans="1:42">
      <c r="A124" s="1" t="s">
        <v>46</v>
      </c>
      <c r="B124" s="1" t="s">
        <v>332</v>
      </c>
      <c r="C124" s="1" t="s">
        <v>332</v>
      </c>
      <c r="E124" s="4" t="s">
        <v>333</v>
      </c>
      <c r="G124" s="16"/>
      <c r="I124">
        <v>13.5</v>
      </c>
      <c r="M124">
        <v>1</v>
      </c>
      <c r="N124">
        <v>805</v>
      </c>
      <c r="O124">
        <v>0</v>
      </c>
      <c r="P124">
        <v>8.25</v>
      </c>
      <c r="Q124">
        <v>6643.28</v>
      </c>
      <c r="R124">
        <v>0</v>
      </c>
      <c r="S124">
        <v>0</v>
      </c>
      <c r="T124" t="s">
        <v>52</v>
      </c>
      <c r="U124">
        <v>0</v>
      </c>
      <c r="V124">
        <v>0</v>
      </c>
      <c r="W124">
        <v>400126</v>
      </c>
      <c r="AE124">
        <v>0</v>
      </c>
      <c r="AH124">
        <v>13.5</v>
      </c>
      <c r="AP124" t="s">
        <v>277</v>
      </c>
    </row>
    <row r="125" spans="1:42">
      <c r="A125" s="1" t="s">
        <v>46</v>
      </c>
      <c r="B125" s="1" t="s">
        <v>334</v>
      </c>
      <c r="C125" s="1" t="s">
        <v>334</v>
      </c>
      <c r="E125" s="4" t="s">
        <v>335</v>
      </c>
      <c r="G125" s="16"/>
      <c r="M125">
        <v>1</v>
      </c>
      <c r="N125">
        <v>5</v>
      </c>
      <c r="O125">
        <v>0</v>
      </c>
      <c r="P125">
        <v>0.46</v>
      </c>
      <c r="Q125">
        <v>2.2999999999999998</v>
      </c>
      <c r="R125" t="s">
        <v>176</v>
      </c>
      <c r="S125">
        <v>0</v>
      </c>
      <c r="T125" t="s">
        <v>52</v>
      </c>
      <c r="U125">
        <v>0</v>
      </c>
      <c r="V125">
        <v>0</v>
      </c>
      <c r="W125">
        <v>400061</v>
      </c>
      <c r="X125" t="s">
        <v>56</v>
      </c>
      <c r="Y125" t="s">
        <v>57</v>
      </c>
      <c r="AE125">
        <v>0</v>
      </c>
      <c r="AP125" t="s">
        <v>169</v>
      </c>
    </row>
    <row r="126" spans="1:42">
      <c r="A126" s="1" t="s">
        <v>46</v>
      </c>
      <c r="B126" s="1" t="s">
        <v>336</v>
      </c>
      <c r="C126" s="1" t="s">
        <v>336</v>
      </c>
      <c r="E126" s="4" t="s">
        <v>337</v>
      </c>
      <c r="G126" s="16"/>
      <c r="M126">
        <v>1</v>
      </c>
      <c r="N126">
        <v>73</v>
      </c>
      <c r="O126">
        <v>0</v>
      </c>
      <c r="P126">
        <v>12.67</v>
      </c>
      <c r="Q126">
        <v>924.65</v>
      </c>
      <c r="R126">
        <v>0</v>
      </c>
      <c r="S126">
        <v>0</v>
      </c>
      <c r="T126" t="s">
        <v>52</v>
      </c>
      <c r="U126">
        <v>0</v>
      </c>
      <c r="V126">
        <v>0</v>
      </c>
      <c r="W126">
        <v>400159</v>
      </c>
      <c r="AE126">
        <v>0</v>
      </c>
      <c r="AP126" t="s">
        <v>190</v>
      </c>
    </row>
    <row r="127" spans="1:42">
      <c r="A127" s="1" t="s">
        <v>46</v>
      </c>
      <c r="B127" s="1" t="s">
        <v>338</v>
      </c>
      <c r="C127" s="1" t="s">
        <v>338</v>
      </c>
      <c r="E127" s="4" t="s">
        <v>339</v>
      </c>
      <c r="G127" s="16"/>
      <c r="M127">
        <v>1</v>
      </c>
      <c r="N127">
        <v>1</v>
      </c>
      <c r="O127">
        <v>0</v>
      </c>
      <c r="P127">
        <v>90</v>
      </c>
      <c r="Q127">
        <v>90</v>
      </c>
      <c r="W127">
        <v>400028</v>
      </c>
      <c r="AE127">
        <v>0</v>
      </c>
      <c r="AP127" t="s">
        <v>246</v>
      </c>
    </row>
    <row r="128" spans="1:42">
      <c r="A128" s="1" t="s">
        <v>46</v>
      </c>
      <c r="B128" s="1" t="s">
        <v>340</v>
      </c>
      <c r="C128" s="1" t="s">
        <v>340</v>
      </c>
      <c r="E128" s="4" t="s">
        <v>341</v>
      </c>
      <c r="G128" s="16"/>
      <c r="M128">
        <v>1</v>
      </c>
      <c r="N128">
        <v>28</v>
      </c>
      <c r="O128">
        <v>0</v>
      </c>
      <c r="P128">
        <v>4</v>
      </c>
      <c r="Q128">
        <v>112</v>
      </c>
      <c r="R128" t="s">
        <v>176</v>
      </c>
      <c r="S128">
        <v>0</v>
      </c>
      <c r="T128" t="s">
        <v>52</v>
      </c>
      <c r="U128">
        <v>0</v>
      </c>
      <c r="V128">
        <v>0</v>
      </c>
      <c r="W128">
        <v>410120</v>
      </c>
      <c r="X128" t="s">
        <v>56</v>
      </c>
      <c r="Y128" t="s">
        <v>57</v>
      </c>
      <c r="AE128">
        <v>0</v>
      </c>
      <c r="AP128" t="s">
        <v>112</v>
      </c>
    </row>
    <row r="129" spans="1:42">
      <c r="A129" s="1" t="s">
        <v>46</v>
      </c>
      <c r="B129" s="1" t="s">
        <v>342</v>
      </c>
      <c r="C129" s="1" t="s">
        <v>342</v>
      </c>
      <c r="E129" s="4" t="s">
        <v>343</v>
      </c>
      <c r="G129" s="16"/>
      <c r="M129">
        <v>1</v>
      </c>
      <c r="N129">
        <v>48</v>
      </c>
      <c r="O129">
        <v>0</v>
      </c>
      <c r="P129">
        <v>1</v>
      </c>
      <c r="Q129">
        <v>48</v>
      </c>
      <c r="R129">
        <v>0</v>
      </c>
      <c r="S129">
        <v>0</v>
      </c>
      <c r="T129" t="s">
        <v>52</v>
      </c>
      <c r="U129">
        <v>0</v>
      </c>
      <c r="V129">
        <v>0</v>
      </c>
      <c r="W129">
        <v>400110</v>
      </c>
      <c r="AE129">
        <v>0</v>
      </c>
      <c r="AP129" t="s">
        <v>344</v>
      </c>
    </row>
    <row r="130" spans="1:42">
      <c r="A130" s="1" t="s">
        <v>46</v>
      </c>
      <c r="B130" s="1" t="s">
        <v>345</v>
      </c>
      <c r="C130" s="1" t="s">
        <v>345</v>
      </c>
      <c r="E130" s="4" t="s">
        <v>346</v>
      </c>
      <c r="G130" s="16"/>
      <c r="M130">
        <v>1</v>
      </c>
      <c r="N130">
        <v>-9</v>
      </c>
      <c r="O130">
        <v>0</v>
      </c>
      <c r="P130">
        <v>3.5</v>
      </c>
      <c r="Q130">
        <v>-31.5</v>
      </c>
      <c r="R130">
        <v>0</v>
      </c>
      <c r="S130">
        <v>0</v>
      </c>
      <c r="T130" t="s">
        <v>52</v>
      </c>
      <c r="W130">
        <v>400101</v>
      </c>
      <c r="AE130">
        <v>0</v>
      </c>
      <c r="AP130" t="s">
        <v>347</v>
      </c>
    </row>
    <row r="131" spans="1:42">
      <c r="A131" s="1" t="s">
        <v>46</v>
      </c>
      <c r="B131" s="1" t="s">
        <v>348</v>
      </c>
      <c r="C131" s="1" t="s">
        <v>348</v>
      </c>
      <c r="E131" s="4" t="s">
        <v>349</v>
      </c>
      <c r="G131" s="16"/>
      <c r="M131">
        <v>1</v>
      </c>
      <c r="N131">
        <v>6</v>
      </c>
      <c r="O131">
        <v>0</v>
      </c>
      <c r="P131">
        <v>10.72</v>
      </c>
      <c r="Q131">
        <v>64.31</v>
      </c>
      <c r="R131">
        <v>0</v>
      </c>
      <c r="S131">
        <v>0</v>
      </c>
      <c r="T131" t="s">
        <v>52</v>
      </c>
      <c r="W131">
        <v>400160</v>
      </c>
      <c r="AE131">
        <v>0</v>
      </c>
      <c r="AP131" t="s">
        <v>201</v>
      </c>
    </row>
    <row r="132" spans="1:42">
      <c r="A132" s="1" t="s">
        <v>46</v>
      </c>
      <c r="B132" s="1" t="s">
        <v>350</v>
      </c>
      <c r="C132" s="1" t="s">
        <v>350</v>
      </c>
      <c r="E132" s="4" t="s">
        <v>351</v>
      </c>
      <c r="G132" s="16"/>
      <c r="M132">
        <v>1</v>
      </c>
      <c r="N132">
        <v>-2</v>
      </c>
      <c r="O132">
        <v>0</v>
      </c>
      <c r="P132">
        <v>1</v>
      </c>
      <c r="Q132">
        <v>-2</v>
      </c>
      <c r="R132">
        <v>0</v>
      </c>
      <c r="S132">
        <v>0</v>
      </c>
      <c r="T132" t="s">
        <v>52</v>
      </c>
      <c r="U132">
        <v>0</v>
      </c>
      <c r="V132">
        <v>0</v>
      </c>
      <c r="W132">
        <v>400004</v>
      </c>
      <c r="AE132">
        <v>0</v>
      </c>
      <c r="AP132" t="s">
        <v>352</v>
      </c>
    </row>
    <row r="133" spans="1:42">
      <c r="A133" s="1" t="s">
        <v>46</v>
      </c>
      <c r="B133" s="1" t="s">
        <v>353</v>
      </c>
      <c r="C133" s="1" t="s">
        <v>353</v>
      </c>
      <c r="E133" s="4" t="s">
        <v>354</v>
      </c>
      <c r="G133" s="16"/>
      <c r="M133">
        <v>1</v>
      </c>
      <c r="N133">
        <v>55</v>
      </c>
      <c r="O133">
        <v>0</v>
      </c>
      <c r="P133">
        <v>4.2</v>
      </c>
      <c r="Q133">
        <v>231</v>
      </c>
      <c r="R133">
        <v>0</v>
      </c>
      <c r="S133">
        <v>0</v>
      </c>
      <c r="T133" t="s">
        <v>52</v>
      </c>
      <c r="U133">
        <v>0</v>
      </c>
      <c r="V133">
        <v>0</v>
      </c>
      <c r="W133">
        <v>400028</v>
      </c>
      <c r="X133" t="s">
        <v>56</v>
      </c>
      <c r="Y133" t="s">
        <v>57</v>
      </c>
      <c r="AE133">
        <v>0</v>
      </c>
      <c r="AP133" t="s">
        <v>246</v>
      </c>
    </row>
    <row r="134" spans="1:42">
      <c r="A134" s="1" t="s">
        <v>46</v>
      </c>
      <c r="B134" s="1" t="s">
        <v>355</v>
      </c>
      <c r="C134" s="1" t="s">
        <v>355</v>
      </c>
      <c r="E134" s="4" t="s">
        <v>356</v>
      </c>
      <c r="G134" s="16"/>
      <c r="M134">
        <v>1</v>
      </c>
      <c r="N134">
        <v>19</v>
      </c>
      <c r="O134">
        <v>0</v>
      </c>
      <c r="P134">
        <v>2</v>
      </c>
      <c r="Q134">
        <v>38</v>
      </c>
      <c r="W134">
        <v>410260</v>
      </c>
      <c r="AE134">
        <v>0</v>
      </c>
      <c r="AP134" t="s">
        <v>198</v>
      </c>
    </row>
    <row r="135" spans="1:42">
      <c r="A135" s="1" t="s">
        <v>46</v>
      </c>
      <c r="B135" s="1" t="s">
        <v>357</v>
      </c>
      <c r="C135" s="1" t="s">
        <v>357</v>
      </c>
      <c r="E135" s="4" t="s">
        <v>358</v>
      </c>
      <c r="G135" s="16"/>
      <c r="I135">
        <v>0.65</v>
      </c>
      <c r="M135">
        <v>1</v>
      </c>
      <c r="N135">
        <v>-152</v>
      </c>
      <c r="O135">
        <v>0</v>
      </c>
      <c r="P135">
        <v>0.25</v>
      </c>
      <c r="Q135">
        <v>-38</v>
      </c>
      <c r="R135" t="s">
        <v>172</v>
      </c>
      <c r="S135">
        <v>0</v>
      </c>
      <c r="T135" t="s">
        <v>52</v>
      </c>
      <c r="U135">
        <v>0</v>
      </c>
      <c r="V135">
        <v>0</v>
      </c>
      <c r="W135">
        <v>400036</v>
      </c>
      <c r="AE135">
        <v>0</v>
      </c>
      <c r="AH135">
        <v>0.65</v>
      </c>
      <c r="AP135" t="s">
        <v>315</v>
      </c>
    </row>
    <row r="136" spans="1:42">
      <c r="A136" s="1" t="s">
        <v>46</v>
      </c>
      <c r="B136" s="1" t="s">
        <v>359</v>
      </c>
      <c r="C136" s="1" t="s">
        <v>359</v>
      </c>
      <c r="E136" s="4" t="s">
        <v>360</v>
      </c>
      <c r="G136" s="16"/>
      <c r="I136">
        <v>0.65</v>
      </c>
      <c r="M136">
        <v>1</v>
      </c>
      <c r="N136">
        <v>-178</v>
      </c>
      <c r="O136">
        <v>0</v>
      </c>
      <c r="P136">
        <v>0.15</v>
      </c>
      <c r="Q136">
        <v>-27.41</v>
      </c>
      <c r="R136" t="s">
        <v>172</v>
      </c>
      <c r="S136">
        <v>0</v>
      </c>
      <c r="T136" t="s">
        <v>52</v>
      </c>
      <c r="U136">
        <v>0</v>
      </c>
      <c r="V136">
        <v>0</v>
      </c>
      <c r="W136">
        <v>400036</v>
      </c>
      <c r="AE136">
        <v>0</v>
      </c>
      <c r="AH136">
        <v>0.65</v>
      </c>
      <c r="AP136" t="s">
        <v>315</v>
      </c>
    </row>
    <row r="137" spans="1:42">
      <c r="A137" s="1" t="s">
        <v>46</v>
      </c>
      <c r="B137" s="1" t="s">
        <v>361</v>
      </c>
      <c r="C137" s="1" t="s">
        <v>361</v>
      </c>
      <c r="E137" s="4" t="s">
        <v>362</v>
      </c>
      <c r="G137" s="16"/>
      <c r="M137">
        <v>1</v>
      </c>
      <c r="N137">
        <v>83</v>
      </c>
      <c r="O137">
        <v>0</v>
      </c>
      <c r="P137">
        <v>4</v>
      </c>
      <c r="Q137">
        <v>332</v>
      </c>
      <c r="R137">
        <v>0</v>
      </c>
      <c r="S137">
        <v>0</v>
      </c>
      <c r="T137" t="s">
        <v>52</v>
      </c>
      <c r="U137">
        <v>0</v>
      </c>
      <c r="V137">
        <v>0</v>
      </c>
      <c r="W137">
        <v>400028</v>
      </c>
      <c r="X137" t="s">
        <v>56</v>
      </c>
      <c r="Y137" t="s">
        <v>57</v>
      </c>
      <c r="AE137">
        <v>0</v>
      </c>
      <c r="AP137" t="s">
        <v>246</v>
      </c>
    </row>
    <row r="138" spans="1:42">
      <c r="A138" s="1" t="s">
        <v>46</v>
      </c>
      <c r="B138" s="1" t="s">
        <v>363</v>
      </c>
      <c r="C138" s="1" t="s">
        <v>363</v>
      </c>
      <c r="E138" s="4" t="s">
        <v>364</v>
      </c>
      <c r="G138" s="16"/>
      <c r="M138">
        <v>1</v>
      </c>
      <c r="N138">
        <v>217</v>
      </c>
      <c r="O138">
        <v>0</v>
      </c>
      <c r="P138">
        <v>0.69</v>
      </c>
      <c r="Q138">
        <v>149.72999999999999</v>
      </c>
      <c r="R138" t="s">
        <v>176</v>
      </c>
      <c r="S138">
        <v>0</v>
      </c>
      <c r="T138" t="s">
        <v>52</v>
      </c>
      <c r="U138">
        <v>0</v>
      </c>
      <c r="V138">
        <v>0</v>
      </c>
      <c r="W138">
        <v>400061</v>
      </c>
      <c r="X138" t="s">
        <v>56</v>
      </c>
      <c r="Y138" t="s">
        <v>57</v>
      </c>
      <c r="AE138">
        <v>0</v>
      </c>
      <c r="AP138" t="s">
        <v>169</v>
      </c>
    </row>
    <row r="139" spans="1:42">
      <c r="A139" s="1" t="s">
        <v>46</v>
      </c>
      <c r="B139" s="1" t="s">
        <v>365</v>
      </c>
      <c r="C139" s="1" t="s">
        <v>365</v>
      </c>
      <c r="E139" s="4" t="s">
        <v>366</v>
      </c>
      <c r="G139" s="16"/>
      <c r="I139">
        <v>0.55000000000000004</v>
      </c>
      <c r="M139">
        <v>1</v>
      </c>
      <c r="N139">
        <v>-84</v>
      </c>
      <c r="O139">
        <v>0</v>
      </c>
      <c r="P139">
        <v>0.16</v>
      </c>
      <c r="Q139">
        <v>-13.86</v>
      </c>
      <c r="R139" t="s">
        <v>172</v>
      </c>
      <c r="S139">
        <v>0</v>
      </c>
      <c r="T139" t="s">
        <v>52</v>
      </c>
      <c r="U139">
        <v>0</v>
      </c>
      <c r="V139">
        <v>0</v>
      </c>
      <c r="W139">
        <v>400036</v>
      </c>
      <c r="AE139">
        <v>0</v>
      </c>
      <c r="AH139">
        <v>0.55000000000000004</v>
      </c>
      <c r="AP139" t="s">
        <v>315</v>
      </c>
    </row>
    <row r="140" spans="1:42">
      <c r="A140" s="1" t="s">
        <v>46</v>
      </c>
      <c r="B140" s="1" t="s">
        <v>367</v>
      </c>
      <c r="C140" s="1" t="s">
        <v>367</v>
      </c>
      <c r="E140" s="4" t="s">
        <v>368</v>
      </c>
      <c r="G140" s="16">
        <v>5</v>
      </c>
      <c r="I140">
        <v>6.23</v>
      </c>
      <c r="M140">
        <v>1</v>
      </c>
      <c r="N140">
        <v>29.5</v>
      </c>
      <c r="O140">
        <v>0</v>
      </c>
      <c r="P140">
        <v>33.020000000000003</v>
      </c>
      <c r="Q140">
        <v>974.09</v>
      </c>
      <c r="R140" t="s">
        <v>212</v>
      </c>
      <c r="S140">
        <v>0</v>
      </c>
      <c r="T140" t="s">
        <v>209</v>
      </c>
      <c r="U140">
        <v>0</v>
      </c>
      <c r="V140">
        <v>0</v>
      </c>
      <c r="W140">
        <v>400023</v>
      </c>
      <c r="AE140">
        <v>0</v>
      </c>
      <c r="AH140">
        <v>6.23</v>
      </c>
      <c r="AP140" t="s">
        <v>369</v>
      </c>
    </row>
    <row r="141" spans="1:42">
      <c r="A141" s="1" t="s">
        <v>46</v>
      </c>
      <c r="B141" s="1" t="s">
        <v>370</v>
      </c>
      <c r="C141" s="1" t="s">
        <v>370</v>
      </c>
      <c r="E141" s="4" t="s">
        <v>371</v>
      </c>
      <c r="G141" s="16">
        <v>3.5</v>
      </c>
      <c r="M141">
        <v>1</v>
      </c>
      <c r="N141">
        <v>-1</v>
      </c>
      <c r="O141">
        <v>0</v>
      </c>
      <c r="P141">
        <v>28.15</v>
      </c>
      <c r="Q141">
        <v>-28.15</v>
      </c>
      <c r="R141" t="s">
        <v>294</v>
      </c>
      <c r="S141">
        <v>0</v>
      </c>
      <c r="T141" t="s">
        <v>209</v>
      </c>
      <c r="W141">
        <v>400026</v>
      </c>
      <c r="AE141">
        <v>0</v>
      </c>
      <c r="AP141" t="s">
        <v>187</v>
      </c>
    </row>
    <row r="142" spans="1:42">
      <c r="A142" s="1" t="s">
        <v>46</v>
      </c>
      <c r="B142" s="1" t="s">
        <v>372</v>
      </c>
      <c r="C142" s="1" t="s">
        <v>372</v>
      </c>
      <c r="E142" s="4" t="s">
        <v>373</v>
      </c>
      <c r="G142" s="16">
        <v>2.75</v>
      </c>
      <c r="M142">
        <v>1</v>
      </c>
      <c r="N142">
        <v>21</v>
      </c>
      <c r="O142">
        <v>0</v>
      </c>
      <c r="P142">
        <v>31.15</v>
      </c>
      <c r="Q142">
        <v>654.12</v>
      </c>
      <c r="W142">
        <v>400013</v>
      </c>
      <c r="AE142">
        <v>0</v>
      </c>
      <c r="AP142" t="s">
        <v>232</v>
      </c>
    </row>
    <row r="143" spans="1:42">
      <c r="A143" s="1" t="s">
        <v>46</v>
      </c>
      <c r="B143" s="1" t="s">
        <v>374</v>
      </c>
      <c r="C143" s="1" t="s">
        <v>374</v>
      </c>
      <c r="E143" s="4" t="s">
        <v>375</v>
      </c>
      <c r="G143" s="16"/>
      <c r="M143">
        <v>1</v>
      </c>
      <c r="N143">
        <v>362</v>
      </c>
      <c r="O143">
        <v>0</v>
      </c>
      <c r="P143">
        <v>0.65</v>
      </c>
      <c r="Q143">
        <v>235.3</v>
      </c>
      <c r="R143" t="s">
        <v>176</v>
      </c>
      <c r="S143">
        <v>0</v>
      </c>
      <c r="T143" t="s">
        <v>52</v>
      </c>
      <c r="U143">
        <v>0</v>
      </c>
      <c r="V143">
        <v>0</v>
      </c>
      <c r="W143">
        <v>400061</v>
      </c>
      <c r="X143" t="s">
        <v>56</v>
      </c>
      <c r="Y143" t="s">
        <v>57</v>
      </c>
      <c r="AE143">
        <v>0</v>
      </c>
      <c r="AP143" t="s">
        <v>169</v>
      </c>
    </row>
    <row r="144" spans="1:42">
      <c r="A144" s="1" t="s">
        <v>46</v>
      </c>
      <c r="B144" s="1" t="s">
        <v>376</v>
      </c>
      <c r="C144" s="1" t="s">
        <v>376</v>
      </c>
      <c r="E144" s="4" t="s">
        <v>375</v>
      </c>
      <c r="G144" s="16">
        <v>10</v>
      </c>
      <c r="M144">
        <v>1</v>
      </c>
      <c r="N144">
        <v>675</v>
      </c>
      <c r="O144">
        <v>0</v>
      </c>
      <c r="P144">
        <v>0.62</v>
      </c>
      <c r="Q144">
        <v>418.5</v>
      </c>
      <c r="R144" t="s">
        <v>377</v>
      </c>
      <c r="S144">
        <v>0</v>
      </c>
      <c r="T144" t="s">
        <v>52</v>
      </c>
      <c r="U144">
        <v>0</v>
      </c>
      <c r="V144">
        <v>0</v>
      </c>
      <c r="W144">
        <v>400061</v>
      </c>
      <c r="AE144">
        <v>0</v>
      </c>
      <c r="AP144" t="s">
        <v>169</v>
      </c>
    </row>
    <row r="145" spans="1:42">
      <c r="A145" s="1" t="s">
        <v>46</v>
      </c>
      <c r="B145" s="1" t="s">
        <v>378</v>
      </c>
      <c r="C145" s="1" t="s">
        <v>378</v>
      </c>
      <c r="E145" s="4" t="s">
        <v>379</v>
      </c>
      <c r="G145" s="16"/>
      <c r="M145">
        <v>1</v>
      </c>
      <c r="N145">
        <v>472</v>
      </c>
      <c r="O145">
        <v>0</v>
      </c>
      <c r="P145">
        <v>1.2</v>
      </c>
      <c r="Q145">
        <v>566.4</v>
      </c>
      <c r="R145">
        <v>0</v>
      </c>
      <c r="S145">
        <v>0</v>
      </c>
      <c r="T145" t="s">
        <v>52</v>
      </c>
      <c r="U145">
        <v>0</v>
      </c>
      <c r="V145">
        <v>0</v>
      </c>
      <c r="W145">
        <v>400195</v>
      </c>
      <c r="AE145">
        <v>0</v>
      </c>
      <c r="AP145" t="s">
        <v>380</v>
      </c>
    </row>
    <row r="146" spans="1:42">
      <c r="A146" s="1" t="s">
        <v>46</v>
      </c>
      <c r="B146" s="1" t="s">
        <v>381</v>
      </c>
      <c r="C146" s="1" t="s">
        <v>381</v>
      </c>
      <c r="E146" s="4" t="s">
        <v>382</v>
      </c>
      <c r="G146" s="16">
        <v>3.5</v>
      </c>
      <c r="M146">
        <v>1</v>
      </c>
      <c r="N146">
        <v>36</v>
      </c>
      <c r="O146">
        <v>0</v>
      </c>
      <c r="P146">
        <v>4</v>
      </c>
      <c r="Q146">
        <v>144</v>
      </c>
      <c r="R146">
        <v>0</v>
      </c>
      <c r="S146">
        <v>0</v>
      </c>
      <c r="T146" t="s">
        <v>52</v>
      </c>
      <c r="U146">
        <v>0</v>
      </c>
      <c r="V146">
        <v>0</v>
      </c>
      <c r="W146">
        <v>410120</v>
      </c>
      <c r="AE146">
        <v>0</v>
      </c>
      <c r="AP146" t="s">
        <v>112</v>
      </c>
    </row>
    <row r="147" spans="1:42">
      <c r="A147" s="1" t="s">
        <v>46</v>
      </c>
      <c r="B147" s="1" t="s">
        <v>383</v>
      </c>
      <c r="C147" s="1" t="s">
        <v>383</v>
      </c>
      <c r="E147" s="4" t="s">
        <v>384</v>
      </c>
      <c r="G147" s="16">
        <v>0.25</v>
      </c>
      <c r="M147">
        <v>1</v>
      </c>
      <c r="N147">
        <v>8</v>
      </c>
      <c r="O147">
        <v>0</v>
      </c>
      <c r="P147">
        <v>76</v>
      </c>
      <c r="Q147">
        <v>608</v>
      </c>
      <c r="R147" t="s">
        <v>176</v>
      </c>
      <c r="S147">
        <v>0</v>
      </c>
      <c r="T147" t="s">
        <v>227</v>
      </c>
      <c r="U147">
        <v>0</v>
      </c>
      <c r="V147">
        <v>0</v>
      </c>
      <c r="W147">
        <v>400061</v>
      </c>
      <c r="X147" t="s">
        <v>56</v>
      </c>
      <c r="Y147" t="s">
        <v>57</v>
      </c>
      <c r="AE147">
        <v>0</v>
      </c>
      <c r="AP147" t="s">
        <v>169</v>
      </c>
    </row>
    <row r="148" spans="1:42">
      <c r="A148" s="1" t="s">
        <v>46</v>
      </c>
      <c r="B148" s="1" t="s">
        <v>385</v>
      </c>
      <c r="C148" s="1" t="s">
        <v>385</v>
      </c>
      <c r="E148" s="4" t="s">
        <v>386</v>
      </c>
      <c r="G148" s="16">
        <v>0.75</v>
      </c>
      <c r="M148">
        <v>1</v>
      </c>
      <c r="N148">
        <v>290</v>
      </c>
      <c r="O148">
        <v>0</v>
      </c>
      <c r="P148">
        <v>6</v>
      </c>
      <c r="Q148">
        <v>1740</v>
      </c>
      <c r="R148">
        <v>0</v>
      </c>
      <c r="S148">
        <v>0</v>
      </c>
      <c r="T148" t="s">
        <v>52</v>
      </c>
      <c r="W148">
        <v>400030</v>
      </c>
      <c r="AE148">
        <v>0</v>
      </c>
      <c r="AP148" t="s">
        <v>92</v>
      </c>
    </row>
    <row r="149" spans="1:42">
      <c r="A149" s="1" t="s">
        <v>46</v>
      </c>
      <c r="B149" s="1" t="s">
        <v>387</v>
      </c>
      <c r="C149" s="1" t="s">
        <v>387</v>
      </c>
      <c r="E149" s="4" t="s">
        <v>388</v>
      </c>
      <c r="G149" s="16">
        <v>1</v>
      </c>
      <c r="M149">
        <v>1</v>
      </c>
      <c r="N149">
        <v>46</v>
      </c>
      <c r="O149">
        <v>0</v>
      </c>
      <c r="P149">
        <v>0.45</v>
      </c>
      <c r="Q149">
        <v>20.7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410120</v>
      </c>
      <c r="AE149">
        <v>0</v>
      </c>
      <c r="AP149" t="s">
        <v>112</v>
      </c>
    </row>
    <row r="150" spans="1:42">
      <c r="A150" s="1" t="s">
        <v>46</v>
      </c>
      <c r="B150" s="1" t="s">
        <v>389</v>
      </c>
      <c r="C150" s="1" t="s">
        <v>389</v>
      </c>
      <c r="E150" s="4" t="s">
        <v>390</v>
      </c>
      <c r="G150" s="16">
        <v>1</v>
      </c>
      <c r="M150">
        <v>1</v>
      </c>
      <c r="N150">
        <v>1251</v>
      </c>
      <c r="O150">
        <v>0</v>
      </c>
      <c r="P150">
        <v>0.39</v>
      </c>
      <c r="Q150">
        <v>483.26</v>
      </c>
      <c r="R150">
        <v>0</v>
      </c>
      <c r="S150">
        <v>0</v>
      </c>
      <c r="T150" t="s">
        <v>17</v>
      </c>
      <c r="U150">
        <v>0</v>
      </c>
      <c r="V150">
        <v>0</v>
      </c>
      <c r="W150">
        <v>400215</v>
      </c>
      <c r="AE150">
        <v>0</v>
      </c>
      <c r="AP150" t="s">
        <v>195</v>
      </c>
    </row>
    <row r="151" spans="1:42">
      <c r="A151" s="1" t="s">
        <v>46</v>
      </c>
      <c r="B151" s="1" t="s">
        <v>391</v>
      </c>
      <c r="C151" s="1" t="s">
        <v>391</v>
      </c>
      <c r="E151" s="4" t="s">
        <v>392</v>
      </c>
      <c r="G151" s="16">
        <v>10</v>
      </c>
      <c r="M151">
        <v>1</v>
      </c>
      <c r="N151">
        <v>3453</v>
      </c>
      <c r="O151">
        <v>0</v>
      </c>
      <c r="P151">
        <v>0.25</v>
      </c>
      <c r="Q151">
        <v>863.25</v>
      </c>
      <c r="R151" t="s">
        <v>176</v>
      </c>
      <c r="S151">
        <v>0</v>
      </c>
      <c r="T151" t="s">
        <v>52</v>
      </c>
      <c r="U151">
        <v>0</v>
      </c>
      <c r="V151">
        <v>0</v>
      </c>
      <c r="W151">
        <v>400061</v>
      </c>
      <c r="X151" t="s">
        <v>56</v>
      </c>
      <c r="Y151" t="s">
        <v>57</v>
      </c>
      <c r="AE151">
        <v>0</v>
      </c>
      <c r="AP151" t="s">
        <v>169</v>
      </c>
    </row>
    <row r="152" spans="1:42">
      <c r="A152" s="1" t="s">
        <v>46</v>
      </c>
      <c r="B152" s="1" t="s">
        <v>393</v>
      </c>
      <c r="C152" s="1" t="s">
        <v>393</v>
      </c>
      <c r="E152" s="4" t="s">
        <v>394</v>
      </c>
      <c r="G152" s="16">
        <v>5</v>
      </c>
      <c r="M152">
        <v>1</v>
      </c>
      <c r="N152">
        <v>-26</v>
      </c>
      <c r="O152">
        <v>0</v>
      </c>
      <c r="P152">
        <v>0.25</v>
      </c>
      <c r="Q152">
        <v>-6.5</v>
      </c>
      <c r="R152">
        <v>0</v>
      </c>
      <c r="S152">
        <v>0</v>
      </c>
      <c r="T152" t="s">
        <v>52</v>
      </c>
      <c r="U152">
        <v>0</v>
      </c>
      <c r="V152">
        <v>0</v>
      </c>
      <c r="W152">
        <v>400004</v>
      </c>
      <c r="AE152">
        <v>0</v>
      </c>
      <c r="AP152" t="s">
        <v>352</v>
      </c>
    </row>
    <row r="153" spans="1:42">
      <c r="A153" s="1" t="s">
        <v>46</v>
      </c>
      <c r="B153" s="1" t="s">
        <v>395</v>
      </c>
      <c r="C153" s="1" t="s">
        <v>395</v>
      </c>
      <c r="E153" s="4" t="s">
        <v>396</v>
      </c>
      <c r="G153" s="16">
        <v>3.25</v>
      </c>
      <c r="M153">
        <v>1</v>
      </c>
      <c r="N153">
        <v>-2</v>
      </c>
      <c r="O153">
        <v>0</v>
      </c>
      <c r="P153">
        <v>2.25</v>
      </c>
      <c r="Q153">
        <v>-4.5</v>
      </c>
      <c r="R153" t="s">
        <v>377</v>
      </c>
      <c r="S153">
        <v>0</v>
      </c>
      <c r="T153" t="s">
        <v>52</v>
      </c>
      <c r="W153">
        <v>400004</v>
      </c>
      <c r="AE153">
        <v>0</v>
      </c>
      <c r="AP153" t="s">
        <v>352</v>
      </c>
    </row>
    <row r="154" spans="1:42" ht="15.6">
      <c r="E154" s="13" t="s">
        <v>397</v>
      </c>
      <c r="G154" s="16"/>
    </row>
    <row r="155" spans="1:42" ht="15.6">
      <c r="A155" s="1" t="s">
        <v>46</v>
      </c>
      <c r="B155" s="1" t="s">
        <v>398</v>
      </c>
      <c r="C155" s="1" t="s">
        <v>398</v>
      </c>
      <c r="E155" s="13" t="s">
        <v>399</v>
      </c>
      <c r="G155" s="16"/>
      <c r="M155">
        <v>1</v>
      </c>
      <c r="N155">
        <v>176</v>
      </c>
      <c r="O155">
        <v>0</v>
      </c>
      <c r="P155">
        <v>2</v>
      </c>
      <c r="Q155">
        <v>352</v>
      </c>
      <c r="R155">
        <v>0</v>
      </c>
      <c r="S155">
        <v>0</v>
      </c>
      <c r="T155" t="s">
        <v>52</v>
      </c>
      <c r="U155">
        <v>0</v>
      </c>
      <c r="V155">
        <v>0</v>
      </c>
      <c r="W155">
        <v>400190</v>
      </c>
      <c r="AE155">
        <v>0</v>
      </c>
      <c r="AP155" t="s">
        <v>286</v>
      </c>
    </row>
    <row r="156" spans="1:42" ht="15.6">
      <c r="A156" s="1" t="s">
        <v>46</v>
      </c>
      <c r="B156" s="1" t="s">
        <v>400</v>
      </c>
      <c r="C156" s="1" t="s">
        <v>400</v>
      </c>
      <c r="E156" s="13" t="s">
        <v>401</v>
      </c>
      <c r="G156" s="16"/>
      <c r="M156">
        <v>1</v>
      </c>
      <c r="N156">
        <v>50</v>
      </c>
      <c r="O156">
        <v>0</v>
      </c>
      <c r="P156">
        <v>3.5</v>
      </c>
      <c r="Q156">
        <v>175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400158</v>
      </c>
      <c r="AE156">
        <v>0</v>
      </c>
      <c r="AP156" t="s">
        <v>61</v>
      </c>
    </row>
    <row r="157" spans="1:42" ht="15.6">
      <c r="A157" s="1" t="s">
        <v>46</v>
      </c>
      <c r="B157" s="1" t="s">
        <v>402</v>
      </c>
      <c r="C157" s="1" t="s">
        <v>402</v>
      </c>
      <c r="E157" s="13" t="s">
        <v>403</v>
      </c>
      <c r="G157" s="16"/>
      <c r="M157">
        <v>1</v>
      </c>
      <c r="N157">
        <v>-861</v>
      </c>
      <c r="O157">
        <v>0</v>
      </c>
      <c r="P157">
        <v>4</v>
      </c>
      <c r="Q157">
        <v>-3444</v>
      </c>
      <c r="R157">
        <v>0</v>
      </c>
      <c r="S157">
        <v>0</v>
      </c>
      <c r="T157">
        <v>0</v>
      </c>
      <c r="W157">
        <v>400032</v>
      </c>
      <c r="AE157">
        <v>0</v>
      </c>
      <c r="AP157" t="s">
        <v>404</v>
      </c>
    </row>
    <row r="158" spans="1:42" ht="15.6">
      <c r="A158" s="1" t="s">
        <v>46</v>
      </c>
      <c r="B158" s="1" t="s">
        <v>405</v>
      </c>
      <c r="C158" s="1" t="s">
        <v>405</v>
      </c>
      <c r="E158" s="13" t="s">
        <v>406</v>
      </c>
      <c r="G158" s="16"/>
      <c r="M158">
        <v>1</v>
      </c>
      <c r="N158">
        <v>909</v>
      </c>
      <c r="O158">
        <v>0</v>
      </c>
      <c r="P158">
        <v>6</v>
      </c>
      <c r="Q158">
        <v>5454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400046</v>
      </c>
      <c r="X158" t="s">
        <v>56</v>
      </c>
      <c r="Y158" t="s">
        <v>57</v>
      </c>
      <c r="AE158">
        <v>0</v>
      </c>
      <c r="AP158" t="s">
        <v>407</v>
      </c>
    </row>
    <row r="159" spans="1:42">
      <c r="A159" s="1" t="s">
        <v>46</v>
      </c>
      <c r="B159" s="1" t="s">
        <v>408</v>
      </c>
      <c r="C159" s="1" t="s">
        <v>408</v>
      </c>
      <c r="E159" s="4" t="s">
        <v>409</v>
      </c>
      <c r="G159" s="16">
        <v>0.75</v>
      </c>
      <c r="I159">
        <v>0.55000000000000004</v>
      </c>
      <c r="M159">
        <v>1</v>
      </c>
      <c r="N159">
        <v>-17</v>
      </c>
      <c r="O159">
        <v>0</v>
      </c>
      <c r="P159">
        <v>0.16</v>
      </c>
      <c r="Q159">
        <v>-2.8</v>
      </c>
      <c r="R159" t="s">
        <v>172</v>
      </c>
      <c r="S159">
        <v>0</v>
      </c>
      <c r="T159" t="s">
        <v>52</v>
      </c>
      <c r="U159">
        <v>0</v>
      </c>
      <c r="V159">
        <v>0</v>
      </c>
      <c r="W159">
        <v>400036</v>
      </c>
      <c r="AE159">
        <v>0</v>
      </c>
      <c r="AH159">
        <v>0.55000000000000004</v>
      </c>
      <c r="AP159" t="s">
        <v>315</v>
      </c>
    </row>
    <row r="160" spans="1:42">
      <c r="A160" s="1" t="s">
        <v>46</v>
      </c>
      <c r="B160" s="1" t="s">
        <v>410</v>
      </c>
      <c r="C160" s="1" t="s">
        <v>410</v>
      </c>
      <c r="E160" s="4" t="s">
        <v>411</v>
      </c>
      <c r="G160" s="16">
        <v>0.75</v>
      </c>
      <c r="M160">
        <v>1</v>
      </c>
      <c r="N160">
        <v>75</v>
      </c>
      <c r="O160">
        <v>0</v>
      </c>
      <c r="P160">
        <v>1.35</v>
      </c>
      <c r="Q160">
        <v>101.25</v>
      </c>
      <c r="W160">
        <v>400110</v>
      </c>
      <c r="AE160">
        <v>0</v>
      </c>
      <c r="AP160" t="s">
        <v>344</v>
      </c>
    </row>
    <row r="161" spans="1:42">
      <c r="A161" s="1" t="s">
        <v>46</v>
      </c>
      <c r="B161" s="1" t="s">
        <v>412</v>
      </c>
      <c r="C161" s="1" t="s">
        <v>412</v>
      </c>
      <c r="E161" s="4" t="s">
        <v>413</v>
      </c>
      <c r="G161" s="16"/>
      <c r="M161">
        <v>1</v>
      </c>
      <c r="N161">
        <v>-11</v>
      </c>
      <c r="O161">
        <v>0</v>
      </c>
      <c r="P161">
        <v>0.24</v>
      </c>
      <c r="Q161">
        <v>-2.64</v>
      </c>
      <c r="R161">
        <v>0</v>
      </c>
      <c r="S161">
        <v>0</v>
      </c>
      <c r="T161" t="s">
        <v>52</v>
      </c>
      <c r="U161">
        <v>0</v>
      </c>
      <c r="V161">
        <v>0</v>
      </c>
      <c r="W161">
        <v>400110</v>
      </c>
      <c r="AE161">
        <v>0</v>
      </c>
      <c r="AP161" t="s">
        <v>344</v>
      </c>
    </row>
    <row r="162" spans="1:42">
      <c r="A162" s="1" t="s">
        <v>46</v>
      </c>
      <c r="B162" s="1" t="s">
        <v>414</v>
      </c>
      <c r="C162" s="1" t="s">
        <v>414</v>
      </c>
      <c r="E162" s="4" t="s">
        <v>415</v>
      </c>
      <c r="G162" s="16">
        <v>0.65</v>
      </c>
      <c r="M162">
        <v>1</v>
      </c>
      <c r="N162">
        <v>1</v>
      </c>
      <c r="O162">
        <v>0</v>
      </c>
      <c r="P162">
        <v>3.5</v>
      </c>
      <c r="Q162">
        <v>3.5</v>
      </c>
      <c r="R162" t="s">
        <v>176</v>
      </c>
      <c r="S162">
        <v>0</v>
      </c>
      <c r="T162" t="s">
        <v>52</v>
      </c>
      <c r="U162">
        <v>0</v>
      </c>
      <c r="V162">
        <v>0</v>
      </c>
      <c r="W162">
        <v>400061</v>
      </c>
      <c r="AE162">
        <v>0</v>
      </c>
      <c r="AP162" t="s">
        <v>169</v>
      </c>
    </row>
    <row r="163" spans="1:42">
      <c r="A163" s="1" t="s">
        <v>46</v>
      </c>
      <c r="B163" s="1" t="s">
        <v>416</v>
      </c>
      <c r="C163" s="1" t="s">
        <v>416</v>
      </c>
      <c r="E163" s="4" t="s">
        <v>417</v>
      </c>
      <c r="G163" s="16"/>
      <c r="M163">
        <v>1</v>
      </c>
      <c r="N163">
        <v>173</v>
      </c>
      <c r="O163">
        <v>0</v>
      </c>
      <c r="P163">
        <v>1.2</v>
      </c>
      <c r="Q163">
        <v>207.6</v>
      </c>
      <c r="R163">
        <v>0</v>
      </c>
      <c r="S163">
        <v>0</v>
      </c>
      <c r="T163" t="s">
        <v>52</v>
      </c>
      <c r="W163">
        <v>400110</v>
      </c>
      <c r="AE163">
        <v>0</v>
      </c>
      <c r="AP163" t="s">
        <v>344</v>
      </c>
    </row>
    <row r="164" spans="1:42">
      <c r="A164" s="1" t="s">
        <v>46</v>
      </c>
      <c r="B164" s="1" t="s">
        <v>418</v>
      </c>
      <c r="C164" s="1" t="s">
        <v>418</v>
      </c>
      <c r="E164" s="4" t="s">
        <v>419</v>
      </c>
      <c r="G164" s="16">
        <v>0.75</v>
      </c>
      <c r="M164">
        <v>1</v>
      </c>
      <c r="N164">
        <v>48</v>
      </c>
      <c r="O164">
        <v>0</v>
      </c>
      <c r="P164">
        <v>1</v>
      </c>
      <c r="Q164">
        <v>48</v>
      </c>
      <c r="R164">
        <v>0</v>
      </c>
      <c r="S164">
        <v>0</v>
      </c>
      <c r="T164" t="s">
        <v>52</v>
      </c>
      <c r="U164">
        <v>0</v>
      </c>
      <c r="V164">
        <v>0</v>
      </c>
      <c r="W164">
        <v>400110</v>
      </c>
      <c r="AE164">
        <v>0</v>
      </c>
      <c r="AP164" t="s">
        <v>344</v>
      </c>
    </row>
    <row r="165" spans="1:42">
      <c r="A165" s="1" t="s">
        <v>46</v>
      </c>
      <c r="B165" s="1" t="s">
        <v>420</v>
      </c>
      <c r="C165" s="1" t="s">
        <v>420</v>
      </c>
      <c r="E165" s="4" t="s">
        <v>421</v>
      </c>
      <c r="G165" s="16">
        <v>0.35</v>
      </c>
      <c r="M165">
        <v>1</v>
      </c>
      <c r="N165">
        <v>-35</v>
      </c>
      <c r="O165">
        <v>0</v>
      </c>
      <c r="P165">
        <v>0.9</v>
      </c>
      <c r="Q165">
        <v>-31.5</v>
      </c>
      <c r="R165">
        <v>0</v>
      </c>
      <c r="S165">
        <v>0</v>
      </c>
      <c r="T165" t="s">
        <v>52</v>
      </c>
      <c r="W165">
        <v>400043</v>
      </c>
      <c r="AE165">
        <v>0</v>
      </c>
      <c r="AP165" t="s">
        <v>422</v>
      </c>
    </row>
    <row r="166" spans="1:42">
      <c r="A166" s="1" t="s">
        <v>46</v>
      </c>
      <c r="B166" s="1" t="s">
        <v>423</v>
      </c>
      <c r="C166" s="1" t="s">
        <v>423</v>
      </c>
      <c r="E166" s="4" t="s">
        <v>424</v>
      </c>
      <c r="G166" s="16">
        <v>0.5</v>
      </c>
      <c r="M166">
        <v>1</v>
      </c>
      <c r="N166">
        <v>4276</v>
      </c>
      <c r="O166">
        <v>0</v>
      </c>
      <c r="P166">
        <v>0.25</v>
      </c>
      <c r="Q166">
        <v>1069</v>
      </c>
      <c r="R166" t="s">
        <v>176</v>
      </c>
      <c r="S166">
        <v>0</v>
      </c>
      <c r="T166" t="s">
        <v>52</v>
      </c>
      <c r="U166">
        <v>0</v>
      </c>
      <c r="V166">
        <v>0</v>
      </c>
      <c r="W166">
        <v>400061</v>
      </c>
      <c r="X166" t="s">
        <v>56</v>
      </c>
      <c r="Y166" t="s">
        <v>57</v>
      </c>
      <c r="AE166">
        <v>0</v>
      </c>
      <c r="AP166" t="s">
        <v>169</v>
      </c>
    </row>
    <row r="167" spans="1:42">
      <c r="A167" s="1" t="s">
        <v>46</v>
      </c>
      <c r="B167" s="1" t="s">
        <v>425</v>
      </c>
      <c r="C167" s="1" t="s">
        <v>425</v>
      </c>
      <c r="E167" s="4" t="s">
        <v>426</v>
      </c>
      <c r="G167" s="16">
        <v>1</v>
      </c>
      <c r="M167">
        <v>1</v>
      </c>
      <c r="N167">
        <v>-631</v>
      </c>
      <c r="O167">
        <v>0</v>
      </c>
      <c r="P167">
        <v>8</v>
      </c>
      <c r="Q167">
        <v>-5048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400033</v>
      </c>
      <c r="X167" t="s">
        <v>56</v>
      </c>
      <c r="Y167" t="s">
        <v>57</v>
      </c>
      <c r="AE167">
        <v>0</v>
      </c>
      <c r="AP167" t="s">
        <v>126</v>
      </c>
    </row>
    <row r="168" spans="1:42">
      <c r="A168" s="1" t="s">
        <v>46</v>
      </c>
      <c r="B168" s="1" t="s">
        <v>427</v>
      </c>
      <c r="C168" s="1" t="s">
        <v>427</v>
      </c>
      <c r="E168" s="4" t="s">
        <v>428</v>
      </c>
      <c r="G168" s="16"/>
      <c r="M168">
        <v>1</v>
      </c>
      <c r="N168">
        <v>-21</v>
      </c>
      <c r="O168">
        <v>0</v>
      </c>
      <c r="P168">
        <v>0.5</v>
      </c>
      <c r="Q168">
        <v>-10.5</v>
      </c>
      <c r="R168">
        <v>0</v>
      </c>
      <c r="S168">
        <v>0</v>
      </c>
      <c r="T168" t="s">
        <v>52</v>
      </c>
      <c r="U168">
        <v>0</v>
      </c>
      <c r="V168">
        <v>0</v>
      </c>
      <c r="W168">
        <v>400195</v>
      </c>
      <c r="AE168">
        <v>0</v>
      </c>
      <c r="AP168" t="s">
        <v>380</v>
      </c>
    </row>
    <row r="169" spans="1:42">
      <c r="A169" s="1" t="s">
        <v>46</v>
      </c>
      <c r="B169" s="1" t="s">
        <v>429</v>
      </c>
      <c r="C169" s="1" t="s">
        <v>429</v>
      </c>
      <c r="E169" s="4" t="s">
        <v>430</v>
      </c>
      <c r="G169" s="16">
        <v>1.5</v>
      </c>
      <c r="M169">
        <v>1</v>
      </c>
      <c r="N169">
        <v>-154</v>
      </c>
      <c r="O169">
        <v>0</v>
      </c>
      <c r="P169">
        <v>0.55000000000000004</v>
      </c>
      <c r="Q169">
        <v>-84.7</v>
      </c>
      <c r="R169">
        <v>0</v>
      </c>
      <c r="S169">
        <v>0</v>
      </c>
      <c r="T169" t="s">
        <v>52</v>
      </c>
      <c r="U169">
        <v>0</v>
      </c>
      <c r="V169">
        <v>0</v>
      </c>
      <c r="W169">
        <v>410302</v>
      </c>
      <c r="AE169">
        <v>0</v>
      </c>
      <c r="AP169" t="s">
        <v>177</v>
      </c>
    </row>
    <row r="170" spans="1:42">
      <c r="A170" s="1" t="s">
        <v>46</v>
      </c>
      <c r="B170" s="1" t="s">
        <v>431</v>
      </c>
      <c r="C170" s="1" t="s">
        <v>431</v>
      </c>
      <c r="E170" s="4" t="s">
        <v>432</v>
      </c>
      <c r="G170" s="16"/>
      <c r="M170">
        <v>1</v>
      </c>
      <c r="N170">
        <v>122</v>
      </c>
      <c r="O170">
        <v>0</v>
      </c>
      <c r="P170">
        <v>2.1</v>
      </c>
      <c r="Q170">
        <v>256.2</v>
      </c>
      <c r="R170" t="s">
        <v>176</v>
      </c>
      <c r="S170">
        <v>0</v>
      </c>
      <c r="T170" t="s">
        <v>52</v>
      </c>
      <c r="U170">
        <v>0</v>
      </c>
      <c r="V170">
        <v>0</v>
      </c>
      <c r="W170">
        <v>400061</v>
      </c>
      <c r="AE170">
        <v>0</v>
      </c>
      <c r="AP170" t="s">
        <v>169</v>
      </c>
    </row>
    <row r="171" spans="1:42">
      <c r="A171" s="1" t="s">
        <v>46</v>
      </c>
      <c r="B171" s="1" t="s">
        <v>433</v>
      </c>
      <c r="C171" s="1" t="s">
        <v>433</v>
      </c>
      <c r="E171" s="4" t="s">
        <v>434</v>
      </c>
      <c r="G171" s="16"/>
      <c r="M171">
        <v>1</v>
      </c>
      <c r="N171">
        <v>2974</v>
      </c>
      <c r="O171">
        <v>0</v>
      </c>
      <c r="P171">
        <v>4.25</v>
      </c>
      <c r="Q171">
        <v>12639.5</v>
      </c>
      <c r="R171">
        <v>0</v>
      </c>
      <c r="S171">
        <v>0</v>
      </c>
      <c r="T171" t="s">
        <v>52</v>
      </c>
      <c r="U171">
        <v>0</v>
      </c>
      <c r="V171">
        <v>0</v>
      </c>
      <c r="W171">
        <v>400123</v>
      </c>
      <c r="AE171">
        <v>0</v>
      </c>
      <c r="AP171" t="s">
        <v>291</v>
      </c>
    </row>
    <row r="172" spans="1:42">
      <c r="A172" s="1" t="s">
        <v>46</v>
      </c>
      <c r="B172" s="1" t="s">
        <v>435</v>
      </c>
      <c r="C172" s="1" t="s">
        <v>435</v>
      </c>
      <c r="E172" s="4" t="s">
        <v>436</v>
      </c>
      <c r="G172" s="16">
        <v>0.65</v>
      </c>
      <c r="M172">
        <v>1</v>
      </c>
      <c r="N172">
        <v>869</v>
      </c>
      <c r="O172">
        <v>0</v>
      </c>
      <c r="P172">
        <v>0.65</v>
      </c>
      <c r="Q172">
        <v>564.85</v>
      </c>
      <c r="R172">
        <v>0</v>
      </c>
      <c r="S172">
        <v>0</v>
      </c>
      <c r="T172" t="s">
        <v>52</v>
      </c>
      <c r="U172">
        <v>0</v>
      </c>
      <c r="V172">
        <v>0</v>
      </c>
      <c r="W172">
        <v>410120</v>
      </c>
      <c r="X172" t="s">
        <v>56</v>
      </c>
      <c r="Y172" t="s">
        <v>57</v>
      </c>
      <c r="AE172">
        <v>0</v>
      </c>
      <c r="AP172" t="s">
        <v>112</v>
      </c>
    </row>
    <row r="173" spans="1:42">
      <c r="A173" s="1" t="s">
        <v>46</v>
      </c>
      <c r="B173" s="1" t="s">
        <v>437</v>
      </c>
      <c r="C173" s="1" t="s">
        <v>437</v>
      </c>
      <c r="E173" s="4" t="s">
        <v>438</v>
      </c>
      <c r="G173" s="16">
        <v>1.75</v>
      </c>
      <c r="M173">
        <v>1</v>
      </c>
      <c r="N173">
        <v>-54</v>
      </c>
      <c r="O173">
        <v>0</v>
      </c>
      <c r="P173">
        <v>0.26</v>
      </c>
      <c r="Q173">
        <v>-14.04</v>
      </c>
      <c r="R173">
        <v>0</v>
      </c>
      <c r="S173">
        <v>0</v>
      </c>
      <c r="T173" t="s">
        <v>17</v>
      </c>
      <c r="W173">
        <v>400004</v>
      </c>
      <c r="AE173">
        <v>0</v>
      </c>
      <c r="AP173" t="s">
        <v>352</v>
      </c>
    </row>
    <row r="174" spans="1:42">
      <c r="A174" s="1" t="s">
        <v>46</v>
      </c>
      <c r="B174" s="1" t="s">
        <v>439</v>
      </c>
      <c r="C174" s="1" t="s">
        <v>439</v>
      </c>
      <c r="E174" s="4" t="s">
        <v>440</v>
      </c>
      <c r="G174" s="16"/>
      <c r="M174">
        <v>1</v>
      </c>
      <c r="N174">
        <v>3507</v>
      </c>
      <c r="O174">
        <v>0</v>
      </c>
      <c r="P174">
        <v>1.8</v>
      </c>
      <c r="Q174">
        <v>6312.6</v>
      </c>
      <c r="R174">
        <v>0</v>
      </c>
      <c r="S174">
        <v>0</v>
      </c>
      <c r="T174" t="s">
        <v>52</v>
      </c>
      <c r="U174">
        <v>0</v>
      </c>
      <c r="V174">
        <v>0</v>
      </c>
      <c r="W174">
        <v>410120</v>
      </c>
      <c r="X174" t="s">
        <v>56</v>
      </c>
      <c r="Y174" t="s">
        <v>57</v>
      </c>
      <c r="AE174">
        <v>0</v>
      </c>
      <c r="AP174" t="s">
        <v>112</v>
      </c>
    </row>
    <row r="175" spans="1:42">
      <c r="A175" s="1" t="s">
        <v>46</v>
      </c>
      <c r="B175" s="1" t="s">
        <v>439</v>
      </c>
      <c r="C175" s="1" t="s">
        <v>439</v>
      </c>
      <c r="E175" s="4" t="s">
        <v>441</v>
      </c>
      <c r="G175" s="16"/>
      <c r="M175" t="s">
        <v>442</v>
      </c>
      <c r="N175">
        <v>160</v>
      </c>
      <c r="O175">
        <v>0</v>
      </c>
      <c r="P175">
        <v>1.8</v>
      </c>
      <c r="Q175">
        <v>288</v>
      </c>
      <c r="R175">
        <v>0</v>
      </c>
      <c r="S175">
        <v>0</v>
      </c>
      <c r="T175" t="s">
        <v>52</v>
      </c>
      <c r="U175">
        <v>0</v>
      </c>
      <c r="V175">
        <v>0</v>
      </c>
      <c r="W175">
        <v>410120</v>
      </c>
      <c r="X175" t="s">
        <v>56</v>
      </c>
      <c r="Y175" t="s">
        <v>57</v>
      </c>
      <c r="AE175">
        <v>0</v>
      </c>
      <c r="AP175" t="s">
        <v>112</v>
      </c>
    </row>
    <row r="176" spans="1:42">
      <c r="A176" s="1" t="s">
        <v>46</v>
      </c>
      <c r="B176" s="1" t="s">
        <v>443</v>
      </c>
      <c r="C176" s="1" t="s">
        <v>443</v>
      </c>
      <c r="E176" s="4" t="s">
        <v>444</v>
      </c>
      <c r="G176" s="16"/>
      <c r="M176">
        <v>1</v>
      </c>
      <c r="N176">
        <v>816</v>
      </c>
      <c r="O176">
        <v>0</v>
      </c>
      <c r="P176">
        <v>4.75</v>
      </c>
      <c r="Q176">
        <v>3876</v>
      </c>
      <c r="R176">
        <v>0</v>
      </c>
      <c r="S176">
        <v>0</v>
      </c>
      <c r="T176" t="s">
        <v>52</v>
      </c>
      <c r="U176">
        <v>0</v>
      </c>
      <c r="V176">
        <v>0</v>
      </c>
      <c r="W176">
        <v>400028</v>
      </c>
      <c r="AE176">
        <v>0</v>
      </c>
      <c r="AP176" t="s">
        <v>246</v>
      </c>
    </row>
    <row r="177" spans="1:42">
      <c r="A177" s="1" t="s">
        <v>46</v>
      </c>
      <c r="B177" s="1" t="s">
        <v>445</v>
      </c>
      <c r="C177" s="1" t="s">
        <v>445</v>
      </c>
      <c r="E177" s="4" t="s">
        <v>446</v>
      </c>
      <c r="G177" s="16"/>
      <c r="M177">
        <v>1</v>
      </c>
      <c r="N177">
        <v>292</v>
      </c>
      <c r="O177">
        <v>0</v>
      </c>
      <c r="P177">
        <v>0.65</v>
      </c>
      <c r="Q177">
        <v>189.8</v>
      </c>
      <c r="R177">
        <v>0</v>
      </c>
      <c r="S177">
        <v>0</v>
      </c>
      <c r="T177" t="s">
        <v>52</v>
      </c>
      <c r="U177">
        <v>0</v>
      </c>
      <c r="V177">
        <v>0</v>
      </c>
      <c r="W177">
        <v>410120</v>
      </c>
      <c r="X177" t="s">
        <v>56</v>
      </c>
      <c r="Y177" t="s">
        <v>57</v>
      </c>
      <c r="AE177">
        <v>0</v>
      </c>
      <c r="AP177" t="s">
        <v>112</v>
      </c>
    </row>
    <row r="178" spans="1:42">
      <c r="A178" s="1" t="s">
        <v>46</v>
      </c>
      <c r="B178" s="1" t="s">
        <v>447</v>
      </c>
      <c r="C178" s="1" t="s">
        <v>447</v>
      </c>
      <c r="E178" s="4" t="s">
        <v>448</v>
      </c>
      <c r="G178" s="16"/>
      <c r="M178">
        <v>1</v>
      </c>
      <c r="N178">
        <v>-2</v>
      </c>
      <c r="O178">
        <v>0</v>
      </c>
      <c r="P178">
        <v>1</v>
      </c>
      <c r="Q178">
        <v>-2</v>
      </c>
      <c r="R178" t="s">
        <v>377</v>
      </c>
      <c r="S178">
        <v>0</v>
      </c>
      <c r="T178" t="s">
        <v>52</v>
      </c>
      <c r="W178">
        <v>400042</v>
      </c>
      <c r="AE178">
        <v>0</v>
      </c>
      <c r="AP178" t="s">
        <v>154</v>
      </c>
    </row>
    <row r="179" spans="1:42">
      <c r="A179" s="1" t="s">
        <v>46</v>
      </c>
      <c r="B179" s="1" t="s">
        <v>449</v>
      </c>
      <c r="C179" s="1" t="s">
        <v>449</v>
      </c>
      <c r="E179" s="4" t="s">
        <v>450</v>
      </c>
      <c r="G179" s="16"/>
      <c r="I179">
        <v>3.5</v>
      </c>
      <c r="M179">
        <v>1</v>
      </c>
      <c r="N179">
        <v>3950</v>
      </c>
      <c r="O179">
        <v>0</v>
      </c>
      <c r="P179">
        <v>2.2000000000000002</v>
      </c>
      <c r="Q179">
        <v>8690</v>
      </c>
      <c r="R179">
        <v>0</v>
      </c>
      <c r="S179">
        <v>0</v>
      </c>
      <c r="T179" t="s">
        <v>52</v>
      </c>
      <c r="U179">
        <v>0</v>
      </c>
      <c r="V179">
        <v>0</v>
      </c>
      <c r="W179">
        <v>400189</v>
      </c>
      <c r="AE179">
        <v>0</v>
      </c>
      <c r="AH179">
        <v>3.5</v>
      </c>
      <c r="AP179" t="s">
        <v>451</v>
      </c>
    </row>
    <row r="180" spans="1:42">
      <c r="A180" s="1" t="s">
        <v>46</v>
      </c>
      <c r="B180" s="1" t="s">
        <v>452</v>
      </c>
      <c r="C180" s="1" t="s">
        <v>452</v>
      </c>
      <c r="E180" s="4" t="s">
        <v>453</v>
      </c>
      <c r="G180" s="16"/>
      <c r="M180">
        <v>1</v>
      </c>
      <c r="N180">
        <v>10</v>
      </c>
      <c r="O180">
        <v>0</v>
      </c>
      <c r="P180">
        <v>0.5</v>
      </c>
      <c r="Q180">
        <v>5</v>
      </c>
      <c r="W180">
        <v>410302</v>
      </c>
      <c r="AE180">
        <v>0</v>
      </c>
      <c r="AP180" t="s">
        <v>177</v>
      </c>
    </row>
    <row r="181" spans="1:42" ht="25.9">
      <c r="A181" s="1" t="s">
        <v>46</v>
      </c>
      <c r="B181" s="1" t="s">
        <v>454</v>
      </c>
      <c r="C181" s="1" t="s">
        <v>454</v>
      </c>
      <c r="E181" s="4" t="s">
        <v>455</v>
      </c>
      <c r="G181" s="17"/>
      <c r="I181">
        <v>5</v>
      </c>
      <c r="M181">
        <v>1</v>
      </c>
      <c r="N181">
        <v>2535</v>
      </c>
      <c r="O181">
        <v>0</v>
      </c>
      <c r="P181">
        <v>3.84</v>
      </c>
      <c r="Q181">
        <v>9730.2900000000009</v>
      </c>
      <c r="R181">
        <v>0</v>
      </c>
      <c r="S181">
        <v>0</v>
      </c>
      <c r="T181" t="s">
        <v>52</v>
      </c>
      <c r="U181">
        <v>0</v>
      </c>
      <c r="V181">
        <v>0</v>
      </c>
      <c r="W181">
        <v>400126</v>
      </c>
      <c r="AE181">
        <v>0</v>
      </c>
      <c r="AH181">
        <v>5</v>
      </c>
      <c r="AP181" t="s">
        <v>277</v>
      </c>
    </row>
    <row r="182" spans="1:42">
      <c r="A182" s="1" t="s">
        <v>46</v>
      </c>
      <c r="B182" s="1" t="s">
        <v>456</v>
      </c>
      <c r="C182" s="1" t="s">
        <v>456</v>
      </c>
      <c r="E182" s="4" t="s">
        <v>457</v>
      </c>
      <c r="G182" s="16"/>
      <c r="M182">
        <v>1</v>
      </c>
      <c r="N182">
        <v>8</v>
      </c>
      <c r="O182">
        <v>0</v>
      </c>
      <c r="P182">
        <v>4</v>
      </c>
      <c r="Q182">
        <v>32</v>
      </c>
      <c r="R182">
        <v>0</v>
      </c>
      <c r="S182">
        <v>0</v>
      </c>
      <c r="T182" t="s">
        <v>52</v>
      </c>
      <c r="U182" t="s">
        <v>52</v>
      </c>
      <c r="V182">
        <v>0</v>
      </c>
      <c r="W182">
        <v>400017</v>
      </c>
      <c r="X182" t="s">
        <v>56</v>
      </c>
      <c r="Y182" t="s">
        <v>57</v>
      </c>
      <c r="AE182">
        <v>0</v>
      </c>
      <c r="AP182" t="s">
        <v>49</v>
      </c>
    </row>
    <row r="183" spans="1:42">
      <c r="A183" s="1" t="s">
        <v>46</v>
      </c>
      <c r="B183" s="1" t="s">
        <v>458</v>
      </c>
      <c r="C183" s="1" t="s">
        <v>458</v>
      </c>
      <c r="E183" s="4" t="s">
        <v>459</v>
      </c>
      <c r="G183" s="16"/>
      <c r="M183">
        <v>1</v>
      </c>
      <c r="N183">
        <v>-1</v>
      </c>
      <c r="O183">
        <v>0</v>
      </c>
      <c r="T183" t="s">
        <v>52</v>
      </c>
      <c r="AE183">
        <v>0</v>
      </c>
    </row>
    <row r="184" spans="1:42">
      <c r="A184" s="1" t="s">
        <v>46</v>
      </c>
      <c r="B184" s="1" t="s">
        <v>460</v>
      </c>
      <c r="C184" s="1" t="s">
        <v>460</v>
      </c>
      <c r="E184" s="4" t="s">
        <v>461</v>
      </c>
      <c r="G184" s="16"/>
      <c r="M184">
        <v>1</v>
      </c>
      <c r="N184">
        <v>221</v>
      </c>
      <c r="O184">
        <v>0</v>
      </c>
      <c r="P184">
        <v>7.33</v>
      </c>
      <c r="Q184">
        <v>1619.05</v>
      </c>
      <c r="R184">
        <v>0</v>
      </c>
      <c r="S184">
        <v>0</v>
      </c>
      <c r="T184" t="s">
        <v>52</v>
      </c>
      <c r="W184">
        <v>400159</v>
      </c>
      <c r="AE184">
        <v>0</v>
      </c>
      <c r="AP184" t="s">
        <v>190</v>
      </c>
    </row>
    <row r="185" spans="1:42">
      <c r="A185" s="1" t="s">
        <v>46</v>
      </c>
      <c r="B185" s="1" t="s">
        <v>462</v>
      </c>
      <c r="C185" s="1" t="s">
        <v>462</v>
      </c>
      <c r="E185" s="4" t="s">
        <v>463</v>
      </c>
      <c r="G185" s="16"/>
      <c r="M185">
        <v>1</v>
      </c>
      <c r="N185">
        <v>406</v>
      </c>
      <c r="O185">
        <v>0</v>
      </c>
      <c r="P185">
        <v>0.9</v>
      </c>
      <c r="Q185">
        <v>365.4</v>
      </c>
      <c r="R185">
        <v>0</v>
      </c>
      <c r="S185">
        <v>0</v>
      </c>
      <c r="T185" t="s">
        <v>52</v>
      </c>
      <c r="U185">
        <v>0</v>
      </c>
      <c r="V185">
        <v>0</v>
      </c>
      <c r="W185">
        <v>400186</v>
      </c>
      <c r="AE185">
        <v>0</v>
      </c>
      <c r="AP185" t="s">
        <v>120</v>
      </c>
    </row>
    <row r="186" spans="1:42">
      <c r="A186" s="1" t="s">
        <v>46</v>
      </c>
      <c r="B186" s="1" t="s">
        <v>464</v>
      </c>
      <c r="C186" s="1" t="s">
        <v>464</v>
      </c>
      <c r="E186" s="4" t="s">
        <v>465</v>
      </c>
      <c r="G186" s="16"/>
      <c r="M186">
        <v>1</v>
      </c>
      <c r="N186">
        <v>-74</v>
      </c>
      <c r="O186">
        <v>0</v>
      </c>
      <c r="P186">
        <v>0.25</v>
      </c>
      <c r="Q186">
        <v>-18.5</v>
      </c>
      <c r="R186">
        <v>0</v>
      </c>
      <c r="S186">
        <v>0</v>
      </c>
      <c r="T186" t="s">
        <v>52</v>
      </c>
      <c r="U186">
        <v>0</v>
      </c>
      <c r="V186">
        <v>0</v>
      </c>
      <c r="W186">
        <v>400125</v>
      </c>
      <c r="AE186">
        <v>0</v>
      </c>
      <c r="AP186" t="s">
        <v>184</v>
      </c>
    </row>
    <row r="187" spans="1:42">
      <c r="A187" s="1" t="s">
        <v>46</v>
      </c>
      <c r="B187" s="1" t="s">
        <v>466</v>
      </c>
      <c r="C187" s="1" t="s">
        <v>466</v>
      </c>
      <c r="E187" s="4" t="s">
        <v>467</v>
      </c>
      <c r="G187" s="16"/>
      <c r="M187">
        <v>1</v>
      </c>
      <c r="N187">
        <v>60</v>
      </c>
      <c r="O187">
        <v>0</v>
      </c>
      <c r="P187">
        <v>4.33</v>
      </c>
      <c r="Q187">
        <v>259.8</v>
      </c>
      <c r="R187">
        <v>0</v>
      </c>
      <c r="S187">
        <v>0</v>
      </c>
      <c r="T187" t="s">
        <v>52</v>
      </c>
      <c r="U187">
        <v>0</v>
      </c>
      <c r="V187">
        <v>0</v>
      </c>
      <c r="W187">
        <v>400120</v>
      </c>
      <c r="AE187">
        <v>0</v>
      </c>
      <c r="AP187" t="s">
        <v>468</v>
      </c>
    </row>
    <row r="188" spans="1:42">
      <c r="A188" s="1" t="s">
        <v>46</v>
      </c>
      <c r="B188" s="1" t="s">
        <v>469</v>
      </c>
      <c r="C188" s="1" t="s">
        <v>469</v>
      </c>
      <c r="E188" s="4" t="s">
        <v>470</v>
      </c>
      <c r="G188" s="16"/>
      <c r="M188">
        <v>1</v>
      </c>
      <c r="N188">
        <v>2550</v>
      </c>
      <c r="O188">
        <v>0</v>
      </c>
      <c r="P188">
        <v>0.7</v>
      </c>
      <c r="Q188">
        <v>1785</v>
      </c>
      <c r="R188">
        <v>0</v>
      </c>
      <c r="S188">
        <v>0</v>
      </c>
      <c r="T188" t="s">
        <v>52</v>
      </c>
      <c r="U188">
        <v>0</v>
      </c>
      <c r="V188">
        <v>0</v>
      </c>
      <c r="W188">
        <v>400195</v>
      </c>
      <c r="AE188">
        <v>0</v>
      </c>
      <c r="AP188" t="s">
        <v>380</v>
      </c>
    </row>
    <row r="189" spans="1:42">
      <c r="A189" s="1" t="s">
        <v>46</v>
      </c>
      <c r="B189" s="1" t="s">
        <v>471</v>
      </c>
      <c r="C189" s="1" t="s">
        <v>471</v>
      </c>
      <c r="E189" s="4" t="s">
        <v>472</v>
      </c>
      <c r="G189" s="16"/>
      <c r="M189">
        <v>1</v>
      </c>
      <c r="N189">
        <v>213</v>
      </c>
      <c r="O189">
        <v>0</v>
      </c>
      <c r="P189">
        <v>0.15</v>
      </c>
      <c r="Q189">
        <v>31.95</v>
      </c>
      <c r="R189">
        <v>0</v>
      </c>
      <c r="S189">
        <v>0</v>
      </c>
      <c r="T189" t="s">
        <v>52</v>
      </c>
      <c r="U189">
        <v>0</v>
      </c>
      <c r="V189">
        <v>0</v>
      </c>
      <c r="W189">
        <v>400033</v>
      </c>
      <c r="AE189">
        <v>0</v>
      </c>
      <c r="AP189" t="s">
        <v>126</v>
      </c>
    </row>
    <row r="190" spans="1:42">
      <c r="A190" s="1" t="s">
        <v>46</v>
      </c>
      <c r="B190" s="1" t="s">
        <v>473</v>
      </c>
      <c r="C190" s="1" t="s">
        <v>473</v>
      </c>
      <c r="E190" s="4" t="s">
        <v>474</v>
      </c>
      <c r="G190" s="16"/>
      <c r="M190">
        <v>1</v>
      </c>
      <c r="N190">
        <v>4083</v>
      </c>
      <c r="O190">
        <v>0</v>
      </c>
      <c r="P190">
        <v>0.38</v>
      </c>
      <c r="Q190">
        <v>1551.54</v>
      </c>
      <c r="R190">
        <v>0</v>
      </c>
      <c r="S190">
        <v>0</v>
      </c>
      <c r="T190" t="s">
        <v>52</v>
      </c>
      <c r="U190">
        <v>0</v>
      </c>
      <c r="V190">
        <v>0</v>
      </c>
      <c r="W190">
        <v>400110</v>
      </c>
      <c r="AE190">
        <v>0</v>
      </c>
      <c r="AP190" t="s">
        <v>344</v>
      </c>
    </row>
    <row r="191" spans="1:42">
      <c r="A191" s="1" t="s">
        <v>46</v>
      </c>
      <c r="B191" s="1" t="s">
        <v>475</v>
      </c>
      <c r="C191" s="1" t="s">
        <v>475</v>
      </c>
      <c r="E191" s="4" t="s">
        <v>476</v>
      </c>
      <c r="G191" s="16"/>
      <c r="M191">
        <v>1</v>
      </c>
      <c r="N191">
        <v>-2</v>
      </c>
      <c r="O191">
        <v>0</v>
      </c>
      <c r="P191">
        <v>1.75</v>
      </c>
      <c r="Q191">
        <v>-3.5</v>
      </c>
      <c r="T191" t="s">
        <v>52</v>
      </c>
      <c r="W191">
        <v>400004</v>
      </c>
      <c r="AE191">
        <v>0</v>
      </c>
      <c r="AP191" t="s">
        <v>352</v>
      </c>
    </row>
    <row r="192" spans="1:42">
      <c r="A192" s="1" t="s">
        <v>46</v>
      </c>
      <c r="B192" s="1" t="s">
        <v>477</v>
      </c>
      <c r="C192" s="1" t="s">
        <v>477</v>
      </c>
      <c r="E192" s="4" t="s">
        <v>478</v>
      </c>
      <c r="G192" s="16"/>
      <c r="M192">
        <v>1</v>
      </c>
      <c r="N192">
        <v>901</v>
      </c>
      <c r="O192">
        <v>0</v>
      </c>
      <c r="P192">
        <v>1.75</v>
      </c>
      <c r="Q192">
        <v>1576.75</v>
      </c>
      <c r="R192">
        <v>0</v>
      </c>
      <c r="S192">
        <v>0</v>
      </c>
      <c r="T192" t="s">
        <v>52</v>
      </c>
      <c r="U192">
        <v>0</v>
      </c>
      <c r="V192">
        <v>0</v>
      </c>
      <c r="W192">
        <v>400030</v>
      </c>
      <c r="X192" t="s">
        <v>56</v>
      </c>
      <c r="Y192" t="s">
        <v>57</v>
      </c>
      <c r="AE192">
        <v>0</v>
      </c>
      <c r="AP192" t="s">
        <v>92</v>
      </c>
    </row>
    <row r="193" spans="1:42">
      <c r="A193" s="1" t="s">
        <v>46</v>
      </c>
      <c r="B193" s="1" t="s">
        <v>479</v>
      </c>
      <c r="C193" s="1" t="s">
        <v>479</v>
      </c>
      <c r="E193" s="4" t="s">
        <v>480</v>
      </c>
      <c r="G193" s="16">
        <v>4.5</v>
      </c>
      <c r="M193">
        <v>1</v>
      </c>
      <c r="N193">
        <v>324</v>
      </c>
      <c r="O193">
        <v>0</v>
      </c>
      <c r="P193">
        <v>1.65</v>
      </c>
      <c r="Q193">
        <v>534.6</v>
      </c>
      <c r="R193">
        <v>0</v>
      </c>
      <c r="S193">
        <v>0</v>
      </c>
      <c r="T193" t="s">
        <v>17</v>
      </c>
      <c r="U193">
        <v>0</v>
      </c>
      <c r="V193">
        <v>0</v>
      </c>
      <c r="W193">
        <v>400194</v>
      </c>
      <c r="AE193">
        <v>0</v>
      </c>
      <c r="AP193" t="s">
        <v>173</v>
      </c>
    </row>
    <row r="194" spans="1:42">
      <c r="A194" s="1" t="s">
        <v>46</v>
      </c>
      <c r="B194" s="1" t="s">
        <v>481</v>
      </c>
      <c r="C194" s="1" t="s">
        <v>481</v>
      </c>
      <c r="E194" s="4" t="s">
        <v>482</v>
      </c>
      <c r="G194" s="16"/>
      <c r="M194">
        <v>1</v>
      </c>
      <c r="N194">
        <v>223</v>
      </c>
      <c r="O194">
        <v>0</v>
      </c>
      <c r="P194">
        <v>5.55</v>
      </c>
      <c r="Q194">
        <v>1237.6500000000001</v>
      </c>
      <c r="R194">
        <v>0</v>
      </c>
      <c r="S194">
        <v>0</v>
      </c>
      <c r="T194" t="s">
        <v>17</v>
      </c>
      <c r="U194">
        <v>0</v>
      </c>
      <c r="V194">
        <v>0</v>
      </c>
      <c r="W194">
        <v>400207</v>
      </c>
      <c r="AE194">
        <v>0</v>
      </c>
      <c r="AP194" t="s">
        <v>483</v>
      </c>
    </row>
    <row r="195" spans="1:42">
      <c r="A195" s="1" t="s">
        <v>46</v>
      </c>
      <c r="B195" s="1" t="s">
        <v>484</v>
      </c>
      <c r="C195" s="1" t="s">
        <v>484</v>
      </c>
      <c r="E195" s="4" t="s">
        <v>485</v>
      </c>
      <c r="G195" s="16"/>
      <c r="M195">
        <v>1</v>
      </c>
      <c r="N195">
        <v>-1289</v>
      </c>
      <c r="O195">
        <v>0</v>
      </c>
      <c r="P195">
        <v>2.65</v>
      </c>
      <c r="Q195">
        <v>-3415.85</v>
      </c>
      <c r="R195">
        <v>0</v>
      </c>
      <c r="S195">
        <v>0</v>
      </c>
      <c r="T195" t="s">
        <v>52</v>
      </c>
      <c r="U195">
        <v>0</v>
      </c>
      <c r="V195">
        <v>0</v>
      </c>
      <c r="W195">
        <v>400190</v>
      </c>
      <c r="AE195">
        <v>0</v>
      </c>
      <c r="AP195" t="s">
        <v>286</v>
      </c>
    </row>
    <row r="196" spans="1:42">
      <c r="A196" s="1" t="s">
        <v>46</v>
      </c>
      <c r="B196" s="1" t="s">
        <v>486</v>
      </c>
      <c r="C196" s="1" t="s">
        <v>486</v>
      </c>
      <c r="E196" s="4" t="s">
        <v>487</v>
      </c>
      <c r="G196" s="16"/>
      <c r="M196">
        <v>1</v>
      </c>
      <c r="N196">
        <v>99</v>
      </c>
      <c r="O196">
        <v>0</v>
      </c>
      <c r="P196">
        <v>0.5</v>
      </c>
      <c r="Q196">
        <v>49.5</v>
      </c>
      <c r="R196">
        <v>0</v>
      </c>
      <c r="S196">
        <v>0</v>
      </c>
      <c r="T196" t="s">
        <v>52</v>
      </c>
      <c r="U196">
        <v>0</v>
      </c>
      <c r="V196">
        <v>0</v>
      </c>
      <c r="W196">
        <v>410120</v>
      </c>
      <c r="AE196">
        <v>0</v>
      </c>
      <c r="AP196" t="s">
        <v>112</v>
      </c>
    </row>
    <row r="197" spans="1:42">
      <c r="A197" s="1" t="s">
        <v>46</v>
      </c>
      <c r="B197" s="1" t="s">
        <v>488</v>
      </c>
      <c r="C197" s="1" t="s">
        <v>488</v>
      </c>
      <c r="E197" s="4" t="s">
        <v>489</v>
      </c>
      <c r="G197" s="16">
        <v>1.75</v>
      </c>
      <c r="M197">
        <v>1</v>
      </c>
      <c r="N197">
        <v>-3</v>
      </c>
      <c r="O197">
        <v>0</v>
      </c>
      <c r="P197">
        <v>2.6</v>
      </c>
      <c r="Q197">
        <v>-7.8</v>
      </c>
      <c r="R197">
        <v>0</v>
      </c>
      <c r="S197">
        <v>0</v>
      </c>
      <c r="T197" t="s">
        <v>52</v>
      </c>
      <c r="W197">
        <v>400028</v>
      </c>
      <c r="AE197">
        <v>0</v>
      </c>
      <c r="AP197" t="s">
        <v>246</v>
      </c>
    </row>
    <row r="198" spans="1:42">
      <c r="A198" s="1" t="s">
        <v>46</v>
      </c>
      <c r="B198" s="1" t="s">
        <v>490</v>
      </c>
      <c r="C198" s="1" t="s">
        <v>490</v>
      </c>
      <c r="E198" s="4" t="s">
        <v>491</v>
      </c>
      <c r="G198" s="16">
        <v>2.75</v>
      </c>
      <c r="M198">
        <v>1</v>
      </c>
      <c r="N198">
        <v>77</v>
      </c>
      <c r="O198">
        <v>0</v>
      </c>
      <c r="P198">
        <v>3.5</v>
      </c>
      <c r="Q198">
        <v>269.5</v>
      </c>
      <c r="R198" t="s">
        <v>492</v>
      </c>
      <c r="S198">
        <v>0</v>
      </c>
      <c r="T198">
        <v>0</v>
      </c>
      <c r="U198">
        <v>0</v>
      </c>
      <c r="V198">
        <v>0</v>
      </c>
      <c r="W198">
        <v>400123</v>
      </c>
      <c r="AE198">
        <v>0</v>
      </c>
      <c r="AP198" t="s">
        <v>291</v>
      </c>
    </row>
    <row r="199" spans="1:42">
      <c r="A199" s="1" t="s">
        <v>46</v>
      </c>
      <c r="B199" s="1" t="s">
        <v>493</v>
      </c>
      <c r="C199" s="1" t="s">
        <v>493</v>
      </c>
      <c r="E199" s="4" t="s">
        <v>494</v>
      </c>
      <c r="G199" s="16">
        <v>1</v>
      </c>
      <c r="M199">
        <v>1</v>
      </c>
      <c r="N199">
        <v>252</v>
      </c>
      <c r="O199">
        <v>0</v>
      </c>
      <c r="P199">
        <v>3.5</v>
      </c>
      <c r="Q199">
        <v>882</v>
      </c>
      <c r="R199">
        <v>0</v>
      </c>
      <c r="S199">
        <v>0</v>
      </c>
      <c r="T199" t="s">
        <v>52</v>
      </c>
      <c r="U199">
        <v>0</v>
      </c>
      <c r="V199">
        <v>0</v>
      </c>
      <c r="W199">
        <v>400033</v>
      </c>
      <c r="AE199">
        <v>0</v>
      </c>
      <c r="AP199" t="s">
        <v>126</v>
      </c>
    </row>
    <row r="200" spans="1:42">
      <c r="A200" s="1" t="s">
        <v>46</v>
      </c>
      <c r="B200" s="1" t="s">
        <v>495</v>
      </c>
      <c r="C200" s="1" t="s">
        <v>495</v>
      </c>
      <c r="E200" s="4" t="s">
        <v>496</v>
      </c>
      <c r="G200" s="16"/>
      <c r="M200">
        <v>1</v>
      </c>
      <c r="N200">
        <v>436</v>
      </c>
      <c r="O200">
        <v>0</v>
      </c>
      <c r="P200">
        <v>2.5</v>
      </c>
      <c r="Q200">
        <v>1090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400195</v>
      </c>
      <c r="AE200">
        <v>0</v>
      </c>
      <c r="AP200" t="s">
        <v>380</v>
      </c>
    </row>
    <row r="201" spans="1:42">
      <c r="A201" s="1" t="s">
        <v>46</v>
      </c>
      <c r="B201" s="1" t="s">
        <v>497</v>
      </c>
      <c r="C201" s="1" t="s">
        <v>497</v>
      </c>
      <c r="E201" s="4" t="s">
        <v>498</v>
      </c>
      <c r="G201" s="16">
        <v>1.5</v>
      </c>
      <c r="M201">
        <v>1</v>
      </c>
      <c r="N201">
        <v>7649</v>
      </c>
      <c r="O201">
        <v>0</v>
      </c>
      <c r="P201">
        <v>2</v>
      </c>
      <c r="Q201">
        <v>15298</v>
      </c>
      <c r="R201">
        <v>0</v>
      </c>
      <c r="S201">
        <v>0</v>
      </c>
      <c r="T201" t="s">
        <v>52</v>
      </c>
      <c r="U201">
        <v>0</v>
      </c>
      <c r="V201">
        <v>0</v>
      </c>
      <c r="W201">
        <v>400030</v>
      </c>
      <c r="X201" t="s">
        <v>56</v>
      </c>
      <c r="Y201" t="s">
        <v>57</v>
      </c>
      <c r="AE201">
        <v>0</v>
      </c>
      <c r="AP201" t="s">
        <v>92</v>
      </c>
    </row>
    <row r="202" spans="1:42">
      <c r="A202" s="1" t="s">
        <v>46</v>
      </c>
      <c r="B202" s="1" t="s">
        <v>499</v>
      </c>
      <c r="C202" s="1" t="s">
        <v>499</v>
      </c>
      <c r="E202" s="4" t="s">
        <v>500</v>
      </c>
      <c r="G202" s="16"/>
      <c r="M202">
        <v>1</v>
      </c>
      <c r="N202">
        <v>-23</v>
      </c>
      <c r="O202">
        <v>0</v>
      </c>
      <c r="P202">
        <v>2.5</v>
      </c>
      <c r="Q202">
        <v>-57.5</v>
      </c>
      <c r="R202">
        <v>0</v>
      </c>
      <c r="S202">
        <v>0</v>
      </c>
      <c r="T202" t="s">
        <v>52</v>
      </c>
      <c r="W202">
        <v>400029</v>
      </c>
      <c r="AE202">
        <v>0</v>
      </c>
      <c r="AP202" t="s">
        <v>206</v>
      </c>
    </row>
    <row r="203" spans="1:42">
      <c r="A203" s="1" t="s">
        <v>46</v>
      </c>
      <c r="B203" s="1" t="s">
        <v>501</v>
      </c>
      <c r="C203" s="1" t="s">
        <v>501</v>
      </c>
      <c r="E203" s="4" t="s">
        <v>502</v>
      </c>
      <c r="G203" s="16">
        <v>1.75</v>
      </c>
      <c r="M203">
        <v>1</v>
      </c>
      <c r="N203">
        <v>23</v>
      </c>
      <c r="O203">
        <v>0</v>
      </c>
      <c r="P203">
        <v>4.9400000000000004</v>
      </c>
      <c r="Q203">
        <v>113.51</v>
      </c>
      <c r="R203">
        <v>0</v>
      </c>
      <c r="S203">
        <v>0</v>
      </c>
      <c r="T203" t="s">
        <v>52</v>
      </c>
      <c r="U203">
        <v>0</v>
      </c>
      <c r="V203">
        <v>0</v>
      </c>
      <c r="W203">
        <v>400160</v>
      </c>
      <c r="AE203">
        <v>0</v>
      </c>
      <c r="AP203" t="s">
        <v>201</v>
      </c>
    </row>
    <row r="204" spans="1:42">
      <c r="A204" s="1" t="s">
        <v>46</v>
      </c>
      <c r="B204" s="1" t="s">
        <v>503</v>
      </c>
      <c r="C204" s="1" t="s">
        <v>503</v>
      </c>
      <c r="E204" s="4" t="s">
        <v>504</v>
      </c>
      <c r="G204" s="16"/>
      <c r="I204">
        <v>0.55000000000000004</v>
      </c>
      <c r="M204">
        <v>1</v>
      </c>
      <c r="N204">
        <v>-10</v>
      </c>
      <c r="O204">
        <v>0</v>
      </c>
      <c r="P204">
        <v>0.18</v>
      </c>
      <c r="Q204">
        <v>-1.76</v>
      </c>
      <c r="R204" t="s">
        <v>172</v>
      </c>
      <c r="S204">
        <v>0</v>
      </c>
      <c r="T204" t="s">
        <v>52</v>
      </c>
      <c r="U204">
        <v>0</v>
      </c>
      <c r="V204">
        <v>0</v>
      </c>
      <c r="W204">
        <v>400036</v>
      </c>
      <c r="AE204">
        <v>0</v>
      </c>
      <c r="AH204">
        <v>0.55000000000000004</v>
      </c>
      <c r="AP204" t="s">
        <v>315</v>
      </c>
    </row>
    <row r="205" spans="1:42">
      <c r="A205" s="1" t="s">
        <v>46</v>
      </c>
      <c r="B205" s="1" t="s">
        <v>505</v>
      </c>
      <c r="C205" s="1" t="s">
        <v>505</v>
      </c>
      <c r="E205" s="4" t="s">
        <v>506</v>
      </c>
      <c r="G205" s="16"/>
      <c r="M205">
        <v>1</v>
      </c>
      <c r="N205">
        <v>310</v>
      </c>
      <c r="O205">
        <v>0</v>
      </c>
      <c r="P205">
        <v>0.75</v>
      </c>
      <c r="Q205">
        <v>232.5</v>
      </c>
      <c r="R205">
        <v>0</v>
      </c>
      <c r="S205">
        <v>0</v>
      </c>
      <c r="T205" t="s">
        <v>52</v>
      </c>
      <c r="U205">
        <v>0</v>
      </c>
      <c r="V205">
        <v>0</v>
      </c>
      <c r="W205">
        <v>400003</v>
      </c>
      <c r="AE205">
        <v>0</v>
      </c>
      <c r="AP205" t="s">
        <v>266</v>
      </c>
    </row>
    <row r="206" spans="1:42">
      <c r="A206" s="1" t="s">
        <v>46</v>
      </c>
      <c r="B206" s="1" t="s">
        <v>507</v>
      </c>
      <c r="C206" s="1" t="s">
        <v>507</v>
      </c>
      <c r="E206" s="4" t="s">
        <v>508</v>
      </c>
      <c r="G206" s="16"/>
      <c r="M206">
        <v>1</v>
      </c>
      <c r="N206">
        <v>880</v>
      </c>
      <c r="O206">
        <v>0</v>
      </c>
      <c r="P206">
        <v>0.7</v>
      </c>
      <c r="Q206">
        <v>616</v>
      </c>
      <c r="R206" t="s">
        <v>176</v>
      </c>
      <c r="S206">
        <v>0</v>
      </c>
      <c r="T206" t="s">
        <v>52</v>
      </c>
      <c r="U206">
        <v>0</v>
      </c>
      <c r="V206">
        <v>0</v>
      </c>
      <c r="W206">
        <v>400061</v>
      </c>
      <c r="AE206">
        <v>0</v>
      </c>
      <c r="AP206" t="s">
        <v>169</v>
      </c>
    </row>
    <row r="207" spans="1:42">
      <c r="A207" s="1" t="s">
        <v>46</v>
      </c>
      <c r="B207" s="1" t="s">
        <v>509</v>
      </c>
      <c r="C207" s="1" t="s">
        <v>509</v>
      </c>
      <c r="E207" s="4" t="s">
        <v>510</v>
      </c>
      <c r="G207" s="16"/>
      <c r="M207">
        <v>1</v>
      </c>
      <c r="N207">
        <v>200</v>
      </c>
      <c r="O207">
        <v>0</v>
      </c>
      <c r="P207">
        <v>0.9</v>
      </c>
      <c r="Q207">
        <v>180</v>
      </c>
      <c r="R207" t="s">
        <v>176</v>
      </c>
      <c r="S207">
        <v>0</v>
      </c>
      <c r="T207" t="s">
        <v>52</v>
      </c>
      <c r="U207">
        <v>0</v>
      </c>
      <c r="V207">
        <v>0</v>
      </c>
      <c r="W207">
        <v>400042</v>
      </c>
      <c r="X207" t="s">
        <v>56</v>
      </c>
      <c r="Y207" t="s">
        <v>57</v>
      </c>
      <c r="AE207">
        <v>0</v>
      </c>
      <c r="AP207" t="s">
        <v>154</v>
      </c>
    </row>
    <row r="208" spans="1:42">
      <c r="A208" s="1" t="s">
        <v>46</v>
      </c>
      <c r="B208" s="1" t="s">
        <v>511</v>
      </c>
      <c r="C208" s="1" t="s">
        <v>511</v>
      </c>
      <c r="E208" s="4" t="s">
        <v>512</v>
      </c>
      <c r="G208" s="16"/>
      <c r="M208">
        <v>1</v>
      </c>
      <c r="N208">
        <v>100</v>
      </c>
      <c r="O208">
        <v>0</v>
      </c>
      <c r="P208">
        <v>0.75</v>
      </c>
      <c r="Q208">
        <v>75</v>
      </c>
      <c r="R208">
        <v>0</v>
      </c>
      <c r="S208">
        <v>0</v>
      </c>
      <c r="T208" t="s">
        <v>52</v>
      </c>
      <c r="W208">
        <v>400116</v>
      </c>
      <c r="AE208">
        <v>0</v>
      </c>
      <c r="AP208" t="s">
        <v>513</v>
      </c>
    </row>
    <row r="209" spans="1:42">
      <c r="A209" s="1" t="s">
        <v>46</v>
      </c>
      <c r="B209" s="1" t="s">
        <v>514</v>
      </c>
      <c r="C209" s="1" t="s">
        <v>514</v>
      </c>
      <c r="E209" s="4" t="s">
        <v>515</v>
      </c>
      <c r="G209" s="16"/>
      <c r="I209">
        <v>5000</v>
      </c>
      <c r="M209">
        <v>1</v>
      </c>
      <c r="N209">
        <v>169</v>
      </c>
      <c r="O209">
        <v>0</v>
      </c>
      <c r="P209">
        <v>2</v>
      </c>
      <c r="Q209">
        <v>338</v>
      </c>
      <c r="R209">
        <v>0</v>
      </c>
      <c r="S209">
        <v>0</v>
      </c>
      <c r="T209" t="s">
        <v>52</v>
      </c>
      <c r="U209">
        <v>0</v>
      </c>
      <c r="V209">
        <v>0</v>
      </c>
      <c r="W209">
        <v>400042</v>
      </c>
      <c r="AE209">
        <v>0</v>
      </c>
      <c r="AH209">
        <v>5000</v>
      </c>
      <c r="AP209" t="s">
        <v>154</v>
      </c>
    </row>
    <row r="210" spans="1:42">
      <c r="A210" s="1" t="s">
        <v>46</v>
      </c>
      <c r="B210" s="1" t="s">
        <v>516</v>
      </c>
      <c r="C210" s="1" t="s">
        <v>516</v>
      </c>
      <c r="E210" s="4" t="s">
        <v>517</v>
      </c>
      <c r="G210" s="16"/>
      <c r="I210">
        <v>0.5</v>
      </c>
      <c r="M210">
        <v>1</v>
      </c>
      <c r="N210">
        <v>1</v>
      </c>
      <c r="O210">
        <v>0</v>
      </c>
      <c r="P210">
        <v>0.14000000000000001</v>
      </c>
      <c r="Q210">
        <v>0.14000000000000001</v>
      </c>
      <c r="R210" t="s">
        <v>172</v>
      </c>
      <c r="S210">
        <v>0</v>
      </c>
      <c r="T210" t="s">
        <v>52</v>
      </c>
      <c r="U210">
        <v>0</v>
      </c>
      <c r="V210">
        <v>0</v>
      </c>
      <c r="W210">
        <v>400036</v>
      </c>
      <c r="AE210">
        <v>0</v>
      </c>
      <c r="AH210">
        <v>0.5</v>
      </c>
      <c r="AP210" t="s">
        <v>315</v>
      </c>
    </row>
    <row r="211" spans="1:42">
      <c r="A211" s="1" t="s">
        <v>46</v>
      </c>
      <c r="B211" s="1" t="s">
        <v>518</v>
      </c>
      <c r="C211" s="1" t="s">
        <v>518</v>
      </c>
      <c r="E211" s="4" t="s">
        <v>519</v>
      </c>
      <c r="G211" s="16"/>
      <c r="M211">
        <v>1</v>
      </c>
      <c r="N211">
        <v>2803</v>
      </c>
      <c r="O211">
        <v>0</v>
      </c>
      <c r="P211">
        <v>0.36</v>
      </c>
      <c r="Q211">
        <v>1009.08</v>
      </c>
      <c r="R211" t="s">
        <v>176</v>
      </c>
      <c r="S211">
        <v>0</v>
      </c>
      <c r="T211" t="s">
        <v>52</v>
      </c>
      <c r="U211">
        <v>0</v>
      </c>
      <c r="V211">
        <v>0</v>
      </c>
      <c r="W211">
        <v>400061</v>
      </c>
      <c r="X211" t="s">
        <v>56</v>
      </c>
      <c r="Y211" t="s">
        <v>57</v>
      </c>
      <c r="AE211">
        <v>0</v>
      </c>
      <c r="AP211" t="s">
        <v>169</v>
      </c>
    </row>
    <row r="212" spans="1:42">
      <c r="A212" s="1" t="s">
        <v>46</v>
      </c>
      <c r="B212" s="1" t="s">
        <v>520</v>
      </c>
      <c r="C212" s="1" t="s">
        <v>520</v>
      </c>
      <c r="E212" s="4" t="s">
        <v>521</v>
      </c>
      <c r="G212" s="16"/>
      <c r="M212">
        <v>1</v>
      </c>
      <c r="N212">
        <v>-29</v>
      </c>
      <c r="O212">
        <v>0</v>
      </c>
      <c r="P212">
        <v>2</v>
      </c>
      <c r="Q212">
        <v>-58</v>
      </c>
      <c r="R212">
        <v>0</v>
      </c>
      <c r="S212">
        <v>0</v>
      </c>
      <c r="T212" t="s">
        <v>52</v>
      </c>
      <c r="U212">
        <v>0</v>
      </c>
      <c r="V212">
        <v>0</v>
      </c>
      <c r="W212">
        <v>400042</v>
      </c>
      <c r="AE212">
        <v>0</v>
      </c>
      <c r="AP212" t="s">
        <v>154</v>
      </c>
    </row>
    <row r="213" spans="1:42">
      <c r="A213" s="1" t="s">
        <v>46</v>
      </c>
      <c r="B213" s="1" t="s">
        <v>522</v>
      </c>
      <c r="C213" s="1" t="s">
        <v>522</v>
      </c>
      <c r="E213" s="4" t="s">
        <v>523</v>
      </c>
      <c r="G213" s="16"/>
      <c r="M213">
        <v>1</v>
      </c>
      <c r="N213">
        <v>-1924</v>
      </c>
      <c r="O213">
        <v>0</v>
      </c>
      <c r="P213">
        <v>0.4</v>
      </c>
      <c r="Q213">
        <v>-769.6</v>
      </c>
      <c r="R213">
        <v>0</v>
      </c>
      <c r="S213">
        <v>0</v>
      </c>
      <c r="T213" t="s">
        <v>52</v>
      </c>
      <c r="U213">
        <v>0</v>
      </c>
      <c r="V213">
        <v>0</v>
      </c>
      <c r="W213">
        <v>400186</v>
      </c>
      <c r="AE213">
        <v>0</v>
      </c>
      <c r="AP213" t="s">
        <v>120</v>
      </c>
    </row>
    <row r="214" spans="1:42">
      <c r="A214" s="1" t="s">
        <v>46</v>
      </c>
      <c r="B214" s="1" t="s">
        <v>524</v>
      </c>
      <c r="C214" s="1" t="s">
        <v>524</v>
      </c>
      <c r="E214" s="4" t="s">
        <v>525</v>
      </c>
      <c r="G214" s="16"/>
      <c r="I214">
        <v>0.7</v>
      </c>
      <c r="M214">
        <v>1</v>
      </c>
      <c r="N214">
        <v>-12</v>
      </c>
      <c r="O214">
        <v>0</v>
      </c>
      <c r="P214">
        <v>0.31</v>
      </c>
      <c r="Q214">
        <v>-3.7</v>
      </c>
      <c r="R214" t="s">
        <v>172</v>
      </c>
      <c r="S214">
        <v>0</v>
      </c>
      <c r="T214" t="s">
        <v>209</v>
      </c>
      <c r="U214">
        <v>0</v>
      </c>
      <c r="V214">
        <v>0</v>
      </c>
      <c r="W214">
        <v>400004</v>
      </c>
      <c r="AE214">
        <v>0</v>
      </c>
      <c r="AH214">
        <v>0.7</v>
      </c>
      <c r="AP214" t="s">
        <v>352</v>
      </c>
    </row>
    <row r="215" spans="1:42">
      <c r="A215" s="1" t="s">
        <v>46</v>
      </c>
      <c r="B215" s="1" t="s">
        <v>526</v>
      </c>
      <c r="C215" s="1" t="s">
        <v>526</v>
      </c>
      <c r="E215" s="4" t="s">
        <v>527</v>
      </c>
      <c r="G215" s="16"/>
      <c r="I215">
        <v>2.48</v>
      </c>
      <c r="M215">
        <v>1</v>
      </c>
      <c r="N215">
        <v>-46.2</v>
      </c>
      <c r="O215">
        <v>0</v>
      </c>
      <c r="R215" t="s">
        <v>212</v>
      </c>
      <c r="S215">
        <v>0</v>
      </c>
      <c r="T215" t="s">
        <v>209</v>
      </c>
      <c r="U215">
        <v>0</v>
      </c>
      <c r="V215">
        <v>0</v>
      </c>
      <c r="AE215">
        <v>0</v>
      </c>
      <c r="AH215">
        <v>2.48</v>
      </c>
    </row>
    <row r="216" spans="1:42">
      <c r="A216" s="1" t="s">
        <v>46</v>
      </c>
      <c r="B216" s="1" t="s">
        <v>528</v>
      </c>
      <c r="C216" s="1" t="s">
        <v>528</v>
      </c>
      <c r="E216" s="4" t="s">
        <v>529</v>
      </c>
      <c r="G216" s="16"/>
      <c r="I216">
        <v>3.12</v>
      </c>
      <c r="M216">
        <v>1</v>
      </c>
      <c r="N216">
        <v>-13</v>
      </c>
      <c r="O216">
        <v>0</v>
      </c>
      <c r="P216">
        <v>11.5</v>
      </c>
      <c r="Q216">
        <v>-149.5</v>
      </c>
      <c r="R216" t="s">
        <v>212</v>
      </c>
      <c r="S216">
        <v>0</v>
      </c>
      <c r="T216" t="s">
        <v>209</v>
      </c>
      <c r="U216">
        <v>0</v>
      </c>
      <c r="V216">
        <v>0</v>
      </c>
      <c r="W216">
        <v>400112</v>
      </c>
      <c r="AE216">
        <v>0</v>
      </c>
      <c r="AH216">
        <v>3.12</v>
      </c>
      <c r="AP216" t="s">
        <v>220</v>
      </c>
    </row>
    <row r="217" spans="1:42">
      <c r="A217" s="1" t="s">
        <v>46</v>
      </c>
      <c r="B217" s="1" t="s">
        <v>530</v>
      </c>
      <c r="C217" s="1" t="s">
        <v>530</v>
      </c>
      <c r="E217" s="4" t="s">
        <v>531</v>
      </c>
      <c r="G217" s="16"/>
      <c r="M217">
        <v>1</v>
      </c>
      <c r="N217">
        <v>5</v>
      </c>
      <c r="O217">
        <v>0</v>
      </c>
      <c r="P217">
        <v>4.67</v>
      </c>
      <c r="Q217">
        <v>23.35</v>
      </c>
      <c r="R217" t="s">
        <v>294</v>
      </c>
      <c r="S217">
        <v>0</v>
      </c>
      <c r="T217" t="s">
        <v>209</v>
      </c>
      <c r="W217">
        <v>400026</v>
      </c>
      <c r="AE217">
        <v>0</v>
      </c>
      <c r="AP217" t="s">
        <v>187</v>
      </c>
    </row>
    <row r="218" spans="1:42">
      <c r="A218" s="1" t="s">
        <v>46</v>
      </c>
      <c r="B218" s="1" t="s">
        <v>532</v>
      </c>
      <c r="C218" s="1" t="s">
        <v>532</v>
      </c>
      <c r="E218" s="4" t="s">
        <v>533</v>
      </c>
      <c r="G218" s="16"/>
      <c r="M218">
        <v>1</v>
      </c>
      <c r="N218">
        <v>189</v>
      </c>
      <c r="O218">
        <v>0</v>
      </c>
      <c r="P218">
        <v>16</v>
      </c>
      <c r="Q218">
        <v>3024</v>
      </c>
      <c r="R218">
        <v>0</v>
      </c>
      <c r="S218">
        <v>0</v>
      </c>
      <c r="T218" t="s">
        <v>209</v>
      </c>
      <c r="U218">
        <v>0</v>
      </c>
      <c r="V218">
        <v>0</v>
      </c>
      <c r="W218">
        <v>400112</v>
      </c>
      <c r="X218" t="s">
        <v>56</v>
      </c>
      <c r="Y218" t="s">
        <v>57</v>
      </c>
      <c r="AE218">
        <v>0</v>
      </c>
      <c r="AP218" t="s">
        <v>220</v>
      </c>
    </row>
    <row r="219" spans="1:42">
      <c r="A219" s="1" t="s">
        <v>46</v>
      </c>
      <c r="B219" s="1" t="s">
        <v>534</v>
      </c>
      <c r="C219" s="1" t="s">
        <v>534</v>
      </c>
      <c r="E219" s="4" t="s">
        <v>535</v>
      </c>
      <c r="G219" s="16"/>
      <c r="I219">
        <v>2.48</v>
      </c>
      <c r="M219">
        <v>1</v>
      </c>
      <c r="N219">
        <v>55.3</v>
      </c>
      <c r="O219">
        <v>0</v>
      </c>
      <c r="P219">
        <v>10.85</v>
      </c>
      <c r="Q219">
        <v>600</v>
      </c>
      <c r="R219" t="s">
        <v>536</v>
      </c>
      <c r="S219">
        <v>0</v>
      </c>
      <c r="T219" t="s">
        <v>209</v>
      </c>
      <c r="U219">
        <v>0</v>
      </c>
      <c r="V219">
        <v>0</v>
      </c>
      <c r="W219">
        <v>400137</v>
      </c>
      <c r="AE219">
        <v>0</v>
      </c>
      <c r="AH219">
        <v>2.48</v>
      </c>
      <c r="AP219" t="s">
        <v>537</v>
      </c>
    </row>
    <row r="220" spans="1:42">
      <c r="A220" s="1" t="s">
        <v>46</v>
      </c>
      <c r="B220" s="1" t="s">
        <v>538</v>
      </c>
      <c r="C220" s="1" t="s">
        <v>538</v>
      </c>
      <c r="E220" s="4" t="s">
        <v>539</v>
      </c>
      <c r="G220" s="16"/>
      <c r="I220">
        <v>3.12</v>
      </c>
      <c r="M220">
        <v>1</v>
      </c>
      <c r="N220">
        <v>29</v>
      </c>
      <c r="O220">
        <v>0</v>
      </c>
      <c r="P220">
        <v>10.5</v>
      </c>
      <c r="Q220">
        <v>304.5</v>
      </c>
      <c r="R220" t="s">
        <v>536</v>
      </c>
      <c r="S220">
        <v>0</v>
      </c>
      <c r="T220" t="s">
        <v>209</v>
      </c>
      <c r="U220">
        <v>0</v>
      </c>
      <c r="V220">
        <v>0</v>
      </c>
      <c r="W220">
        <v>400166</v>
      </c>
      <c r="AE220">
        <v>0</v>
      </c>
      <c r="AH220">
        <v>3.12</v>
      </c>
      <c r="AP220" t="s">
        <v>540</v>
      </c>
    </row>
    <row r="221" spans="1:42">
      <c r="A221" s="1" t="s">
        <v>46</v>
      </c>
      <c r="B221" s="1" t="s">
        <v>541</v>
      </c>
      <c r="C221" s="1" t="s">
        <v>541</v>
      </c>
      <c r="E221" s="4" t="s">
        <v>542</v>
      </c>
      <c r="G221" s="16"/>
      <c r="M221">
        <v>1</v>
      </c>
      <c r="N221">
        <v>-4</v>
      </c>
      <c r="O221">
        <v>0</v>
      </c>
      <c r="P221">
        <v>1</v>
      </c>
      <c r="Q221">
        <v>-4</v>
      </c>
      <c r="R221">
        <v>0</v>
      </c>
      <c r="S221">
        <v>0</v>
      </c>
      <c r="T221" t="s">
        <v>52</v>
      </c>
      <c r="W221">
        <v>400004</v>
      </c>
      <c r="AE221">
        <v>0</v>
      </c>
      <c r="AP221" t="s">
        <v>352</v>
      </c>
    </row>
    <row r="222" spans="1:42">
      <c r="A222" s="1" t="s">
        <v>46</v>
      </c>
      <c r="B222" s="1" t="s">
        <v>543</v>
      </c>
      <c r="C222" s="1" t="s">
        <v>543</v>
      </c>
      <c r="E222" s="4" t="s">
        <v>544</v>
      </c>
      <c r="G222" s="16"/>
      <c r="M222">
        <v>1</v>
      </c>
      <c r="N222">
        <v>-1349</v>
      </c>
      <c r="O222">
        <v>0</v>
      </c>
      <c r="P222">
        <v>0.5</v>
      </c>
      <c r="Q222">
        <v>-674.5</v>
      </c>
      <c r="R222">
        <v>0</v>
      </c>
      <c r="S222">
        <v>0</v>
      </c>
      <c r="T222" t="s">
        <v>52</v>
      </c>
      <c r="U222">
        <v>0</v>
      </c>
      <c r="V222">
        <v>0</v>
      </c>
      <c r="W222">
        <v>400186</v>
      </c>
      <c r="AE222">
        <v>0</v>
      </c>
      <c r="AP222" t="s">
        <v>120</v>
      </c>
    </row>
    <row r="223" spans="1:42">
      <c r="A223" s="1" t="s">
        <v>46</v>
      </c>
      <c r="B223" s="1" t="s">
        <v>545</v>
      </c>
      <c r="C223" s="1" t="s">
        <v>545</v>
      </c>
      <c r="E223" s="4" t="s">
        <v>546</v>
      </c>
      <c r="G223" s="16">
        <v>5.5</v>
      </c>
      <c r="M223">
        <v>1</v>
      </c>
      <c r="N223">
        <v>-60</v>
      </c>
      <c r="O223">
        <v>0</v>
      </c>
      <c r="P223">
        <v>0.55000000000000004</v>
      </c>
      <c r="Q223">
        <v>-33</v>
      </c>
      <c r="R223">
        <v>0</v>
      </c>
      <c r="S223">
        <v>0</v>
      </c>
      <c r="T223" t="s">
        <v>52</v>
      </c>
      <c r="U223">
        <v>0</v>
      </c>
      <c r="V223">
        <v>0</v>
      </c>
      <c r="W223">
        <v>400102</v>
      </c>
      <c r="AE223">
        <v>0</v>
      </c>
      <c r="AP223" t="s">
        <v>547</v>
      </c>
    </row>
    <row r="224" spans="1:42">
      <c r="A224" s="1" t="s">
        <v>46</v>
      </c>
      <c r="B224" s="1" t="s">
        <v>548</v>
      </c>
      <c r="C224" s="1" t="s">
        <v>548</v>
      </c>
      <c r="E224" s="4" t="s">
        <v>549</v>
      </c>
      <c r="G224" s="16"/>
      <c r="M224">
        <v>1</v>
      </c>
      <c r="N224">
        <v>-154</v>
      </c>
      <c r="O224">
        <v>0</v>
      </c>
      <c r="P224">
        <v>0.75</v>
      </c>
      <c r="Q224">
        <v>-115.5</v>
      </c>
      <c r="R224">
        <v>0</v>
      </c>
      <c r="S224">
        <v>0</v>
      </c>
      <c r="T224" t="s">
        <v>52</v>
      </c>
      <c r="W224">
        <v>400112</v>
      </c>
      <c r="AE224">
        <v>0</v>
      </c>
      <c r="AP224" t="s">
        <v>220</v>
      </c>
    </row>
    <row r="225" spans="1:42">
      <c r="A225" s="1" t="s">
        <v>46</v>
      </c>
      <c r="B225" s="1" t="s">
        <v>550</v>
      </c>
      <c r="C225" s="1" t="s">
        <v>550</v>
      </c>
      <c r="E225" s="4" t="s">
        <v>551</v>
      </c>
      <c r="G225" s="16"/>
      <c r="M225">
        <v>1</v>
      </c>
      <c r="N225">
        <v>1355</v>
      </c>
      <c r="O225">
        <v>0</v>
      </c>
      <c r="P225">
        <v>0.3</v>
      </c>
      <c r="Q225">
        <v>406.5</v>
      </c>
      <c r="R225">
        <v>0</v>
      </c>
      <c r="S225">
        <v>0</v>
      </c>
      <c r="T225" t="s">
        <v>52</v>
      </c>
      <c r="U225">
        <v>0</v>
      </c>
      <c r="V225">
        <v>0</v>
      </c>
      <c r="W225">
        <v>400123</v>
      </c>
      <c r="AE225">
        <v>0</v>
      </c>
      <c r="AP225" t="s">
        <v>291</v>
      </c>
    </row>
    <row r="226" spans="1:42">
      <c r="A226" s="1" t="s">
        <v>46</v>
      </c>
      <c r="B226" s="1" t="s">
        <v>552</v>
      </c>
      <c r="C226" s="1" t="s">
        <v>552</v>
      </c>
      <c r="E226" s="4" t="s">
        <v>553</v>
      </c>
      <c r="G226" s="16"/>
      <c r="M226">
        <v>1</v>
      </c>
      <c r="N226">
        <v>100</v>
      </c>
      <c r="O226">
        <v>0</v>
      </c>
      <c r="P226">
        <v>3.25</v>
      </c>
      <c r="Q226">
        <v>325</v>
      </c>
      <c r="R226">
        <v>0</v>
      </c>
      <c r="S226">
        <v>0</v>
      </c>
      <c r="T226" t="s">
        <v>52</v>
      </c>
      <c r="U226">
        <v>0</v>
      </c>
      <c r="V226">
        <v>0</v>
      </c>
      <c r="W226">
        <v>400046</v>
      </c>
      <c r="AE226">
        <v>0</v>
      </c>
      <c r="AP226" t="s">
        <v>407</v>
      </c>
    </row>
    <row r="227" spans="1:42">
      <c r="A227" s="1" t="s">
        <v>46</v>
      </c>
      <c r="B227" s="1" t="s">
        <v>554</v>
      </c>
      <c r="C227" s="1" t="s">
        <v>554</v>
      </c>
      <c r="E227" s="4" t="s">
        <v>555</v>
      </c>
      <c r="G227" s="16">
        <v>1.75</v>
      </c>
      <c r="M227">
        <v>1</v>
      </c>
      <c r="N227">
        <v>99</v>
      </c>
      <c r="O227">
        <v>0</v>
      </c>
      <c r="P227">
        <v>3.19</v>
      </c>
      <c r="Q227">
        <v>316.01</v>
      </c>
      <c r="R227" t="s">
        <v>556</v>
      </c>
      <c r="S227">
        <v>0</v>
      </c>
      <c r="T227" t="s">
        <v>209</v>
      </c>
      <c r="U227">
        <v>0</v>
      </c>
      <c r="V227">
        <v>0</v>
      </c>
      <c r="W227">
        <v>400013</v>
      </c>
      <c r="AE227">
        <v>0</v>
      </c>
      <c r="AP227" t="s">
        <v>232</v>
      </c>
    </row>
    <row r="228" spans="1:42">
      <c r="A228" s="1" t="s">
        <v>46</v>
      </c>
      <c r="B228" s="1" t="s">
        <v>557</v>
      </c>
      <c r="C228" s="1" t="s">
        <v>557</v>
      </c>
      <c r="E228" s="4" t="s">
        <v>558</v>
      </c>
      <c r="G228" s="16">
        <v>2.75</v>
      </c>
      <c r="M228">
        <v>1</v>
      </c>
      <c r="N228">
        <v>1900</v>
      </c>
      <c r="O228">
        <v>0</v>
      </c>
      <c r="P228">
        <v>0.35</v>
      </c>
      <c r="Q228">
        <v>665</v>
      </c>
      <c r="R228">
        <v>0</v>
      </c>
      <c r="S228">
        <v>0</v>
      </c>
      <c r="T228" t="s">
        <v>52</v>
      </c>
      <c r="U228">
        <v>0</v>
      </c>
      <c r="V228">
        <v>0</v>
      </c>
      <c r="W228">
        <v>400123</v>
      </c>
      <c r="AE228">
        <v>0</v>
      </c>
      <c r="AP228" t="s">
        <v>291</v>
      </c>
    </row>
    <row r="229" spans="1:42">
      <c r="A229" s="1" t="s">
        <v>46</v>
      </c>
      <c r="B229" s="1" t="s">
        <v>559</v>
      </c>
      <c r="C229" s="1" t="s">
        <v>559</v>
      </c>
      <c r="E229" s="4" t="s">
        <v>560</v>
      </c>
      <c r="G229" s="16"/>
      <c r="M229">
        <v>1</v>
      </c>
      <c r="N229">
        <v>79</v>
      </c>
      <c r="O229">
        <v>0</v>
      </c>
      <c r="P229">
        <v>1.65</v>
      </c>
      <c r="Q229">
        <v>130.35</v>
      </c>
      <c r="R229">
        <v>0</v>
      </c>
      <c r="S229">
        <v>0</v>
      </c>
      <c r="T229" t="s">
        <v>52</v>
      </c>
      <c r="U229">
        <v>0</v>
      </c>
      <c r="V229">
        <v>0</v>
      </c>
      <c r="W229">
        <v>410120</v>
      </c>
      <c r="AE229">
        <v>0</v>
      </c>
      <c r="AP229" t="s">
        <v>112</v>
      </c>
    </row>
    <row r="230" spans="1:42">
      <c r="A230" s="1" t="s">
        <v>46</v>
      </c>
      <c r="B230" s="1" t="s">
        <v>561</v>
      </c>
      <c r="C230" s="1" t="s">
        <v>561</v>
      </c>
      <c r="E230" s="4" t="s">
        <v>562</v>
      </c>
      <c r="G230" s="16"/>
      <c r="M230">
        <v>1</v>
      </c>
      <c r="N230">
        <v>10</v>
      </c>
      <c r="O230">
        <v>0</v>
      </c>
      <c r="P230">
        <v>14.25</v>
      </c>
      <c r="Q230">
        <v>142.5</v>
      </c>
      <c r="R230" t="s">
        <v>377</v>
      </c>
      <c r="S230">
        <v>0</v>
      </c>
      <c r="T230">
        <v>0</v>
      </c>
      <c r="U230">
        <v>0</v>
      </c>
      <c r="V230">
        <v>0</v>
      </c>
      <c r="W230">
        <v>400046</v>
      </c>
      <c r="X230" t="s">
        <v>56</v>
      </c>
      <c r="Y230" t="s">
        <v>57</v>
      </c>
      <c r="AE230">
        <v>0</v>
      </c>
      <c r="AP230" t="s">
        <v>407</v>
      </c>
    </row>
    <row r="231" spans="1:42">
      <c r="A231" s="1" t="s">
        <v>46</v>
      </c>
      <c r="B231" s="1" t="s">
        <v>563</v>
      </c>
      <c r="C231" s="1" t="s">
        <v>563</v>
      </c>
      <c r="E231" s="4" t="s">
        <v>564</v>
      </c>
      <c r="G231" s="16"/>
      <c r="M231">
        <v>1</v>
      </c>
      <c r="N231">
        <v>-18</v>
      </c>
      <c r="O231">
        <v>0</v>
      </c>
      <c r="P231">
        <v>14</v>
      </c>
      <c r="Q231">
        <v>-252</v>
      </c>
      <c r="R231" t="s">
        <v>176</v>
      </c>
      <c r="S231">
        <v>0</v>
      </c>
      <c r="T231" t="s">
        <v>227</v>
      </c>
      <c r="U231">
        <v>0</v>
      </c>
      <c r="V231">
        <v>0</v>
      </c>
      <c r="W231">
        <v>400061</v>
      </c>
      <c r="X231" t="s">
        <v>56</v>
      </c>
      <c r="Y231" t="s">
        <v>57</v>
      </c>
      <c r="AE231">
        <v>0</v>
      </c>
      <c r="AP231" t="s">
        <v>169</v>
      </c>
    </row>
    <row r="232" spans="1:42">
      <c r="A232" s="1" t="s">
        <v>46</v>
      </c>
      <c r="B232" s="1" t="s">
        <v>565</v>
      </c>
      <c r="C232" s="1" t="s">
        <v>565</v>
      </c>
      <c r="E232" s="4" t="s">
        <v>566</v>
      </c>
      <c r="G232" s="16"/>
      <c r="M232">
        <v>1</v>
      </c>
      <c r="N232">
        <v>113</v>
      </c>
      <c r="O232">
        <v>0</v>
      </c>
      <c r="P232">
        <v>14</v>
      </c>
      <c r="Q232">
        <v>1582</v>
      </c>
      <c r="R232" t="s">
        <v>176</v>
      </c>
      <c r="S232">
        <v>0</v>
      </c>
      <c r="T232" t="s">
        <v>227</v>
      </c>
      <c r="U232">
        <v>0</v>
      </c>
      <c r="V232">
        <v>0</v>
      </c>
      <c r="W232">
        <v>400061</v>
      </c>
      <c r="X232" t="s">
        <v>56</v>
      </c>
      <c r="Y232" t="s">
        <v>57</v>
      </c>
      <c r="AE232">
        <v>0</v>
      </c>
      <c r="AP232" t="s">
        <v>169</v>
      </c>
    </row>
    <row r="233" spans="1:42">
      <c r="A233" s="1" t="s">
        <v>46</v>
      </c>
      <c r="B233" s="1" t="s">
        <v>567</v>
      </c>
      <c r="C233" s="1" t="s">
        <v>567</v>
      </c>
      <c r="D233" s="1" t="s">
        <v>568</v>
      </c>
      <c r="E233" s="4" t="s">
        <v>569</v>
      </c>
      <c r="G233" s="16"/>
      <c r="M233">
        <v>1</v>
      </c>
      <c r="N233">
        <v>1855</v>
      </c>
      <c r="O233">
        <v>0</v>
      </c>
      <c r="P233">
        <v>6.5</v>
      </c>
      <c r="Q233">
        <v>12057.5</v>
      </c>
      <c r="R233" t="s">
        <v>176</v>
      </c>
      <c r="S233">
        <v>0</v>
      </c>
      <c r="T233" t="s">
        <v>227</v>
      </c>
      <c r="U233">
        <v>0</v>
      </c>
      <c r="V233">
        <v>0</v>
      </c>
      <c r="W233">
        <v>400061</v>
      </c>
      <c r="X233" t="s">
        <v>56</v>
      </c>
      <c r="Y233" t="s">
        <v>57</v>
      </c>
      <c r="AE233">
        <v>0</v>
      </c>
      <c r="AP233" t="s">
        <v>169</v>
      </c>
    </row>
    <row r="234" spans="1:42">
      <c r="A234" s="1" t="s">
        <v>46</v>
      </c>
      <c r="B234" s="1" t="s">
        <v>570</v>
      </c>
      <c r="C234" s="1" t="s">
        <v>570</v>
      </c>
      <c r="E234" s="4" t="s">
        <v>571</v>
      </c>
      <c r="G234" s="16"/>
      <c r="M234">
        <v>1</v>
      </c>
      <c r="N234">
        <v>99</v>
      </c>
      <c r="O234">
        <v>0</v>
      </c>
      <c r="P234">
        <v>10</v>
      </c>
      <c r="Q234">
        <v>990</v>
      </c>
      <c r="R234" t="s">
        <v>241</v>
      </c>
      <c r="S234">
        <v>0</v>
      </c>
      <c r="T234" t="s">
        <v>209</v>
      </c>
      <c r="U234">
        <v>0</v>
      </c>
      <c r="V234">
        <v>0</v>
      </c>
      <c r="W234">
        <v>400061</v>
      </c>
      <c r="X234" t="s">
        <v>56</v>
      </c>
      <c r="Y234" t="s">
        <v>57</v>
      </c>
      <c r="AE234">
        <v>0</v>
      </c>
      <c r="AP234" t="s">
        <v>169</v>
      </c>
    </row>
    <row r="235" spans="1:42">
      <c r="A235" s="1" t="s">
        <v>46</v>
      </c>
      <c r="B235" s="1" t="s">
        <v>572</v>
      </c>
      <c r="C235" s="1" t="s">
        <v>572</v>
      </c>
      <c r="E235" s="4" t="s">
        <v>573</v>
      </c>
      <c r="G235" s="16"/>
      <c r="I235">
        <v>36.299999999999997</v>
      </c>
      <c r="M235">
        <v>1</v>
      </c>
      <c r="N235">
        <v>1</v>
      </c>
      <c r="O235">
        <v>0</v>
      </c>
      <c r="P235">
        <v>33.74</v>
      </c>
      <c r="Q235">
        <v>33.74</v>
      </c>
      <c r="R235" t="s">
        <v>574</v>
      </c>
      <c r="S235">
        <v>0</v>
      </c>
      <c r="T235" t="s">
        <v>52</v>
      </c>
      <c r="U235">
        <v>0</v>
      </c>
      <c r="V235">
        <v>0</v>
      </c>
      <c r="W235">
        <v>400013</v>
      </c>
      <c r="AE235">
        <v>0</v>
      </c>
      <c r="AH235">
        <v>36.299999999999997</v>
      </c>
      <c r="AP235" t="s">
        <v>232</v>
      </c>
    </row>
    <row r="236" spans="1:42">
      <c r="A236" s="1" t="s">
        <v>46</v>
      </c>
      <c r="B236" s="1" t="s">
        <v>575</v>
      </c>
      <c r="C236" s="1" t="s">
        <v>575</v>
      </c>
      <c r="E236" s="4" t="s">
        <v>576</v>
      </c>
      <c r="G236" s="16"/>
      <c r="M236">
        <v>1</v>
      </c>
      <c r="N236">
        <v>1</v>
      </c>
      <c r="O236">
        <v>0</v>
      </c>
      <c r="P236">
        <v>22</v>
      </c>
      <c r="Q236">
        <v>22</v>
      </c>
      <c r="R236">
        <v>0</v>
      </c>
      <c r="S236">
        <v>0</v>
      </c>
      <c r="T236" t="s">
        <v>52</v>
      </c>
      <c r="U236">
        <v>0</v>
      </c>
      <c r="V236">
        <v>0</v>
      </c>
      <c r="W236">
        <v>400061</v>
      </c>
      <c r="X236" t="s">
        <v>56</v>
      </c>
      <c r="Y236" t="s">
        <v>57</v>
      </c>
      <c r="AE236">
        <v>0</v>
      </c>
      <c r="AP236" t="s">
        <v>169</v>
      </c>
    </row>
    <row r="237" spans="1:42">
      <c r="A237" s="1" t="s">
        <v>46</v>
      </c>
      <c r="B237" s="1" t="s">
        <v>577</v>
      </c>
      <c r="C237" s="1" t="s">
        <v>577</v>
      </c>
      <c r="E237" s="4" t="s">
        <v>578</v>
      </c>
      <c r="G237" s="16"/>
      <c r="M237">
        <v>1</v>
      </c>
      <c r="N237">
        <v>110</v>
      </c>
      <c r="O237">
        <v>0</v>
      </c>
      <c r="P237">
        <v>0.98</v>
      </c>
      <c r="Q237">
        <v>107.25</v>
      </c>
      <c r="R237" t="s">
        <v>579</v>
      </c>
      <c r="S237">
        <v>0</v>
      </c>
      <c r="T237">
        <v>0</v>
      </c>
      <c r="U237">
        <v>0</v>
      </c>
      <c r="V237">
        <v>0</v>
      </c>
      <c r="W237">
        <v>400194</v>
      </c>
      <c r="AE237">
        <v>0</v>
      </c>
      <c r="AP237" t="s">
        <v>173</v>
      </c>
    </row>
    <row r="238" spans="1:42">
      <c r="A238" s="1" t="s">
        <v>46</v>
      </c>
      <c r="B238" s="1" t="s">
        <v>580</v>
      </c>
      <c r="C238" s="1" t="s">
        <v>580</v>
      </c>
      <c r="E238" s="4" t="s">
        <v>581</v>
      </c>
      <c r="G238" s="16"/>
      <c r="M238">
        <v>1</v>
      </c>
      <c r="N238">
        <v>52</v>
      </c>
      <c r="O238">
        <v>0</v>
      </c>
      <c r="P238">
        <v>105.45</v>
      </c>
      <c r="Q238">
        <v>5483.4</v>
      </c>
      <c r="R238">
        <v>0</v>
      </c>
      <c r="S238">
        <v>0</v>
      </c>
      <c r="T238" t="s">
        <v>52</v>
      </c>
      <c r="U238">
        <v>0</v>
      </c>
      <c r="V238">
        <v>0</v>
      </c>
      <c r="W238">
        <v>400012</v>
      </c>
      <c r="AE238">
        <v>0</v>
      </c>
      <c r="AP238" t="s">
        <v>582</v>
      </c>
    </row>
    <row r="239" spans="1:42">
      <c r="A239" s="1" t="s">
        <v>46</v>
      </c>
      <c r="B239" s="1" t="s">
        <v>583</v>
      </c>
      <c r="C239" s="1" t="s">
        <v>583</v>
      </c>
      <c r="E239" s="4" t="s">
        <v>584</v>
      </c>
      <c r="G239" s="16"/>
      <c r="M239">
        <v>1</v>
      </c>
      <c r="N239">
        <v>2202</v>
      </c>
      <c r="O239">
        <v>0</v>
      </c>
      <c r="P239">
        <v>38</v>
      </c>
      <c r="Q239">
        <v>83676</v>
      </c>
      <c r="R239">
        <v>0</v>
      </c>
      <c r="S239">
        <v>0</v>
      </c>
      <c r="T239" t="s">
        <v>52</v>
      </c>
      <c r="U239">
        <v>0</v>
      </c>
      <c r="V239">
        <v>0</v>
      </c>
      <c r="W239">
        <v>400130</v>
      </c>
      <c r="X239" t="s">
        <v>56</v>
      </c>
      <c r="Y239" t="s">
        <v>57</v>
      </c>
      <c r="AE239">
        <v>0</v>
      </c>
      <c r="AP239" t="s">
        <v>139</v>
      </c>
    </row>
    <row r="240" spans="1:42">
      <c r="A240" s="1" t="s">
        <v>46</v>
      </c>
      <c r="B240" s="1" t="s">
        <v>585</v>
      </c>
      <c r="C240" s="1" t="s">
        <v>585</v>
      </c>
      <c r="E240" s="4" t="s">
        <v>586</v>
      </c>
      <c r="G240" s="16"/>
      <c r="M240">
        <v>1</v>
      </c>
      <c r="N240">
        <v>114</v>
      </c>
      <c r="O240">
        <v>0</v>
      </c>
      <c r="P240">
        <v>3.43</v>
      </c>
      <c r="Q240">
        <v>390.51</v>
      </c>
      <c r="R240">
        <v>0</v>
      </c>
      <c r="S240">
        <v>0</v>
      </c>
      <c r="T240" t="s">
        <v>52</v>
      </c>
      <c r="U240">
        <v>0</v>
      </c>
      <c r="V240">
        <v>0</v>
      </c>
      <c r="W240">
        <v>400013</v>
      </c>
      <c r="AE240">
        <v>0</v>
      </c>
      <c r="AP240" t="s">
        <v>232</v>
      </c>
    </row>
    <row r="241" spans="1:42">
      <c r="A241" s="1" t="s">
        <v>46</v>
      </c>
      <c r="B241" s="1" t="s">
        <v>587</v>
      </c>
      <c r="C241" s="1" t="s">
        <v>587</v>
      </c>
      <c r="E241" s="4" t="s">
        <v>588</v>
      </c>
      <c r="G241" s="16">
        <v>2</v>
      </c>
      <c r="I241">
        <v>90</v>
      </c>
      <c r="M241">
        <v>1</v>
      </c>
      <c r="N241">
        <v>158</v>
      </c>
      <c r="O241">
        <v>0</v>
      </c>
      <c r="P241">
        <v>60</v>
      </c>
      <c r="Q241">
        <v>9480</v>
      </c>
      <c r="R241" t="s">
        <v>589</v>
      </c>
      <c r="S241">
        <v>0</v>
      </c>
      <c r="T241" t="s">
        <v>52</v>
      </c>
      <c r="U241">
        <v>0</v>
      </c>
      <c r="V241">
        <v>0</v>
      </c>
      <c r="W241">
        <v>410120</v>
      </c>
      <c r="AE241">
        <v>0</v>
      </c>
      <c r="AH241">
        <v>90</v>
      </c>
      <c r="AP241" t="s">
        <v>112</v>
      </c>
    </row>
    <row r="242" spans="1:42">
      <c r="A242" s="1" t="s">
        <v>46</v>
      </c>
      <c r="B242" s="1" t="s">
        <v>590</v>
      </c>
      <c r="C242" s="1" t="s">
        <v>590</v>
      </c>
      <c r="E242" s="4" t="s">
        <v>591</v>
      </c>
      <c r="G242" s="16">
        <v>2.75</v>
      </c>
      <c r="M242">
        <v>1</v>
      </c>
      <c r="N242">
        <v>-21</v>
      </c>
      <c r="O242">
        <v>0</v>
      </c>
      <c r="P242">
        <v>3.9</v>
      </c>
      <c r="Q242">
        <v>-81.84</v>
      </c>
      <c r="R242" t="s">
        <v>579</v>
      </c>
      <c r="S242">
        <v>0</v>
      </c>
      <c r="T242" t="s">
        <v>52</v>
      </c>
      <c r="U242">
        <v>0</v>
      </c>
      <c r="V242">
        <v>0</v>
      </c>
      <c r="W242">
        <v>400013</v>
      </c>
      <c r="X242" t="s">
        <v>56</v>
      </c>
      <c r="Y242" t="s">
        <v>57</v>
      </c>
      <c r="AE242">
        <v>0</v>
      </c>
      <c r="AP242" t="s">
        <v>232</v>
      </c>
    </row>
    <row r="243" spans="1:42">
      <c r="A243" s="1" t="s">
        <v>46</v>
      </c>
      <c r="B243" s="1" t="s">
        <v>592</v>
      </c>
      <c r="C243" s="1" t="s">
        <v>592</v>
      </c>
      <c r="E243" s="4" t="s">
        <v>593</v>
      </c>
      <c r="G243" s="16">
        <v>4</v>
      </c>
      <c r="I243">
        <v>10.5</v>
      </c>
      <c r="M243">
        <v>1</v>
      </c>
      <c r="N243">
        <v>-137</v>
      </c>
      <c r="O243">
        <v>0</v>
      </c>
      <c r="P243">
        <v>3.15</v>
      </c>
      <c r="Q243">
        <v>-431.55</v>
      </c>
      <c r="R243" t="s">
        <v>579</v>
      </c>
      <c r="S243">
        <v>0</v>
      </c>
      <c r="T243" t="s">
        <v>52</v>
      </c>
      <c r="U243">
        <v>0</v>
      </c>
      <c r="V243">
        <v>0</v>
      </c>
      <c r="W243">
        <v>400121</v>
      </c>
      <c r="AE243">
        <v>0</v>
      </c>
      <c r="AH243">
        <v>10.5</v>
      </c>
      <c r="AP243" t="s">
        <v>123</v>
      </c>
    </row>
    <row r="244" spans="1:42">
      <c r="A244" s="1" t="s">
        <v>46</v>
      </c>
      <c r="B244" s="1" t="s">
        <v>594</v>
      </c>
      <c r="C244" s="1" t="s">
        <v>594</v>
      </c>
      <c r="E244" s="4" t="s">
        <v>595</v>
      </c>
      <c r="G244" s="16">
        <v>1.5</v>
      </c>
      <c r="M244">
        <v>1</v>
      </c>
      <c r="N244">
        <v>-22</v>
      </c>
      <c r="O244">
        <v>0</v>
      </c>
      <c r="P244">
        <v>1500</v>
      </c>
      <c r="Q244">
        <v>-33000</v>
      </c>
      <c r="R244">
        <v>0</v>
      </c>
      <c r="S244">
        <v>0</v>
      </c>
      <c r="T244" t="s">
        <v>52</v>
      </c>
      <c r="U244">
        <v>0</v>
      </c>
      <c r="V244">
        <v>0</v>
      </c>
      <c r="W244">
        <v>400004</v>
      </c>
      <c r="AE244">
        <v>0</v>
      </c>
      <c r="AP244" t="s">
        <v>352</v>
      </c>
    </row>
    <row r="245" spans="1:42">
      <c r="A245" s="1" t="s">
        <v>46</v>
      </c>
      <c r="B245" s="1" t="s">
        <v>596</v>
      </c>
      <c r="C245" s="1" t="s">
        <v>596</v>
      </c>
      <c r="E245" s="4" t="s">
        <v>597</v>
      </c>
      <c r="G245" s="16">
        <v>2</v>
      </c>
      <c r="M245">
        <v>1</v>
      </c>
      <c r="N245">
        <v>42</v>
      </c>
      <c r="O245">
        <v>0</v>
      </c>
      <c r="P245">
        <v>0.35</v>
      </c>
      <c r="Q245">
        <v>14.7</v>
      </c>
      <c r="R245">
        <v>0</v>
      </c>
      <c r="S245">
        <v>0</v>
      </c>
      <c r="T245" t="s">
        <v>52</v>
      </c>
      <c r="W245">
        <v>400123</v>
      </c>
      <c r="AE245">
        <v>0</v>
      </c>
      <c r="AP245" t="s">
        <v>291</v>
      </c>
    </row>
    <row r="246" spans="1:42">
      <c r="A246" s="1" t="s">
        <v>46</v>
      </c>
      <c r="B246" s="1" t="s">
        <v>598</v>
      </c>
      <c r="C246" s="1" t="s">
        <v>598</v>
      </c>
      <c r="E246" s="4" t="s">
        <v>599</v>
      </c>
      <c r="G246" s="16">
        <v>2.75</v>
      </c>
      <c r="M246">
        <v>1</v>
      </c>
      <c r="N246">
        <v>548</v>
      </c>
      <c r="O246">
        <v>0</v>
      </c>
      <c r="P246">
        <v>0.67</v>
      </c>
      <c r="Q246">
        <v>364.97</v>
      </c>
      <c r="R246">
        <v>0</v>
      </c>
      <c r="S246">
        <v>0</v>
      </c>
      <c r="T246" t="s">
        <v>17</v>
      </c>
      <c r="U246">
        <v>0</v>
      </c>
      <c r="V246">
        <v>0</v>
      </c>
      <c r="W246">
        <v>400125</v>
      </c>
      <c r="AE246">
        <v>0</v>
      </c>
      <c r="AP246" t="s">
        <v>184</v>
      </c>
    </row>
    <row r="247" spans="1:42">
      <c r="A247" s="1" t="s">
        <v>46</v>
      </c>
      <c r="B247" s="1" t="s">
        <v>600</v>
      </c>
      <c r="C247" s="1" t="s">
        <v>600</v>
      </c>
      <c r="E247" s="4" t="s">
        <v>601</v>
      </c>
      <c r="G247" s="16"/>
      <c r="M247">
        <v>1</v>
      </c>
      <c r="N247">
        <v>-1</v>
      </c>
      <c r="O247">
        <v>0</v>
      </c>
      <c r="R247">
        <v>0</v>
      </c>
      <c r="S247">
        <v>0</v>
      </c>
      <c r="T247" t="s">
        <v>52</v>
      </c>
      <c r="U247">
        <v>0</v>
      </c>
      <c r="V247">
        <v>0</v>
      </c>
      <c r="AE247">
        <v>0</v>
      </c>
    </row>
    <row r="248" spans="1:42">
      <c r="A248" s="1" t="s">
        <v>46</v>
      </c>
      <c r="B248" s="1" t="s">
        <v>602</v>
      </c>
      <c r="C248" s="1" t="s">
        <v>602</v>
      </c>
      <c r="E248" s="4" t="s">
        <v>603</v>
      </c>
      <c r="G248" s="16"/>
      <c r="M248">
        <v>1</v>
      </c>
      <c r="N248">
        <v>243</v>
      </c>
      <c r="O248">
        <v>0</v>
      </c>
      <c r="P248">
        <v>1.22</v>
      </c>
      <c r="Q248">
        <v>297.31</v>
      </c>
      <c r="R248" t="s">
        <v>579</v>
      </c>
      <c r="S248">
        <v>0</v>
      </c>
      <c r="T248">
        <v>0</v>
      </c>
      <c r="U248">
        <v>0</v>
      </c>
      <c r="V248">
        <v>0</v>
      </c>
      <c r="W248">
        <v>400194</v>
      </c>
      <c r="AE248">
        <v>0</v>
      </c>
      <c r="AP248" t="s">
        <v>173</v>
      </c>
    </row>
    <row r="249" spans="1:42">
      <c r="A249" s="1" t="s">
        <v>46</v>
      </c>
      <c r="B249" s="1" t="s">
        <v>604</v>
      </c>
      <c r="C249" s="1" t="s">
        <v>604</v>
      </c>
      <c r="E249" s="4" t="s">
        <v>605</v>
      </c>
      <c r="G249" s="16"/>
      <c r="I249">
        <v>3.75</v>
      </c>
      <c r="M249">
        <v>1</v>
      </c>
      <c r="N249">
        <v>-310.2</v>
      </c>
      <c r="O249">
        <v>0</v>
      </c>
      <c r="P249">
        <v>12.38</v>
      </c>
      <c r="Q249">
        <v>-3839.19</v>
      </c>
      <c r="R249" t="s">
        <v>579</v>
      </c>
      <c r="S249">
        <v>0</v>
      </c>
      <c r="T249" t="s">
        <v>209</v>
      </c>
      <c r="U249">
        <v>0</v>
      </c>
      <c r="V249">
        <v>0</v>
      </c>
      <c r="W249">
        <v>410029</v>
      </c>
      <c r="AE249">
        <v>0</v>
      </c>
      <c r="AH249">
        <v>3.75</v>
      </c>
      <c r="AP249" t="s">
        <v>606</v>
      </c>
    </row>
    <row r="250" spans="1:42">
      <c r="A250" s="1" t="s">
        <v>46</v>
      </c>
      <c r="B250" s="1" t="s">
        <v>607</v>
      </c>
      <c r="C250" s="1" t="s">
        <v>607</v>
      </c>
      <c r="E250" s="4" t="s">
        <v>608</v>
      </c>
      <c r="G250" s="16">
        <v>1.35</v>
      </c>
      <c r="M250">
        <v>1</v>
      </c>
      <c r="N250">
        <v>1</v>
      </c>
      <c r="O250">
        <v>0</v>
      </c>
      <c r="P250">
        <v>2.63</v>
      </c>
      <c r="Q250">
        <v>2.63</v>
      </c>
      <c r="R250" t="s">
        <v>579</v>
      </c>
      <c r="S250">
        <v>0</v>
      </c>
      <c r="T250" t="s">
        <v>52</v>
      </c>
      <c r="U250">
        <v>0</v>
      </c>
      <c r="V250">
        <v>0</v>
      </c>
      <c r="W250">
        <v>400013</v>
      </c>
      <c r="AE250">
        <v>0</v>
      </c>
      <c r="AP250" t="s">
        <v>232</v>
      </c>
    </row>
    <row r="251" spans="1:42">
      <c r="A251" s="1" t="s">
        <v>46</v>
      </c>
      <c r="B251" s="1" t="s">
        <v>609</v>
      </c>
      <c r="C251" s="1" t="s">
        <v>609</v>
      </c>
      <c r="E251" s="4" t="s">
        <v>610</v>
      </c>
      <c r="G251" s="16">
        <v>1.35</v>
      </c>
      <c r="M251">
        <v>1</v>
      </c>
      <c r="N251">
        <v>260</v>
      </c>
      <c r="O251">
        <v>0</v>
      </c>
      <c r="P251">
        <v>0.06</v>
      </c>
      <c r="Q251">
        <v>14.3</v>
      </c>
      <c r="R251">
        <v>0</v>
      </c>
      <c r="S251">
        <v>0</v>
      </c>
      <c r="T251" t="s">
        <v>52</v>
      </c>
      <c r="U251">
        <v>0</v>
      </c>
      <c r="V251">
        <v>0</v>
      </c>
      <c r="W251">
        <v>400017</v>
      </c>
      <c r="X251" t="s">
        <v>56</v>
      </c>
      <c r="Y251" t="s">
        <v>57</v>
      </c>
      <c r="AE251">
        <v>0</v>
      </c>
      <c r="AP251" t="s">
        <v>49</v>
      </c>
    </row>
    <row r="252" spans="1:42">
      <c r="A252" s="1" t="s">
        <v>46</v>
      </c>
      <c r="B252" s="1" t="s">
        <v>611</v>
      </c>
      <c r="C252" s="1" t="s">
        <v>611</v>
      </c>
      <c r="E252" s="4" t="s">
        <v>612</v>
      </c>
      <c r="G252" s="16">
        <v>1.5</v>
      </c>
      <c r="M252">
        <v>1</v>
      </c>
      <c r="N252">
        <v>100</v>
      </c>
      <c r="O252">
        <v>0</v>
      </c>
      <c r="P252">
        <v>7.0000000000000007E-2</v>
      </c>
      <c r="Q252">
        <v>7</v>
      </c>
      <c r="R252">
        <v>0</v>
      </c>
      <c r="S252">
        <v>0</v>
      </c>
      <c r="T252" t="s">
        <v>52</v>
      </c>
      <c r="U252">
        <v>0</v>
      </c>
      <c r="V252">
        <v>0</v>
      </c>
      <c r="W252">
        <v>400017</v>
      </c>
      <c r="X252" t="s">
        <v>56</v>
      </c>
      <c r="Y252" t="s">
        <v>57</v>
      </c>
      <c r="AE252">
        <v>0</v>
      </c>
      <c r="AP252" t="s">
        <v>49</v>
      </c>
    </row>
    <row r="253" spans="1:42">
      <c r="A253" s="1" t="s">
        <v>46</v>
      </c>
      <c r="B253" s="1" t="s">
        <v>613</v>
      </c>
      <c r="C253" s="1" t="s">
        <v>613</v>
      </c>
      <c r="E253" s="4" t="s">
        <v>614</v>
      </c>
      <c r="G253" s="16">
        <v>1.5</v>
      </c>
      <c r="M253">
        <v>1</v>
      </c>
      <c r="N253">
        <v>5</v>
      </c>
      <c r="O253">
        <v>0</v>
      </c>
      <c r="P253">
        <v>2</v>
      </c>
      <c r="Q253">
        <v>10</v>
      </c>
      <c r="W253">
        <v>400028</v>
      </c>
      <c r="AE253">
        <v>0</v>
      </c>
      <c r="AP253" t="s">
        <v>246</v>
      </c>
    </row>
    <row r="254" spans="1:42">
      <c r="A254" s="1" t="s">
        <v>46</v>
      </c>
      <c r="B254" s="1" t="s">
        <v>615</v>
      </c>
      <c r="C254" s="1" t="s">
        <v>615</v>
      </c>
      <c r="E254" s="4" t="s">
        <v>616</v>
      </c>
      <c r="G254" s="16">
        <v>2</v>
      </c>
      <c r="M254">
        <v>1</v>
      </c>
      <c r="N254">
        <v>5</v>
      </c>
      <c r="O254">
        <v>0</v>
      </c>
      <c r="P254">
        <v>28</v>
      </c>
      <c r="Q254">
        <v>140</v>
      </c>
      <c r="R254" t="s">
        <v>589</v>
      </c>
      <c r="S254">
        <v>0</v>
      </c>
      <c r="T254" t="s">
        <v>52</v>
      </c>
      <c r="U254">
        <v>0</v>
      </c>
      <c r="V254">
        <v>0</v>
      </c>
      <c r="W254">
        <v>400011</v>
      </c>
      <c r="AE254">
        <v>0</v>
      </c>
      <c r="AP254" t="s">
        <v>617</v>
      </c>
    </row>
    <row r="255" spans="1:42">
      <c r="A255" s="1" t="s">
        <v>46</v>
      </c>
      <c r="B255" s="1" t="s">
        <v>618</v>
      </c>
      <c r="C255" s="1" t="s">
        <v>618</v>
      </c>
      <c r="E255" s="4" t="s">
        <v>619</v>
      </c>
      <c r="G255" s="16">
        <v>2</v>
      </c>
      <c r="M255">
        <v>1</v>
      </c>
      <c r="N255">
        <v>519</v>
      </c>
      <c r="O255">
        <v>0</v>
      </c>
      <c r="P255">
        <v>2.15</v>
      </c>
      <c r="Q255">
        <v>1118.24</v>
      </c>
      <c r="R255" t="s">
        <v>579</v>
      </c>
      <c r="S255">
        <v>0</v>
      </c>
      <c r="T255" t="s">
        <v>52</v>
      </c>
      <c r="U255">
        <v>0</v>
      </c>
      <c r="V255">
        <v>0</v>
      </c>
      <c r="W255">
        <v>400013</v>
      </c>
      <c r="X255" t="s">
        <v>56</v>
      </c>
      <c r="Y255" t="s">
        <v>57</v>
      </c>
      <c r="AE255">
        <v>0</v>
      </c>
      <c r="AP255" t="s">
        <v>232</v>
      </c>
    </row>
    <row r="256" spans="1:42">
      <c r="A256" s="1" t="s">
        <v>46</v>
      </c>
      <c r="B256" s="1" t="s">
        <v>620</v>
      </c>
      <c r="C256" s="1" t="s">
        <v>620</v>
      </c>
      <c r="E256" s="4" t="s">
        <v>621</v>
      </c>
      <c r="G256" s="16"/>
      <c r="I256">
        <v>7.5</v>
      </c>
      <c r="M256">
        <v>1</v>
      </c>
      <c r="N256">
        <v>87</v>
      </c>
      <c r="O256">
        <v>0</v>
      </c>
      <c r="P256">
        <v>2.98</v>
      </c>
      <c r="Q256">
        <v>259.06</v>
      </c>
      <c r="R256" t="s">
        <v>579</v>
      </c>
      <c r="S256">
        <v>0</v>
      </c>
      <c r="T256" t="s">
        <v>52</v>
      </c>
      <c r="U256">
        <v>0</v>
      </c>
      <c r="V256">
        <v>0</v>
      </c>
      <c r="W256">
        <v>400013</v>
      </c>
      <c r="X256" t="s">
        <v>56</v>
      </c>
      <c r="Y256" t="s">
        <v>57</v>
      </c>
      <c r="AE256">
        <v>0</v>
      </c>
      <c r="AH256">
        <v>7.5</v>
      </c>
      <c r="AP256" t="s">
        <v>232</v>
      </c>
    </row>
    <row r="257" spans="1:42">
      <c r="A257" s="1" t="s">
        <v>46</v>
      </c>
      <c r="B257" s="1" t="s">
        <v>622</v>
      </c>
      <c r="C257" s="1" t="s">
        <v>622</v>
      </c>
      <c r="E257" s="4" t="s">
        <v>623</v>
      </c>
      <c r="G257" s="16">
        <v>3.5</v>
      </c>
      <c r="M257">
        <v>1</v>
      </c>
      <c r="N257">
        <v>6</v>
      </c>
      <c r="O257">
        <v>0</v>
      </c>
      <c r="P257">
        <v>134</v>
      </c>
      <c r="Q257">
        <v>804</v>
      </c>
      <c r="R257">
        <v>0</v>
      </c>
      <c r="S257">
        <v>0</v>
      </c>
      <c r="T257" t="s">
        <v>52</v>
      </c>
      <c r="W257">
        <v>400028</v>
      </c>
      <c r="AE257">
        <v>0</v>
      </c>
      <c r="AP257" t="s">
        <v>246</v>
      </c>
    </row>
    <row r="258" spans="1:42">
      <c r="A258" s="1" t="s">
        <v>46</v>
      </c>
      <c r="B258" s="1" t="s">
        <v>624</v>
      </c>
      <c r="C258" s="1" t="s">
        <v>624</v>
      </c>
      <c r="E258" s="4" t="s">
        <v>625</v>
      </c>
      <c r="G258" s="16"/>
      <c r="M258">
        <v>1</v>
      </c>
      <c r="N258">
        <v>630</v>
      </c>
      <c r="O258">
        <v>0</v>
      </c>
      <c r="P258">
        <v>1.1200000000000001</v>
      </c>
      <c r="Q258">
        <v>707.8</v>
      </c>
      <c r="R258" t="s">
        <v>579</v>
      </c>
      <c r="S258">
        <v>0</v>
      </c>
      <c r="T258" t="s">
        <v>52</v>
      </c>
      <c r="U258">
        <v>0</v>
      </c>
      <c r="V258">
        <v>0</v>
      </c>
      <c r="W258">
        <v>400013</v>
      </c>
      <c r="X258" t="s">
        <v>56</v>
      </c>
      <c r="Y258" t="s">
        <v>57</v>
      </c>
      <c r="AE258">
        <v>0</v>
      </c>
      <c r="AP258" t="s">
        <v>232</v>
      </c>
    </row>
    <row r="259" spans="1:42">
      <c r="A259" s="1" t="s">
        <v>46</v>
      </c>
      <c r="B259" s="1" t="s">
        <v>626</v>
      </c>
      <c r="C259" s="1" t="s">
        <v>626</v>
      </c>
      <c r="E259" s="4" t="s">
        <v>627</v>
      </c>
      <c r="G259" s="16">
        <v>3.5</v>
      </c>
      <c r="M259">
        <v>1</v>
      </c>
      <c r="N259">
        <v>8</v>
      </c>
      <c r="O259">
        <v>0</v>
      </c>
      <c r="P259">
        <v>135</v>
      </c>
      <c r="Q259">
        <v>1080</v>
      </c>
      <c r="R259">
        <v>0</v>
      </c>
      <c r="S259">
        <v>0</v>
      </c>
      <c r="T259" t="s">
        <v>52</v>
      </c>
      <c r="W259">
        <v>400044</v>
      </c>
      <c r="AE259">
        <v>0</v>
      </c>
      <c r="AP259" t="s">
        <v>628</v>
      </c>
    </row>
    <row r="260" spans="1:42">
      <c r="A260" s="1" t="s">
        <v>46</v>
      </c>
      <c r="B260" s="1" t="s">
        <v>629</v>
      </c>
      <c r="C260" s="1" t="s">
        <v>629</v>
      </c>
      <c r="E260" s="4" t="s">
        <v>630</v>
      </c>
      <c r="G260" s="16">
        <v>3.5</v>
      </c>
      <c r="M260">
        <v>1</v>
      </c>
      <c r="N260">
        <v>1</v>
      </c>
      <c r="O260">
        <v>0</v>
      </c>
      <c r="P260">
        <v>80</v>
      </c>
      <c r="Q260">
        <v>80</v>
      </c>
      <c r="W260">
        <v>400130</v>
      </c>
      <c r="AE260">
        <v>0</v>
      </c>
      <c r="AP260" t="s">
        <v>139</v>
      </c>
    </row>
    <row r="261" spans="1:42">
      <c r="A261" s="1" t="s">
        <v>46</v>
      </c>
      <c r="B261" s="1" t="s">
        <v>631</v>
      </c>
      <c r="C261" s="1" t="s">
        <v>631</v>
      </c>
      <c r="E261" s="4" t="s">
        <v>632</v>
      </c>
      <c r="G261" s="16">
        <v>3.5</v>
      </c>
      <c r="M261">
        <v>1</v>
      </c>
      <c r="N261">
        <v>-2</v>
      </c>
      <c r="O261">
        <v>0</v>
      </c>
      <c r="P261">
        <v>140</v>
      </c>
      <c r="Q261">
        <v>-280</v>
      </c>
      <c r="R261">
        <v>0</v>
      </c>
      <c r="S261">
        <v>0</v>
      </c>
      <c r="T261" t="s">
        <v>52</v>
      </c>
      <c r="W261">
        <v>400030</v>
      </c>
      <c r="AE261">
        <v>0</v>
      </c>
      <c r="AP261" t="s">
        <v>92</v>
      </c>
    </row>
    <row r="262" spans="1:42">
      <c r="A262" s="1" t="s">
        <v>46</v>
      </c>
      <c r="B262" s="1" t="s">
        <v>633</v>
      </c>
      <c r="C262" s="1" t="s">
        <v>633</v>
      </c>
      <c r="E262" s="4" t="s">
        <v>634</v>
      </c>
      <c r="G262" s="16"/>
      <c r="M262">
        <v>1</v>
      </c>
      <c r="N262">
        <v>4</v>
      </c>
      <c r="O262">
        <v>0</v>
      </c>
      <c r="P262">
        <v>80</v>
      </c>
      <c r="Q262">
        <v>320</v>
      </c>
      <c r="R262">
        <v>0</v>
      </c>
      <c r="S262">
        <v>0</v>
      </c>
      <c r="T262" t="s">
        <v>52</v>
      </c>
      <c r="W262">
        <v>400130</v>
      </c>
      <c r="AE262">
        <v>0</v>
      </c>
      <c r="AP262" t="s">
        <v>139</v>
      </c>
    </row>
    <row r="263" spans="1:42">
      <c r="A263" s="1" t="s">
        <v>46</v>
      </c>
      <c r="B263" s="1" t="s">
        <v>635</v>
      </c>
      <c r="C263" s="1" t="s">
        <v>635</v>
      </c>
      <c r="E263" s="4" t="s">
        <v>636</v>
      </c>
      <c r="G263" s="16">
        <v>1.5</v>
      </c>
      <c r="M263">
        <v>1</v>
      </c>
      <c r="N263">
        <v>3103</v>
      </c>
      <c r="O263">
        <v>0</v>
      </c>
      <c r="P263">
        <v>4.9400000000000004</v>
      </c>
      <c r="Q263">
        <v>15313.49</v>
      </c>
      <c r="R263">
        <v>0</v>
      </c>
      <c r="S263">
        <v>0</v>
      </c>
      <c r="T263" t="s">
        <v>52</v>
      </c>
      <c r="U263">
        <v>0</v>
      </c>
      <c r="V263">
        <v>0</v>
      </c>
      <c r="W263">
        <v>400219</v>
      </c>
      <c r="AE263">
        <v>0</v>
      </c>
      <c r="AP263" t="s">
        <v>637</v>
      </c>
    </row>
    <row r="264" spans="1:42">
      <c r="A264" s="1" t="s">
        <v>46</v>
      </c>
      <c r="B264" s="1" t="s">
        <v>638</v>
      </c>
      <c r="C264" s="1" t="s">
        <v>638</v>
      </c>
      <c r="E264" s="4" t="s">
        <v>639</v>
      </c>
      <c r="G264" s="16">
        <v>2</v>
      </c>
      <c r="I264">
        <v>50</v>
      </c>
      <c r="M264">
        <v>1</v>
      </c>
      <c r="N264">
        <v>-1</v>
      </c>
      <c r="O264">
        <v>0</v>
      </c>
      <c r="P264">
        <v>113.22</v>
      </c>
      <c r="Q264">
        <v>-113.22</v>
      </c>
      <c r="R264">
        <v>0</v>
      </c>
      <c r="S264">
        <v>0</v>
      </c>
      <c r="T264" t="s">
        <v>52</v>
      </c>
      <c r="U264">
        <v>0</v>
      </c>
      <c r="V264">
        <v>0</v>
      </c>
      <c r="W264">
        <v>400013</v>
      </c>
      <c r="AE264">
        <v>0</v>
      </c>
      <c r="AH264">
        <v>50</v>
      </c>
      <c r="AP264" t="s">
        <v>232</v>
      </c>
    </row>
    <row r="265" spans="1:42">
      <c r="A265" s="1" t="s">
        <v>46</v>
      </c>
      <c r="B265" s="1" t="s">
        <v>640</v>
      </c>
      <c r="C265" s="1" t="s">
        <v>640</v>
      </c>
      <c r="E265" s="4" t="s">
        <v>641</v>
      </c>
      <c r="G265" s="16"/>
      <c r="M265">
        <v>1</v>
      </c>
      <c r="N265">
        <v>190</v>
      </c>
      <c r="O265">
        <v>0</v>
      </c>
      <c r="P265">
        <v>0.9</v>
      </c>
      <c r="Q265">
        <v>171</v>
      </c>
      <c r="R265">
        <v>0</v>
      </c>
      <c r="S265">
        <v>0</v>
      </c>
      <c r="T265" t="s">
        <v>52</v>
      </c>
      <c r="U265">
        <v>0</v>
      </c>
      <c r="V265">
        <v>0</v>
      </c>
      <c r="W265">
        <v>400033</v>
      </c>
      <c r="AE265">
        <v>0</v>
      </c>
      <c r="AP265" t="s">
        <v>126</v>
      </c>
    </row>
    <row r="266" spans="1:42">
      <c r="A266" s="1" t="s">
        <v>46</v>
      </c>
      <c r="B266" s="1" t="s">
        <v>642</v>
      </c>
      <c r="C266" s="1" t="s">
        <v>642</v>
      </c>
      <c r="E266" s="4" t="s">
        <v>643</v>
      </c>
      <c r="G266" s="16"/>
      <c r="M266">
        <v>1</v>
      </c>
      <c r="N266">
        <v>57</v>
      </c>
      <c r="O266">
        <v>0</v>
      </c>
      <c r="P266">
        <v>0.66</v>
      </c>
      <c r="Q266">
        <v>37.619999999999997</v>
      </c>
      <c r="R266">
        <v>0</v>
      </c>
      <c r="S266">
        <v>0</v>
      </c>
      <c r="T266" t="s">
        <v>17</v>
      </c>
      <c r="U266">
        <v>0</v>
      </c>
      <c r="V266">
        <v>0</v>
      </c>
      <c r="W266">
        <v>400125</v>
      </c>
      <c r="AE266">
        <v>0</v>
      </c>
      <c r="AP266" t="s">
        <v>184</v>
      </c>
    </row>
    <row r="267" spans="1:42">
      <c r="A267" s="1" t="s">
        <v>46</v>
      </c>
      <c r="B267" s="1" t="s">
        <v>644</v>
      </c>
      <c r="C267" s="1" t="s">
        <v>644</v>
      </c>
      <c r="E267" s="4" t="s">
        <v>645</v>
      </c>
      <c r="G267" s="16"/>
      <c r="M267">
        <v>1</v>
      </c>
      <c r="N267">
        <v>-2</v>
      </c>
      <c r="O267">
        <v>0</v>
      </c>
      <c r="P267">
        <v>58</v>
      </c>
      <c r="Q267">
        <v>-116</v>
      </c>
      <c r="R267">
        <v>0</v>
      </c>
      <c r="S267">
        <v>0</v>
      </c>
      <c r="T267" t="s">
        <v>52</v>
      </c>
      <c r="W267">
        <v>400111</v>
      </c>
      <c r="AE267">
        <v>0</v>
      </c>
      <c r="AP267" t="s">
        <v>646</v>
      </c>
    </row>
    <row r="268" spans="1:42">
      <c r="A268" s="1" t="s">
        <v>46</v>
      </c>
      <c r="B268" s="1" t="s">
        <v>647</v>
      </c>
      <c r="C268" s="1" t="s">
        <v>647</v>
      </c>
      <c r="E268" s="4" t="s">
        <v>648</v>
      </c>
      <c r="G268" s="16">
        <v>0.25</v>
      </c>
      <c r="I268">
        <v>203.5</v>
      </c>
      <c r="M268">
        <v>1</v>
      </c>
      <c r="N268">
        <v>7</v>
      </c>
      <c r="O268">
        <v>0</v>
      </c>
      <c r="P268">
        <v>185.59</v>
      </c>
      <c r="Q268">
        <v>1299.1400000000001</v>
      </c>
      <c r="R268" t="s">
        <v>574</v>
      </c>
      <c r="S268">
        <v>0</v>
      </c>
      <c r="T268" t="s">
        <v>52</v>
      </c>
      <c r="U268">
        <v>0</v>
      </c>
      <c r="V268">
        <v>0</v>
      </c>
      <c r="W268">
        <v>400013</v>
      </c>
      <c r="AE268">
        <v>0</v>
      </c>
      <c r="AH268">
        <v>203.5</v>
      </c>
      <c r="AP268" t="s">
        <v>232</v>
      </c>
    </row>
    <row r="269" spans="1:42">
      <c r="A269" s="1" t="s">
        <v>46</v>
      </c>
      <c r="B269" s="1" t="s">
        <v>649</v>
      </c>
      <c r="C269" s="1" t="s">
        <v>649</v>
      </c>
      <c r="E269" s="4" t="s">
        <v>650</v>
      </c>
      <c r="G269" s="16">
        <v>0.25</v>
      </c>
      <c r="M269">
        <v>1</v>
      </c>
      <c r="N269">
        <v>11</v>
      </c>
      <c r="O269">
        <v>0</v>
      </c>
      <c r="P269">
        <v>69</v>
      </c>
      <c r="Q269">
        <v>759</v>
      </c>
      <c r="R269">
        <v>0</v>
      </c>
      <c r="S269">
        <v>0</v>
      </c>
      <c r="T269" t="s">
        <v>52</v>
      </c>
      <c r="U269">
        <v>0</v>
      </c>
      <c r="V269">
        <v>0</v>
      </c>
      <c r="W269">
        <v>400011</v>
      </c>
      <c r="AE269">
        <v>0</v>
      </c>
      <c r="AP269" t="s">
        <v>617</v>
      </c>
    </row>
    <row r="270" spans="1:42">
      <c r="A270" s="1" t="s">
        <v>46</v>
      </c>
      <c r="B270" s="1" t="s">
        <v>651</v>
      </c>
      <c r="C270" s="1" t="s">
        <v>651</v>
      </c>
      <c r="E270" s="4" t="s">
        <v>652</v>
      </c>
      <c r="G270" s="16">
        <v>0.3</v>
      </c>
      <c r="M270">
        <v>1</v>
      </c>
      <c r="N270">
        <v>15</v>
      </c>
      <c r="O270">
        <v>0</v>
      </c>
      <c r="P270">
        <v>109</v>
      </c>
      <c r="Q270">
        <v>1635</v>
      </c>
      <c r="R270" t="s">
        <v>589</v>
      </c>
      <c r="S270">
        <v>0</v>
      </c>
      <c r="T270" t="s">
        <v>52</v>
      </c>
      <c r="U270">
        <v>0</v>
      </c>
      <c r="V270">
        <v>0</v>
      </c>
      <c r="W270">
        <v>400011</v>
      </c>
      <c r="AE270">
        <v>0</v>
      </c>
      <c r="AP270" t="s">
        <v>617</v>
      </c>
    </row>
    <row r="271" spans="1:42">
      <c r="A271" s="1" t="s">
        <v>46</v>
      </c>
      <c r="B271" s="1" t="s">
        <v>653</v>
      </c>
      <c r="C271" s="1" t="s">
        <v>653</v>
      </c>
      <c r="E271" s="4" t="s">
        <v>654</v>
      </c>
      <c r="G271" s="16">
        <v>0.3</v>
      </c>
      <c r="I271">
        <v>120</v>
      </c>
      <c r="M271">
        <v>1</v>
      </c>
      <c r="N271">
        <v>-5</v>
      </c>
      <c r="O271">
        <v>0</v>
      </c>
      <c r="P271">
        <v>145</v>
      </c>
      <c r="Q271">
        <v>-725</v>
      </c>
      <c r="R271" t="s">
        <v>589</v>
      </c>
      <c r="S271">
        <v>0</v>
      </c>
      <c r="T271" t="s">
        <v>52</v>
      </c>
      <c r="W271">
        <v>400011</v>
      </c>
      <c r="AE271">
        <v>0</v>
      </c>
      <c r="AH271">
        <v>120</v>
      </c>
      <c r="AP271" t="s">
        <v>617</v>
      </c>
    </row>
    <row r="272" spans="1:42">
      <c r="A272" s="1" t="s">
        <v>46</v>
      </c>
      <c r="B272" s="1" t="s">
        <v>655</v>
      </c>
      <c r="C272" s="1" t="s">
        <v>655</v>
      </c>
      <c r="E272" s="4" t="s">
        <v>656</v>
      </c>
      <c r="G272" s="16"/>
      <c r="M272">
        <v>1</v>
      </c>
      <c r="N272">
        <v>4115</v>
      </c>
      <c r="O272">
        <v>0</v>
      </c>
      <c r="P272">
        <v>4.33</v>
      </c>
      <c r="Q272">
        <v>17813.84</v>
      </c>
      <c r="R272">
        <v>0</v>
      </c>
      <c r="S272">
        <v>0</v>
      </c>
      <c r="T272" t="s">
        <v>52</v>
      </c>
      <c r="U272">
        <v>0</v>
      </c>
      <c r="V272">
        <v>0</v>
      </c>
      <c r="W272">
        <v>400013</v>
      </c>
      <c r="X272" t="s">
        <v>56</v>
      </c>
      <c r="Y272" t="s">
        <v>57</v>
      </c>
      <c r="AE272">
        <v>0</v>
      </c>
      <c r="AP272" t="s">
        <v>232</v>
      </c>
    </row>
    <row r="273" spans="1:42">
      <c r="A273" s="1" t="s">
        <v>46</v>
      </c>
      <c r="B273" s="1" t="s">
        <v>657</v>
      </c>
      <c r="C273" s="1" t="s">
        <v>657</v>
      </c>
      <c r="E273" s="4" t="s">
        <v>658</v>
      </c>
      <c r="G273" s="16">
        <v>0.65</v>
      </c>
      <c r="M273">
        <v>1</v>
      </c>
      <c r="N273">
        <v>2</v>
      </c>
      <c r="O273">
        <v>0</v>
      </c>
      <c r="P273">
        <v>53</v>
      </c>
      <c r="Q273">
        <v>106</v>
      </c>
      <c r="R273" t="s">
        <v>589</v>
      </c>
      <c r="S273">
        <v>0</v>
      </c>
      <c r="T273" t="s">
        <v>52</v>
      </c>
      <c r="W273">
        <v>400011</v>
      </c>
      <c r="AE273">
        <v>0</v>
      </c>
      <c r="AP273" t="s">
        <v>617</v>
      </c>
    </row>
    <row r="274" spans="1:42">
      <c r="A274" s="1" t="s">
        <v>46</v>
      </c>
      <c r="B274" s="1" t="s">
        <v>659</v>
      </c>
      <c r="C274" s="1" t="s">
        <v>659</v>
      </c>
      <c r="E274" s="4" t="s">
        <v>660</v>
      </c>
      <c r="G274" s="16"/>
      <c r="I274">
        <v>120</v>
      </c>
      <c r="M274">
        <v>1</v>
      </c>
      <c r="N274">
        <v>-10</v>
      </c>
      <c r="O274">
        <v>0</v>
      </c>
      <c r="P274">
        <v>92</v>
      </c>
      <c r="Q274">
        <v>-920</v>
      </c>
      <c r="R274" t="s">
        <v>589</v>
      </c>
      <c r="S274">
        <v>0</v>
      </c>
      <c r="T274" t="s">
        <v>52</v>
      </c>
      <c r="U274">
        <v>0</v>
      </c>
      <c r="V274">
        <v>0</v>
      </c>
      <c r="W274">
        <v>410120</v>
      </c>
      <c r="AE274">
        <v>0</v>
      </c>
      <c r="AH274">
        <v>120</v>
      </c>
      <c r="AP274" t="s">
        <v>112</v>
      </c>
    </row>
    <row r="275" spans="1:42">
      <c r="A275" s="1" t="s">
        <v>46</v>
      </c>
      <c r="B275" s="1" t="s">
        <v>661</v>
      </c>
      <c r="C275" s="1" t="s">
        <v>661</v>
      </c>
      <c r="E275" s="4" t="s">
        <v>662</v>
      </c>
      <c r="G275" s="16">
        <v>1</v>
      </c>
      <c r="M275">
        <v>1</v>
      </c>
      <c r="N275">
        <v>2</v>
      </c>
      <c r="O275">
        <v>0</v>
      </c>
      <c r="P275">
        <v>65.45</v>
      </c>
      <c r="Q275">
        <v>130.88999999999999</v>
      </c>
      <c r="R275" t="s">
        <v>663</v>
      </c>
      <c r="S275">
        <v>0</v>
      </c>
      <c r="T275" t="s">
        <v>52</v>
      </c>
      <c r="W275">
        <v>400010</v>
      </c>
      <c r="AE275">
        <v>0</v>
      </c>
      <c r="AP275" t="s">
        <v>66</v>
      </c>
    </row>
    <row r="276" spans="1:42">
      <c r="A276" s="1" t="s">
        <v>46</v>
      </c>
      <c r="B276" s="1" t="s">
        <v>664</v>
      </c>
      <c r="C276" s="1" t="s">
        <v>664</v>
      </c>
      <c r="E276" s="4" t="s">
        <v>665</v>
      </c>
      <c r="G276" s="16"/>
      <c r="I276">
        <v>189.2</v>
      </c>
      <c r="M276">
        <v>1</v>
      </c>
      <c r="N276">
        <v>3</v>
      </c>
      <c r="O276">
        <v>0</v>
      </c>
      <c r="P276">
        <v>190.48</v>
      </c>
      <c r="Q276">
        <v>571.42999999999995</v>
      </c>
      <c r="R276" t="s">
        <v>574</v>
      </c>
      <c r="S276">
        <v>0</v>
      </c>
      <c r="T276" t="s">
        <v>52</v>
      </c>
      <c r="U276">
        <v>0</v>
      </c>
      <c r="V276">
        <v>0</v>
      </c>
      <c r="W276">
        <v>400013</v>
      </c>
      <c r="AE276">
        <v>0</v>
      </c>
      <c r="AH276">
        <v>189.2</v>
      </c>
      <c r="AP276" t="s">
        <v>232</v>
      </c>
    </row>
    <row r="277" spans="1:42">
      <c r="A277" s="1" t="s">
        <v>46</v>
      </c>
      <c r="B277" s="1" t="s">
        <v>666</v>
      </c>
      <c r="C277" s="1" t="s">
        <v>666</v>
      </c>
      <c r="E277" s="4" t="s">
        <v>667</v>
      </c>
      <c r="G277" s="16"/>
      <c r="I277">
        <v>200.2</v>
      </c>
      <c r="M277">
        <v>1</v>
      </c>
      <c r="N277">
        <v>8</v>
      </c>
      <c r="O277">
        <v>0</v>
      </c>
      <c r="P277">
        <v>210.9</v>
      </c>
      <c r="Q277">
        <v>1687.2</v>
      </c>
      <c r="R277" t="s">
        <v>574</v>
      </c>
      <c r="S277">
        <v>0</v>
      </c>
      <c r="T277" t="s">
        <v>52</v>
      </c>
      <c r="U277">
        <v>0</v>
      </c>
      <c r="V277">
        <v>0</v>
      </c>
      <c r="W277">
        <v>400013</v>
      </c>
      <c r="X277" t="s">
        <v>56</v>
      </c>
      <c r="Y277" t="s">
        <v>57</v>
      </c>
      <c r="AE277">
        <v>0</v>
      </c>
      <c r="AH277">
        <v>200.2</v>
      </c>
      <c r="AP277" t="s">
        <v>232</v>
      </c>
    </row>
    <row r="278" spans="1:42">
      <c r="A278" s="1" t="s">
        <v>46</v>
      </c>
      <c r="B278" s="1" t="s">
        <v>668</v>
      </c>
      <c r="C278" s="1" t="s">
        <v>668</v>
      </c>
      <c r="E278" s="4" t="s">
        <v>669</v>
      </c>
      <c r="G278" s="16"/>
      <c r="I278">
        <v>121</v>
      </c>
      <c r="M278">
        <v>1</v>
      </c>
      <c r="N278">
        <v>168</v>
      </c>
      <c r="O278">
        <v>0</v>
      </c>
      <c r="P278">
        <v>101.23</v>
      </c>
      <c r="Q278">
        <v>17006.98</v>
      </c>
      <c r="R278" t="s">
        <v>574</v>
      </c>
      <c r="S278">
        <v>0</v>
      </c>
      <c r="T278" t="s">
        <v>52</v>
      </c>
      <c r="U278">
        <v>0</v>
      </c>
      <c r="V278">
        <v>0</v>
      </c>
      <c r="W278">
        <v>400013</v>
      </c>
      <c r="X278" t="s">
        <v>56</v>
      </c>
      <c r="Y278" t="s">
        <v>57</v>
      </c>
      <c r="AE278">
        <v>0</v>
      </c>
      <c r="AH278">
        <v>121</v>
      </c>
      <c r="AP278" t="s">
        <v>232</v>
      </c>
    </row>
    <row r="279" spans="1:42">
      <c r="A279" s="1" t="s">
        <v>46</v>
      </c>
      <c r="B279" s="1" t="s">
        <v>670</v>
      </c>
      <c r="C279" s="1" t="s">
        <v>670</v>
      </c>
      <c r="E279" s="4" t="s">
        <v>671</v>
      </c>
      <c r="G279" s="16"/>
      <c r="I279">
        <v>176</v>
      </c>
      <c r="M279">
        <v>1</v>
      </c>
      <c r="N279">
        <v>4</v>
      </c>
      <c r="O279">
        <v>0</v>
      </c>
      <c r="P279">
        <v>172.94</v>
      </c>
      <c r="Q279">
        <v>691.75</v>
      </c>
      <c r="R279" t="s">
        <v>574</v>
      </c>
      <c r="S279">
        <v>0</v>
      </c>
      <c r="T279" t="s">
        <v>52</v>
      </c>
      <c r="U279">
        <v>0</v>
      </c>
      <c r="V279">
        <v>0</v>
      </c>
      <c r="W279">
        <v>400013</v>
      </c>
      <c r="X279" t="s">
        <v>56</v>
      </c>
      <c r="Y279" t="s">
        <v>57</v>
      </c>
      <c r="AE279">
        <v>0</v>
      </c>
      <c r="AH279">
        <v>176</v>
      </c>
      <c r="AP279" t="s">
        <v>232</v>
      </c>
    </row>
    <row r="280" spans="1:42">
      <c r="A280" s="1" t="s">
        <v>46</v>
      </c>
      <c r="B280" s="1" t="s">
        <v>672</v>
      </c>
      <c r="C280" s="1" t="s">
        <v>672</v>
      </c>
      <c r="E280" s="4" t="s">
        <v>673</v>
      </c>
      <c r="G280" s="16"/>
      <c r="M280">
        <v>1</v>
      </c>
      <c r="N280">
        <v>50</v>
      </c>
      <c r="O280">
        <v>0</v>
      </c>
      <c r="P280">
        <v>4.21</v>
      </c>
      <c r="Q280">
        <v>210.5</v>
      </c>
      <c r="W280">
        <v>400120</v>
      </c>
      <c r="AE280">
        <v>0</v>
      </c>
      <c r="AP280" t="s">
        <v>468</v>
      </c>
    </row>
    <row r="281" spans="1:42">
      <c r="A281" s="1" t="s">
        <v>46</v>
      </c>
      <c r="B281" s="1" t="s">
        <v>674</v>
      </c>
      <c r="C281" s="1" t="s">
        <v>674</v>
      </c>
      <c r="E281" s="4" t="s">
        <v>675</v>
      </c>
      <c r="G281" s="16"/>
      <c r="M281">
        <v>1</v>
      </c>
      <c r="N281">
        <v>2</v>
      </c>
      <c r="O281">
        <v>0</v>
      </c>
      <c r="P281">
        <v>760</v>
      </c>
      <c r="Q281">
        <v>1520</v>
      </c>
      <c r="R281" t="s">
        <v>589</v>
      </c>
      <c r="S281">
        <v>0</v>
      </c>
      <c r="T281" t="s">
        <v>52</v>
      </c>
      <c r="U281">
        <v>0</v>
      </c>
      <c r="V281">
        <v>0</v>
      </c>
      <c r="W281">
        <v>400011</v>
      </c>
      <c r="AE281">
        <v>0</v>
      </c>
      <c r="AP281" t="s">
        <v>617</v>
      </c>
    </row>
    <row r="282" spans="1:42">
      <c r="A282" s="1" t="s">
        <v>46</v>
      </c>
      <c r="B282" s="1" t="s">
        <v>676</v>
      </c>
      <c r="C282" s="1" t="s">
        <v>676</v>
      </c>
      <c r="E282" s="4" t="s">
        <v>677</v>
      </c>
      <c r="G282" s="16"/>
      <c r="I282">
        <v>1353</v>
      </c>
      <c r="M282">
        <v>1</v>
      </c>
      <c r="N282">
        <v>1</v>
      </c>
      <c r="O282">
        <v>0</v>
      </c>
      <c r="P282">
        <v>1252.75</v>
      </c>
      <c r="Q282">
        <v>1252.75</v>
      </c>
      <c r="R282" t="s">
        <v>574</v>
      </c>
      <c r="S282">
        <v>0</v>
      </c>
      <c r="T282" t="s">
        <v>52</v>
      </c>
      <c r="U282">
        <v>0</v>
      </c>
      <c r="V282">
        <v>0</v>
      </c>
      <c r="W282">
        <v>400013</v>
      </c>
      <c r="AE282">
        <v>0</v>
      </c>
      <c r="AH282">
        <v>1353</v>
      </c>
      <c r="AP282" t="s">
        <v>232</v>
      </c>
    </row>
    <row r="283" spans="1:42">
      <c r="A283" s="1" t="s">
        <v>46</v>
      </c>
      <c r="B283" s="1" t="s">
        <v>678</v>
      </c>
      <c r="C283" s="1" t="s">
        <v>678</v>
      </c>
      <c r="E283" s="4" t="s">
        <v>679</v>
      </c>
      <c r="G283" s="16"/>
      <c r="M283">
        <v>1</v>
      </c>
      <c r="N283">
        <v>-21</v>
      </c>
      <c r="O283">
        <v>0</v>
      </c>
      <c r="P283">
        <v>1</v>
      </c>
      <c r="Q283">
        <v>-21</v>
      </c>
      <c r="R283">
        <v>0</v>
      </c>
      <c r="S283">
        <v>0</v>
      </c>
      <c r="T283" t="s">
        <v>52</v>
      </c>
      <c r="W283">
        <v>400066</v>
      </c>
      <c r="AE283">
        <v>0</v>
      </c>
      <c r="AP283" t="s">
        <v>680</v>
      </c>
    </row>
    <row r="284" spans="1:42">
      <c r="A284" s="1" t="s">
        <v>46</v>
      </c>
      <c r="B284" s="1" t="s">
        <v>681</v>
      </c>
      <c r="C284" s="1" t="s">
        <v>681</v>
      </c>
      <c r="E284" s="4" t="s">
        <v>682</v>
      </c>
      <c r="G284" s="16"/>
      <c r="M284">
        <v>1</v>
      </c>
      <c r="N284">
        <v>-208</v>
      </c>
      <c r="O284">
        <v>0</v>
      </c>
      <c r="P284">
        <v>2.5</v>
      </c>
      <c r="Q284">
        <v>-520</v>
      </c>
      <c r="R284" t="s">
        <v>579</v>
      </c>
      <c r="S284">
        <v>0</v>
      </c>
      <c r="T284" t="s">
        <v>52</v>
      </c>
      <c r="U284">
        <v>0</v>
      </c>
      <c r="V284">
        <v>0</v>
      </c>
      <c r="W284">
        <v>400194</v>
      </c>
      <c r="AE284">
        <v>0</v>
      </c>
      <c r="AP284" t="s">
        <v>173</v>
      </c>
    </row>
    <row r="285" spans="1:42">
      <c r="A285" s="1" t="s">
        <v>46</v>
      </c>
      <c r="B285" s="1" t="s">
        <v>683</v>
      </c>
      <c r="C285" s="1" t="s">
        <v>683</v>
      </c>
      <c r="E285" s="4" t="s">
        <v>684</v>
      </c>
      <c r="G285" s="16"/>
      <c r="M285">
        <v>1</v>
      </c>
      <c r="N285">
        <v>48</v>
      </c>
      <c r="O285">
        <v>0</v>
      </c>
      <c r="P285">
        <v>5.36</v>
      </c>
      <c r="Q285">
        <v>257.13</v>
      </c>
      <c r="R285" t="s">
        <v>579</v>
      </c>
      <c r="S285">
        <v>0</v>
      </c>
      <c r="T285">
        <v>0</v>
      </c>
      <c r="U285">
        <v>0</v>
      </c>
      <c r="V285">
        <v>0</v>
      </c>
      <c r="W285">
        <v>400013</v>
      </c>
      <c r="X285" t="s">
        <v>56</v>
      </c>
      <c r="Y285" t="s">
        <v>57</v>
      </c>
      <c r="AE285">
        <v>0</v>
      </c>
      <c r="AP285" t="s">
        <v>232</v>
      </c>
    </row>
    <row r="286" spans="1:42">
      <c r="A286" s="1" t="s">
        <v>46</v>
      </c>
      <c r="B286" s="1" t="s">
        <v>685</v>
      </c>
      <c r="C286" s="1" t="s">
        <v>685</v>
      </c>
      <c r="E286" s="4" t="s">
        <v>686</v>
      </c>
      <c r="G286" s="16"/>
      <c r="M286">
        <v>1</v>
      </c>
      <c r="N286">
        <v>-4</v>
      </c>
      <c r="O286">
        <v>0</v>
      </c>
      <c r="R286" t="s">
        <v>172</v>
      </c>
      <c r="T286" t="s">
        <v>52</v>
      </c>
      <c r="AE286">
        <v>0</v>
      </c>
    </row>
    <row r="287" spans="1:42">
      <c r="A287" s="1" t="s">
        <v>46</v>
      </c>
      <c r="B287" s="1" t="s">
        <v>687</v>
      </c>
      <c r="C287" s="1" t="s">
        <v>687</v>
      </c>
      <c r="E287" s="4" t="s">
        <v>688</v>
      </c>
      <c r="G287" s="16"/>
      <c r="M287">
        <v>1</v>
      </c>
      <c r="N287">
        <v>150</v>
      </c>
      <c r="O287">
        <v>0</v>
      </c>
      <c r="P287">
        <v>5</v>
      </c>
      <c r="Q287">
        <v>750</v>
      </c>
      <c r="R287" t="s">
        <v>579</v>
      </c>
      <c r="S287">
        <v>0</v>
      </c>
      <c r="T287" t="s">
        <v>52</v>
      </c>
      <c r="U287">
        <v>0</v>
      </c>
      <c r="V287">
        <v>0</v>
      </c>
      <c r="W287">
        <v>400214</v>
      </c>
      <c r="X287" t="s">
        <v>56</v>
      </c>
      <c r="Y287" t="s">
        <v>57</v>
      </c>
      <c r="AE287">
        <v>0</v>
      </c>
      <c r="AP287" t="s">
        <v>689</v>
      </c>
    </row>
    <row r="288" spans="1:42">
      <c r="A288" s="1" t="s">
        <v>46</v>
      </c>
      <c r="B288" s="1" t="s">
        <v>690</v>
      </c>
      <c r="C288" s="1" t="s">
        <v>690</v>
      </c>
      <c r="E288" s="4" t="s">
        <v>691</v>
      </c>
      <c r="G288" s="16"/>
      <c r="M288">
        <v>1</v>
      </c>
      <c r="N288">
        <v>-4</v>
      </c>
      <c r="O288">
        <v>0</v>
      </c>
      <c r="P288">
        <v>12.52</v>
      </c>
      <c r="Q288">
        <v>-50.1</v>
      </c>
      <c r="R288" t="s">
        <v>172</v>
      </c>
      <c r="S288">
        <v>0</v>
      </c>
      <c r="T288" t="s">
        <v>52</v>
      </c>
      <c r="W288">
        <v>400013</v>
      </c>
      <c r="AE288">
        <v>0</v>
      </c>
      <c r="AP288" t="s">
        <v>232</v>
      </c>
    </row>
    <row r="289" spans="1:42">
      <c r="A289" s="1" t="s">
        <v>46</v>
      </c>
      <c r="B289" s="1" t="s">
        <v>692</v>
      </c>
      <c r="C289" s="1" t="s">
        <v>692</v>
      </c>
      <c r="E289" s="4" t="s">
        <v>693</v>
      </c>
      <c r="G289" s="16"/>
      <c r="M289">
        <v>1</v>
      </c>
      <c r="N289">
        <v>-26</v>
      </c>
      <c r="O289">
        <v>0</v>
      </c>
      <c r="P289">
        <v>0.1</v>
      </c>
      <c r="Q289">
        <v>-2.6</v>
      </c>
      <c r="R289">
        <v>0</v>
      </c>
      <c r="S289">
        <v>0</v>
      </c>
      <c r="T289">
        <v>0</v>
      </c>
      <c r="W289">
        <v>400130</v>
      </c>
      <c r="AE289">
        <v>0</v>
      </c>
      <c r="AP289" t="s">
        <v>139</v>
      </c>
    </row>
    <row r="290" spans="1:42">
      <c r="A290" s="1" t="s">
        <v>46</v>
      </c>
      <c r="B290" s="1" t="s">
        <v>694</v>
      </c>
      <c r="C290" s="1" t="s">
        <v>694</v>
      </c>
      <c r="E290" s="4" t="s">
        <v>695</v>
      </c>
      <c r="G290" s="16"/>
      <c r="M290">
        <v>1</v>
      </c>
      <c r="N290">
        <v>222</v>
      </c>
      <c r="O290">
        <v>0</v>
      </c>
      <c r="P290">
        <v>7</v>
      </c>
      <c r="Q290">
        <v>1554</v>
      </c>
      <c r="R290" t="s">
        <v>556</v>
      </c>
      <c r="S290">
        <v>0</v>
      </c>
      <c r="T290" t="s">
        <v>52</v>
      </c>
      <c r="U290">
        <v>0</v>
      </c>
      <c r="V290">
        <v>0</v>
      </c>
      <c r="W290">
        <v>400080</v>
      </c>
      <c r="X290" t="s">
        <v>56</v>
      </c>
      <c r="Y290" t="s">
        <v>57</v>
      </c>
      <c r="AE290">
        <v>0</v>
      </c>
      <c r="AP290" t="s">
        <v>696</v>
      </c>
    </row>
    <row r="291" spans="1:42">
      <c r="A291" s="1" t="s">
        <v>46</v>
      </c>
      <c r="B291" s="1" t="s">
        <v>697</v>
      </c>
      <c r="C291" s="1" t="s">
        <v>697</v>
      </c>
      <c r="E291" s="4" t="s">
        <v>698</v>
      </c>
      <c r="G291" s="16"/>
      <c r="M291">
        <v>1</v>
      </c>
      <c r="N291">
        <v>-1</v>
      </c>
      <c r="O291">
        <v>0</v>
      </c>
      <c r="P291">
        <v>5.58</v>
      </c>
      <c r="Q291">
        <v>-5.58</v>
      </c>
      <c r="R291" t="s">
        <v>556</v>
      </c>
      <c r="S291">
        <v>0</v>
      </c>
      <c r="T291" t="s">
        <v>52</v>
      </c>
      <c r="W291">
        <v>400144</v>
      </c>
      <c r="AE291">
        <v>0</v>
      </c>
      <c r="AP291" t="s">
        <v>699</v>
      </c>
    </row>
    <row r="292" spans="1:42">
      <c r="A292" s="1" t="s">
        <v>46</v>
      </c>
      <c r="B292" s="1" t="s">
        <v>700</v>
      </c>
      <c r="C292" s="1" t="s">
        <v>700</v>
      </c>
      <c r="E292" s="4" t="s">
        <v>701</v>
      </c>
      <c r="G292" s="16"/>
      <c r="M292">
        <v>1</v>
      </c>
      <c r="N292">
        <v>-1</v>
      </c>
      <c r="O292">
        <v>0</v>
      </c>
      <c r="W292">
        <v>400112</v>
      </c>
      <c r="AE292">
        <v>0</v>
      </c>
      <c r="AP292" t="s">
        <v>220</v>
      </c>
    </row>
    <row r="293" spans="1:42">
      <c r="A293" s="1" t="s">
        <v>46</v>
      </c>
      <c r="B293" s="1" t="s">
        <v>702</v>
      </c>
      <c r="C293" s="1" t="s">
        <v>702</v>
      </c>
      <c r="E293" s="4" t="s">
        <v>703</v>
      </c>
      <c r="G293" s="16">
        <v>1.5</v>
      </c>
      <c r="M293">
        <v>1</v>
      </c>
      <c r="N293">
        <v>24</v>
      </c>
      <c r="O293">
        <v>0</v>
      </c>
      <c r="P293">
        <v>11</v>
      </c>
      <c r="Q293">
        <v>264</v>
      </c>
      <c r="R293">
        <v>0</v>
      </c>
      <c r="S293">
        <v>0</v>
      </c>
      <c r="T293" t="s">
        <v>52</v>
      </c>
      <c r="W293">
        <v>400195</v>
      </c>
      <c r="AE293">
        <v>0</v>
      </c>
      <c r="AP293" t="s">
        <v>380</v>
      </c>
    </row>
    <row r="294" spans="1:42">
      <c r="A294" s="1" t="s">
        <v>46</v>
      </c>
      <c r="B294" s="1" t="s">
        <v>704</v>
      </c>
      <c r="C294" s="1" t="s">
        <v>704</v>
      </c>
      <c r="E294" s="4" t="s">
        <v>705</v>
      </c>
      <c r="G294" s="16"/>
      <c r="M294">
        <v>1</v>
      </c>
      <c r="N294">
        <v>1544</v>
      </c>
      <c r="O294">
        <v>0</v>
      </c>
      <c r="P294">
        <v>3.5</v>
      </c>
      <c r="Q294">
        <v>5404</v>
      </c>
      <c r="R294">
        <v>0</v>
      </c>
      <c r="S294">
        <v>0</v>
      </c>
      <c r="T294" t="s">
        <v>52</v>
      </c>
      <c r="U294">
        <v>0</v>
      </c>
      <c r="V294">
        <v>0</v>
      </c>
      <c r="W294">
        <v>400080</v>
      </c>
      <c r="X294" t="s">
        <v>56</v>
      </c>
      <c r="Y294" t="s">
        <v>57</v>
      </c>
      <c r="AE294">
        <v>0</v>
      </c>
      <c r="AP294" t="s">
        <v>696</v>
      </c>
    </row>
    <row r="295" spans="1:42">
      <c r="A295" s="1" t="s">
        <v>46</v>
      </c>
      <c r="B295" s="1" t="s">
        <v>706</v>
      </c>
      <c r="C295" s="1" t="s">
        <v>706</v>
      </c>
      <c r="E295" s="4" t="s">
        <v>707</v>
      </c>
      <c r="G295" s="16">
        <v>0.7</v>
      </c>
      <c r="M295">
        <v>1</v>
      </c>
      <c r="N295">
        <v>-1</v>
      </c>
      <c r="O295">
        <v>0</v>
      </c>
      <c r="P295">
        <v>58.5</v>
      </c>
      <c r="Q295">
        <v>-58.5</v>
      </c>
      <c r="R295" t="s">
        <v>556</v>
      </c>
      <c r="S295">
        <v>0</v>
      </c>
      <c r="T295" t="s">
        <v>209</v>
      </c>
      <c r="W295">
        <v>400144</v>
      </c>
      <c r="AE295">
        <v>0</v>
      </c>
      <c r="AP295" t="s">
        <v>699</v>
      </c>
    </row>
    <row r="296" spans="1:42">
      <c r="A296" s="1" t="s">
        <v>46</v>
      </c>
      <c r="B296" s="1" t="s">
        <v>708</v>
      </c>
      <c r="C296" s="1" t="s">
        <v>708</v>
      </c>
      <c r="E296" s="4" t="s">
        <v>709</v>
      </c>
      <c r="G296" s="16"/>
      <c r="M296">
        <v>1</v>
      </c>
      <c r="N296">
        <v>-1</v>
      </c>
      <c r="O296">
        <v>0</v>
      </c>
      <c r="P296">
        <v>8.5500000000000007</v>
      </c>
      <c r="Q296">
        <v>-8.5500000000000007</v>
      </c>
      <c r="R296" t="s">
        <v>556</v>
      </c>
      <c r="S296">
        <v>0</v>
      </c>
      <c r="T296" t="s">
        <v>52</v>
      </c>
      <c r="U296">
        <v>0</v>
      </c>
      <c r="V296">
        <v>0</v>
      </c>
      <c r="W296">
        <v>400013</v>
      </c>
      <c r="AE296">
        <v>0</v>
      </c>
      <c r="AP296" t="s">
        <v>232</v>
      </c>
    </row>
    <row r="297" spans="1:42">
      <c r="A297" s="1" t="s">
        <v>46</v>
      </c>
      <c r="B297" s="1" t="s">
        <v>710</v>
      </c>
      <c r="C297" s="1" t="s">
        <v>710</v>
      </c>
      <c r="E297" s="4" t="s">
        <v>711</v>
      </c>
      <c r="G297" s="16"/>
      <c r="I297">
        <v>5.5</v>
      </c>
      <c r="M297">
        <v>1</v>
      </c>
      <c r="N297">
        <v>-41</v>
      </c>
      <c r="O297">
        <v>0</v>
      </c>
      <c r="P297">
        <v>4.24</v>
      </c>
      <c r="Q297">
        <v>-174.03</v>
      </c>
      <c r="R297" t="s">
        <v>579</v>
      </c>
      <c r="S297">
        <v>0</v>
      </c>
      <c r="T297" t="s">
        <v>52</v>
      </c>
      <c r="U297">
        <v>0</v>
      </c>
      <c r="V297">
        <v>0</v>
      </c>
      <c r="W297">
        <v>400013</v>
      </c>
      <c r="AE297">
        <v>0</v>
      </c>
      <c r="AH297">
        <v>5.5</v>
      </c>
      <c r="AP297" t="s">
        <v>232</v>
      </c>
    </row>
    <row r="298" spans="1:42">
      <c r="A298" s="1" t="s">
        <v>46</v>
      </c>
      <c r="B298" s="1" t="s">
        <v>712</v>
      </c>
      <c r="C298" s="1" t="s">
        <v>712</v>
      </c>
      <c r="E298" s="4" t="s">
        <v>713</v>
      </c>
      <c r="G298" s="16"/>
      <c r="M298">
        <v>1</v>
      </c>
      <c r="N298">
        <v>337</v>
      </c>
      <c r="O298">
        <v>0</v>
      </c>
      <c r="P298">
        <v>1</v>
      </c>
      <c r="Q298">
        <v>337</v>
      </c>
      <c r="R298">
        <v>0</v>
      </c>
      <c r="S298">
        <v>0</v>
      </c>
      <c r="T298" t="s">
        <v>52</v>
      </c>
      <c r="W298">
        <v>410120</v>
      </c>
      <c r="AE298">
        <v>0</v>
      </c>
      <c r="AP298" t="s">
        <v>112</v>
      </c>
    </row>
    <row r="299" spans="1:42">
      <c r="A299" s="1" t="s">
        <v>46</v>
      </c>
      <c r="B299" s="1" t="s">
        <v>714</v>
      </c>
      <c r="C299" s="1" t="s">
        <v>714</v>
      </c>
      <c r="E299" s="4" t="s">
        <v>715</v>
      </c>
      <c r="G299" s="16"/>
      <c r="I299">
        <v>5</v>
      </c>
      <c r="M299">
        <v>1</v>
      </c>
      <c r="N299">
        <v>18</v>
      </c>
      <c r="O299">
        <v>0</v>
      </c>
      <c r="P299">
        <v>5.25</v>
      </c>
      <c r="Q299">
        <v>94.52</v>
      </c>
      <c r="R299" t="s">
        <v>579</v>
      </c>
      <c r="S299">
        <v>0</v>
      </c>
      <c r="T299" t="s">
        <v>52</v>
      </c>
      <c r="U299">
        <v>0</v>
      </c>
      <c r="V299">
        <v>0</v>
      </c>
      <c r="W299">
        <v>400013</v>
      </c>
      <c r="X299" t="s">
        <v>56</v>
      </c>
      <c r="Y299" t="s">
        <v>57</v>
      </c>
      <c r="AE299">
        <v>0</v>
      </c>
      <c r="AH299">
        <v>5</v>
      </c>
      <c r="AP299" t="s">
        <v>232</v>
      </c>
    </row>
    <row r="300" spans="1:42">
      <c r="A300" s="1" t="s">
        <v>46</v>
      </c>
      <c r="B300" s="1" t="s">
        <v>716</v>
      </c>
      <c r="C300" s="1" t="s">
        <v>716</v>
      </c>
      <c r="E300" s="4" t="s">
        <v>717</v>
      </c>
      <c r="G300" s="16"/>
      <c r="M300">
        <v>1</v>
      </c>
      <c r="N300">
        <v>771</v>
      </c>
      <c r="O300">
        <v>0</v>
      </c>
      <c r="P300">
        <v>1</v>
      </c>
      <c r="Q300">
        <v>771</v>
      </c>
      <c r="R300">
        <v>0</v>
      </c>
      <c r="S300">
        <v>0</v>
      </c>
      <c r="T300" t="s">
        <v>52</v>
      </c>
      <c r="U300">
        <v>0</v>
      </c>
      <c r="V300">
        <v>0</v>
      </c>
      <c r="W300">
        <v>400119</v>
      </c>
      <c r="AE300">
        <v>0</v>
      </c>
      <c r="AP300" t="s">
        <v>53</v>
      </c>
    </row>
    <row r="301" spans="1:42">
      <c r="A301" s="1" t="s">
        <v>46</v>
      </c>
      <c r="B301" s="1" t="s">
        <v>718</v>
      </c>
      <c r="C301" s="1" t="s">
        <v>718</v>
      </c>
      <c r="E301" s="4" t="s">
        <v>719</v>
      </c>
      <c r="G301" s="16">
        <v>1</v>
      </c>
      <c r="I301">
        <v>8000</v>
      </c>
      <c r="M301">
        <v>1</v>
      </c>
      <c r="N301">
        <v>-18</v>
      </c>
      <c r="O301">
        <v>0</v>
      </c>
      <c r="P301">
        <v>3.14</v>
      </c>
      <c r="Q301">
        <v>-56.52</v>
      </c>
      <c r="R301">
        <v>0</v>
      </c>
      <c r="S301">
        <v>0</v>
      </c>
      <c r="T301" t="s">
        <v>52</v>
      </c>
      <c r="W301">
        <v>400036</v>
      </c>
      <c r="AE301">
        <v>0</v>
      </c>
      <c r="AH301">
        <v>8000</v>
      </c>
      <c r="AP301" t="s">
        <v>315</v>
      </c>
    </row>
    <row r="302" spans="1:42">
      <c r="A302" s="1" t="s">
        <v>46</v>
      </c>
      <c r="B302" s="1" t="s">
        <v>720</v>
      </c>
      <c r="C302" s="1" t="s">
        <v>720</v>
      </c>
      <c r="E302" s="4" t="s">
        <v>721</v>
      </c>
      <c r="G302" s="16"/>
      <c r="M302">
        <v>1</v>
      </c>
      <c r="N302">
        <v>188</v>
      </c>
      <c r="O302">
        <v>0</v>
      </c>
      <c r="P302">
        <v>5.5</v>
      </c>
      <c r="Q302">
        <v>1034</v>
      </c>
      <c r="R302" t="s">
        <v>556</v>
      </c>
      <c r="S302">
        <v>0</v>
      </c>
      <c r="T302" t="s">
        <v>52</v>
      </c>
      <c r="U302">
        <v>0</v>
      </c>
      <c r="V302">
        <v>0</v>
      </c>
      <c r="W302">
        <v>400013</v>
      </c>
      <c r="X302" t="s">
        <v>56</v>
      </c>
      <c r="Y302" t="s">
        <v>57</v>
      </c>
      <c r="AE302">
        <v>0</v>
      </c>
      <c r="AP302" t="s">
        <v>232</v>
      </c>
    </row>
    <row r="303" spans="1:42">
      <c r="A303" s="1" t="s">
        <v>46</v>
      </c>
      <c r="B303" s="1" t="s">
        <v>722</v>
      </c>
      <c r="C303" s="1" t="s">
        <v>722</v>
      </c>
      <c r="E303" s="4" t="s">
        <v>723</v>
      </c>
      <c r="G303" s="16"/>
      <c r="M303">
        <v>1</v>
      </c>
      <c r="N303">
        <v>2</v>
      </c>
      <c r="O303">
        <v>0</v>
      </c>
      <c r="P303">
        <v>5.83</v>
      </c>
      <c r="Q303">
        <v>11.65</v>
      </c>
      <c r="R303" t="s">
        <v>556</v>
      </c>
      <c r="S303">
        <v>0</v>
      </c>
      <c r="T303" t="s">
        <v>52</v>
      </c>
      <c r="U303">
        <v>0</v>
      </c>
      <c r="V303">
        <v>0</v>
      </c>
      <c r="W303">
        <v>400013</v>
      </c>
      <c r="AE303">
        <v>0</v>
      </c>
      <c r="AP303" t="s">
        <v>232</v>
      </c>
    </row>
    <row r="304" spans="1:42">
      <c r="A304" s="1" t="s">
        <v>46</v>
      </c>
      <c r="B304" s="1" t="s">
        <v>724</v>
      </c>
      <c r="C304" s="1" t="s">
        <v>724</v>
      </c>
      <c r="E304" s="4" t="s">
        <v>725</v>
      </c>
      <c r="G304" s="16">
        <v>1.5</v>
      </c>
      <c r="M304">
        <v>1</v>
      </c>
      <c r="N304">
        <v>-87</v>
      </c>
      <c r="O304">
        <v>0</v>
      </c>
      <c r="AE304">
        <v>0</v>
      </c>
    </row>
    <row r="305" spans="1:42">
      <c r="A305" s="1" t="s">
        <v>46</v>
      </c>
      <c r="B305" s="1" t="s">
        <v>726</v>
      </c>
      <c r="C305" s="1" t="s">
        <v>726</v>
      </c>
      <c r="E305" s="4" t="s">
        <v>727</v>
      </c>
      <c r="G305" s="16">
        <v>2</v>
      </c>
      <c r="M305">
        <v>1</v>
      </c>
      <c r="N305">
        <v>2102</v>
      </c>
      <c r="O305">
        <v>0</v>
      </c>
      <c r="P305">
        <v>7</v>
      </c>
      <c r="Q305">
        <v>14714</v>
      </c>
      <c r="R305">
        <v>0</v>
      </c>
      <c r="S305">
        <v>0</v>
      </c>
      <c r="T305" t="s">
        <v>52</v>
      </c>
      <c r="U305">
        <v>0</v>
      </c>
      <c r="V305">
        <v>0</v>
      </c>
      <c r="W305">
        <v>400080</v>
      </c>
      <c r="X305" t="s">
        <v>56</v>
      </c>
      <c r="Y305" t="s">
        <v>57</v>
      </c>
      <c r="AE305">
        <v>0</v>
      </c>
      <c r="AP305" t="s">
        <v>696</v>
      </c>
    </row>
    <row r="306" spans="1:42">
      <c r="A306" s="1" t="s">
        <v>46</v>
      </c>
      <c r="B306" s="1" t="s">
        <v>728</v>
      </c>
      <c r="C306" s="1" t="s">
        <v>728</v>
      </c>
      <c r="E306" s="4" t="s">
        <v>729</v>
      </c>
      <c r="G306" s="16">
        <v>2.75</v>
      </c>
      <c r="M306">
        <v>1</v>
      </c>
      <c r="N306">
        <v>9</v>
      </c>
      <c r="O306">
        <v>0</v>
      </c>
      <c r="P306">
        <v>0.7</v>
      </c>
      <c r="Q306">
        <v>6.3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400158</v>
      </c>
      <c r="X306" t="s">
        <v>56</v>
      </c>
      <c r="Y306" t="s">
        <v>57</v>
      </c>
      <c r="AE306">
        <v>0</v>
      </c>
      <c r="AP306" t="s">
        <v>61</v>
      </c>
    </row>
    <row r="307" spans="1:42">
      <c r="A307" s="1" t="s">
        <v>46</v>
      </c>
      <c r="B307" s="1" t="s">
        <v>730</v>
      </c>
      <c r="C307" s="1" t="s">
        <v>730</v>
      </c>
      <c r="E307" s="4" t="s">
        <v>731</v>
      </c>
      <c r="G307" s="16"/>
      <c r="M307">
        <v>1</v>
      </c>
      <c r="N307">
        <v>-23</v>
      </c>
      <c r="O307">
        <v>0</v>
      </c>
      <c r="P307">
        <v>1.33</v>
      </c>
      <c r="Q307">
        <v>-30.64</v>
      </c>
      <c r="R307" t="s">
        <v>579</v>
      </c>
      <c r="S307">
        <v>0</v>
      </c>
      <c r="T307" t="s">
        <v>52</v>
      </c>
      <c r="U307">
        <v>0</v>
      </c>
      <c r="V307">
        <v>0</v>
      </c>
      <c r="W307">
        <v>400136</v>
      </c>
      <c r="AE307">
        <v>0</v>
      </c>
      <c r="AP307" t="s">
        <v>732</v>
      </c>
    </row>
    <row r="308" spans="1:42">
      <c r="A308" s="1" t="s">
        <v>46</v>
      </c>
      <c r="B308" s="1" t="s">
        <v>733</v>
      </c>
      <c r="C308" s="1" t="s">
        <v>733</v>
      </c>
      <c r="E308" s="4" t="s">
        <v>734</v>
      </c>
      <c r="G308" s="16"/>
      <c r="M308">
        <v>1</v>
      </c>
      <c r="N308">
        <v>243</v>
      </c>
      <c r="O308">
        <v>0</v>
      </c>
      <c r="P308">
        <v>0.35</v>
      </c>
      <c r="Q308">
        <v>85.05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400158</v>
      </c>
      <c r="X308" t="s">
        <v>56</v>
      </c>
      <c r="Y308" t="s">
        <v>57</v>
      </c>
      <c r="AE308">
        <v>0</v>
      </c>
      <c r="AP308" t="s">
        <v>61</v>
      </c>
    </row>
    <row r="309" spans="1:42">
      <c r="A309" s="1" t="s">
        <v>46</v>
      </c>
      <c r="B309" s="1" t="s">
        <v>735</v>
      </c>
      <c r="C309" s="1" t="s">
        <v>735</v>
      </c>
      <c r="E309" s="4" t="s">
        <v>736</v>
      </c>
      <c r="G309" s="16"/>
      <c r="M309">
        <v>1</v>
      </c>
      <c r="N309">
        <v>21</v>
      </c>
      <c r="O309">
        <v>0</v>
      </c>
      <c r="P309">
        <v>2.84</v>
      </c>
      <c r="Q309">
        <v>59.7</v>
      </c>
      <c r="W309">
        <v>400194</v>
      </c>
      <c r="AE309">
        <v>0</v>
      </c>
      <c r="AP309" t="s">
        <v>173</v>
      </c>
    </row>
    <row r="310" spans="1:42">
      <c r="A310" s="1" t="s">
        <v>46</v>
      </c>
      <c r="B310" s="1" t="s">
        <v>737</v>
      </c>
      <c r="C310" s="1" t="s">
        <v>737</v>
      </c>
      <c r="E310" s="4" t="s">
        <v>738</v>
      </c>
      <c r="G310" s="16"/>
      <c r="M310">
        <v>1</v>
      </c>
      <c r="N310">
        <v>1</v>
      </c>
      <c r="O310">
        <v>0</v>
      </c>
      <c r="P310">
        <v>3.42</v>
      </c>
      <c r="Q310">
        <v>3.42</v>
      </c>
      <c r="R310" t="s">
        <v>556</v>
      </c>
      <c r="S310">
        <v>0</v>
      </c>
      <c r="T310" t="s">
        <v>52</v>
      </c>
      <c r="U310">
        <v>0</v>
      </c>
      <c r="V310">
        <v>0</v>
      </c>
      <c r="W310">
        <v>400013</v>
      </c>
      <c r="AE310">
        <v>0</v>
      </c>
      <c r="AP310" t="s">
        <v>232</v>
      </c>
    </row>
    <row r="311" spans="1:42">
      <c r="A311" s="1" t="s">
        <v>46</v>
      </c>
      <c r="B311" s="1" t="s">
        <v>739</v>
      </c>
      <c r="C311" s="1" t="s">
        <v>739</v>
      </c>
      <c r="E311" s="4" t="s">
        <v>740</v>
      </c>
      <c r="G311" s="16"/>
      <c r="I311">
        <v>10.5</v>
      </c>
      <c r="M311">
        <v>1</v>
      </c>
      <c r="N311">
        <v>-4</v>
      </c>
      <c r="O311">
        <v>0</v>
      </c>
      <c r="P311">
        <v>6.65</v>
      </c>
      <c r="Q311">
        <v>-26.61</v>
      </c>
      <c r="R311" t="s">
        <v>579</v>
      </c>
      <c r="S311">
        <v>0</v>
      </c>
      <c r="T311" t="s">
        <v>52</v>
      </c>
      <c r="U311">
        <v>0</v>
      </c>
      <c r="V311">
        <v>0</v>
      </c>
      <c r="W311">
        <v>400013</v>
      </c>
      <c r="X311" t="s">
        <v>56</v>
      </c>
      <c r="Y311" t="s">
        <v>57</v>
      </c>
      <c r="AE311">
        <v>0</v>
      </c>
      <c r="AH311">
        <v>10.5</v>
      </c>
      <c r="AP311" t="s">
        <v>232</v>
      </c>
    </row>
    <row r="312" spans="1:42">
      <c r="A312" s="1" t="s">
        <v>46</v>
      </c>
      <c r="B312" s="1" t="s">
        <v>741</v>
      </c>
      <c r="C312" s="1" t="s">
        <v>741</v>
      </c>
      <c r="E312" s="4" t="s">
        <v>742</v>
      </c>
      <c r="G312" s="16"/>
      <c r="M312">
        <v>1</v>
      </c>
      <c r="N312">
        <v>-156</v>
      </c>
      <c r="O312">
        <v>0</v>
      </c>
      <c r="P312">
        <v>2.38</v>
      </c>
      <c r="Q312">
        <v>-371.09</v>
      </c>
      <c r="R312" t="s">
        <v>556</v>
      </c>
      <c r="S312">
        <v>0</v>
      </c>
      <c r="T312" t="s">
        <v>52</v>
      </c>
      <c r="U312">
        <v>0</v>
      </c>
      <c r="V312">
        <v>0</v>
      </c>
      <c r="W312">
        <v>400013</v>
      </c>
      <c r="X312" t="s">
        <v>56</v>
      </c>
      <c r="Y312" t="s">
        <v>57</v>
      </c>
      <c r="AE312">
        <v>0</v>
      </c>
      <c r="AP312" t="s">
        <v>232</v>
      </c>
    </row>
    <row r="313" spans="1:42">
      <c r="A313" s="1" t="s">
        <v>46</v>
      </c>
      <c r="B313" s="1" t="s">
        <v>743</v>
      </c>
      <c r="C313" s="1" t="s">
        <v>743</v>
      </c>
      <c r="E313" s="4" t="s">
        <v>744</v>
      </c>
      <c r="G313" s="16"/>
      <c r="I313">
        <v>7</v>
      </c>
      <c r="M313">
        <v>1</v>
      </c>
      <c r="N313">
        <v>460</v>
      </c>
      <c r="O313">
        <v>0</v>
      </c>
      <c r="P313">
        <v>1.1200000000000001</v>
      </c>
      <c r="Q313">
        <v>516.98</v>
      </c>
      <c r="R313" t="s">
        <v>579</v>
      </c>
      <c r="S313">
        <v>0</v>
      </c>
      <c r="T313" t="s">
        <v>52</v>
      </c>
      <c r="U313">
        <v>0</v>
      </c>
      <c r="V313">
        <v>0</v>
      </c>
      <c r="W313">
        <v>400013</v>
      </c>
      <c r="X313" t="s">
        <v>56</v>
      </c>
      <c r="Y313" t="s">
        <v>57</v>
      </c>
      <c r="AE313">
        <v>0</v>
      </c>
      <c r="AH313">
        <v>7</v>
      </c>
      <c r="AP313" t="s">
        <v>232</v>
      </c>
    </row>
    <row r="314" spans="1:42">
      <c r="A314" s="1" t="s">
        <v>46</v>
      </c>
      <c r="B314" s="1" t="s">
        <v>745</v>
      </c>
      <c r="C314" s="1" t="s">
        <v>745</v>
      </c>
      <c r="E314" s="4" t="s">
        <v>746</v>
      </c>
      <c r="G314" s="16"/>
      <c r="M314">
        <v>1</v>
      </c>
      <c r="N314">
        <v>6</v>
      </c>
      <c r="O314">
        <v>0</v>
      </c>
      <c r="P314">
        <v>7.99</v>
      </c>
      <c r="Q314">
        <v>47.94</v>
      </c>
      <c r="R314" t="s">
        <v>579</v>
      </c>
      <c r="S314">
        <v>0</v>
      </c>
      <c r="T314" t="s">
        <v>52</v>
      </c>
      <c r="W314">
        <v>400013</v>
      </c>
      <c r="AE314">
        <v>0</v>
      </c>
      <c r="AP314" t="s">
        <v>232</v>
      </c>
    </row>
    <row r="315" spans="1:42">
      <c r="A315" s="1" t="s">
        <v>46</v>
      </c>
      <c r="B315" s="1" t="s">
        <v>747</v>
      </c>
      <c r="C315" s="1" t="s">
        <v>747</v>
      </c>
      <c r="E315" s="4" t="s">
        <v>748</v>
      </c>
      <c r="G315" s="16"/>
      <c r="M315">
        <v>1</v>
      </c>
      <c r="N315">
        <v>1</v>
      </c>
      <c r="O315">
        <v>0</v>
      </c>
      <c r="P315">
        <v>3.36</v>
      </c>
      <c r="Q315">
        <v>3.36</v>
      </c>
      <c r="R315" t="s">
        <v>556</v>
      </c>
      <c r="S315">
        <v>0</v>
      </c>
      <c r="T315" t="s">
        <v>52</v>
      </c>
      <c r="W315">
        <v>400013</v>
      </c>
      <c r="AE315">
        <v>0</v>
      </c>
      <c r="AP315" t="s">
        <v>232</v>
      </c>
    </row>
    <row r="316" spans="1:42">
      <c r="A316" s="1" t="s">
        <v>46</v>
      </c>
      <c r="B316" s="1" t="s">
        <v>749</v>
      </c>
      <c r="C316" s="1" t="s">
        <v>749</v>
      </c>
      <c r="E316" s="4" t="s">
        <v>750</v>
      </c>
      <c r="G316" s="16">
        <v>2</v>
      </c>
      <c r="M316">
        <v>1</v>
      </c>
      <c r="N316">
        <v>1</v>
      </c>
      <c r="O316">
        <v>0</v>
      </c>
      <c r="P316">
        <v>175</v>
      </c>
      <c r="Q316">
        <v>175</v>
      </c>
      <c r="W316">
        <v>400028</v>
      </c>
      <c r="AE316">
        <v>0</v>
      </c>
      <c r="AP316" t="s">
        <v>246</v>
      </c>
    </row>
    <row r="317" spans="1:42">
      <c r="A317" s="1" t="s">
        <v>46</v>
      </c>
      <c r="B317" s="1" t="s">
        <v>751</v>
      </c>
      <c r="C317" s="1" t="s">
        <v>751</v>
      </c>
      <c r="E317" s="4" t="s">
        <v>752</v>
      </c>
      <c r="G317" s="16">
        <v>2.75</v>
      </c>
      <c r="M317">
        <v>1</v>
      </c>
      <c r="N317">
        <v>1</v>
      </c>
      <c r="O317">
        <v>0</v>
      </c>
      <c r="P317">
        <v>135</v>
      </c>
      <c r="Q317">
        <v>135</v>
      </c>
      <c r="R317">
        <v>0</v>
      </c>
      <c r="S317">
        <v>0</v>
      </c>
      <c r="T317" t="s">
        <v>52</v>
      </c>
      <c r="W317">
        <v>400111</v>
      </c>
      <c r="AE317">
        <v>0</v>
      </c>
      <c r="AP317" t="s">
        <v>646</v>
      </c>
    </row>
    <row r="318" spans="1:42">
      <c r="A318" s="1" t="s">
        <v>46</v>
      </c>
      <c r="B318" s="1" t="s">
        <v>753</v>
      </c>
      <c r="C318" s="1" t="s">
        <v>753</v>
      </c>
      <c r="E318" s="4" t="s">
        <v>754</v>
      </c>
      <c r="G318" s="16">
        <v>4</v>
      </c>
      <c r="M318">
        <v>1</v>
      </c>
      <c r="N318">
        <v>3343</v>
      </c>
      <c r="O318">
        <v>0</v>
      </c>
      <c r="P318">
        <v>1.75</v>
      </c>
      <c r="Q318">
        <v>5850.25</v>
      </c>
      <c r="R318">
        <v>0</v>
      </c>
      <c r="S318">
        <v>0</v>
      </c>
      <c r="T318" t="s">
        <v>52</v>
      </c>
      <c r="U318">
        <v>0</v>
      </c>
      <c r="V318">
        <v>0</v>
      </c>
      <c r="W318">
        <v>400033</v>
      </c>
      <c r="X318" t="s">
        <v>56</v>
      </c>
      <c r="Y318" t="s">
        <v>57</v>
      </c>
      <c r="AE318">
        <v>0</v>
      </c>
      <c r="AP318" t="s">
        <v>126</v>
      </c>
    </row>
    <row r="319" spans="1:42">
      <c r="A319" s="1" t="s">
        <v>46</v>
      </c>
      <c r="B319" s="1" t="s">
        <v>755</v>
      </c>
      <c r="C319" s="1" t="s">
        <v>755</v>
      </c>
      <c r="E319" s="4" t="s">
        <v>756</v>
      </c>
      <c r="G319" s="16"/>
      <c r="M319">
        <v>1</v>
      </c>
      <c r="N319">
        <v>52</v>
      </c>
      <c r="O319">
        <v>0</v>
      </c>
      <c r="P319">
        <v>12</v>
      </c>
      <c r="Q319">
        <v>624</v>
      </c>
      <c r="R319">
        <v>0</v>
      </c>
      <c r="S319">
        <v>0</v>
      </c>
      <c r="T319" t="s">
        <v>52</v>
      </c>
      <c r="U319">
        <v>0</v>
      </c>
      <c r="V319">
        <v>0</v>
      </c>
      <c r="W319">
        <v>400030</v>
      </c>
      <c r="AE319">
        <v>0</v>
      </c>
      <c r="AP319" t="s">
        <v>92</v>
      </c>
    </row>
    <row r="320" spans="1:42">
      <c r="A320" s="1" t="s">
        <v>46</v>
      </c>
      <c r="B320" s="1" t="s">
        <v>757</v>
      </c>
      <c r="C320" s="1" t="s">
        <v>757</v>
      </c>
      <c r="E320" s="4" t="s">
        <v>758</v>
      </c>
      <c r="G320" s="16"/>
      <c r="I320">
        <v>19.75</v>
      </c>
      <c r="M320">
        <v>1</v>
      </c>
      <c r="N320">
        <v>-2</v>
      </c>
      <c r="O320">
        <v>0</v>
      </c>
      <c r="R320" t="s">
        <v>579</v>
      </c>
      <c r="S320">
        <v>0</v>
      </c>
      <c r="T320" t="s">
        <v>52</v>
      </c>
      <c r="U320">
        <v>0</v>
      </c>
      <c r="V320">
        <v>0</v>
      </c>
      <c r="W320">
        <v>410302</v>
      </c>
      <c r="AE320">
        <v>0</v>
      </c>
      <c r="AH320">
        <v>19.75</v>
      </c>
      <c r="AP320" t="s">
        <v>177</v>
      </c>
    </row>
    <row r="321" spans="1:42">
      <c r="A321" s="1" t="s">
        <v>46</v>
      </c>
      <c r="B321" s="1" t="s">
        <v>759</v>
      </c>
      <c r="C321" s="1" t="s">
        <v>759</v>
      </c>
      <c r="E321" s="4" t="s">
        <v>760</v>
      </c>
      <c r="G321" s="16">
        <v>2</v>
      </c>
      <c r="M321">
        <v>1</v>
      </c>
      <c r="N321">
        <v>-5</v>
      </c>
      <c r="O321">
        <v>0</v>
      </c>
      <c r="P321">
        <v>5.32</v>
      </c>
      <c r="Q321">
        <v>-26.61</v>
      </c>
      <c r="R321" t="s">
        <v>579</v>
      </c>
      <c r="S321">
        <v>0</v>
      </c>
      <c r="T321" t="s">
        <v>52</v>
      </c>
      <c r="U321">
        <v>0</v>
      </c>
      <c r="V321">
        <v>0</v>
      </c>
      <c r="W321">
        <v>400136</v>
      </c>
      <c r="AE321">
        <v>0</v>
      </c>
      <c r="AP321" t="s">
        <v>732</v>
      </c>
    </row>
    <row r="322" spans="1:42">
      <c r="A322" s="1" t="s">
        <v>46</v>
      </c>
      <c r="B322" s="1" t="s">
        <v>761</v>
      </c>
      <c r="C322" s="1" t="s">
        <v>761</v>
      </c>
      <c r="E322" s="4" t="s">
        <v>762</v>
      </c>
      <c r="G322" s="16">
        <v>2.75</v>
      </c>
      <c r="M322">
        <v>1</v>
      </c>
      <c r="N322">
        <v>9</v>
      </c>
      <c r="O322">
        <v>0</v>
      </c>
      <c r="P322">
        <v>9.5399999999999991</v>
      </c>
      <c r="Q322">
        <v>85.83</v>
      </c>
      <c r="R322" t="s">
        <v>579</v>
      </c>
      <c r="S322">
        <v>0</v>
      </c>
      <c r="T322">
        <v>0</v>
      </c>
      <c r="U322">
        <v>0</v>
      </c>
      <c r="V322">
        <v>0</v>
      </c>
      <c r="W322">
        <v>400013</v>
      </c>
      <c r="X322" t="s">
        <v>56</v>
      </c>
      <c r="Y322" t="s">
        <v>57</v>
      </c>
      <c r="AE322">
        <v>0</v>
      </c>
      <c r="AP322" t="s">
        <v>232</v>
      </c>
    </row>
    <row r="323" spans="1:42">
      <c r="A323" s="1" t="s">
        <v>46</v>
      </c>
      <c r="B323" s="1" t="s">
        <v>763</v>
      </c>
      <c r="C323" s="1" t="s">
        <v>763</v>
      </c>
      <c r="E323" s="4" t="s">
        <v>764</v>
      </c>
      <c r="G323" s="16">
        <v>1.75</v>
      </c>
      <c r="M323">
        <v>1</v>
      </c>
      <c r="N323">
        <v>1037</v>
      </c>
      <c r="O323">
        <v>0</v>
      </c>
      <c r="P323">
        <v>4.4400000000000004</v>
      </c>
      <c r="Q323">
        <v>4603.43</v>
      </c>
      <c r="R323">
        <v>0</v>
      </c>
      <c r="S323">
        <v>0</v>
      </c>
      <c r="T323" t="s">
        <v>52</v>
      </c>
      <c r="U323">
        <v>0</v>
      </c>
      <c r="V323">
        <v>0</v>
      </c>
      <c r="W323">
        <v>400120</v>
      </c>
      <c r="AE323">
        <v>0</v>
      </c>
      <c r="AP323" t="s">
        <v>468</v>
      </c>
    </row>
    <row r="324" spans="1:42">
      <c r="A324" s="1" t="s">
        <v>46</v>
      </c>
      <c r="B324" s="1" t="s">
        <v>765</v>
      </c>
      <c r="C324" s="1" t="s">
        <v>765</v>
      </c>
      <c r="E324" s="4" t="s">
        <v>766</v>
      </c>
      <c r="G324" s="16"/>
      <c r="M324">
        <v>1</v>
      </c>
      <c r="N324">
        <v>-13</v>
      </c>
      <c r="O324">
        <v>0</v>
      </c>
      <c r="P324">
        <v>2.5</v>
      </c>
      <c r="Q324">
        <v>-32.5</v>
      </c>
      <c r="R324" t="s">
        <v>579</v>
      </c>
      <c r="S324">
        <v>0</v>
      </c>
      <c r="T324">
        <v>0</v>
      </c>
      <c r="U324">
        <v>0</v>
      </c>
      <c r="V324">
        <v>0</v>
      </c>
      <c r="W324">
        <v>400136</v>
      </c>
      <c r="AE324">
        <v>0</v>
      </c>
      <c r="AP324" t="s">
        <v>732</v>
      </c>
    </row>
    <row r="325" spans="1:42">
      <c r="A325" s="1" t="s">
        <v>46</v>
      </c>
      <c r="B325" s="1" t="s">
        <v>767</v>
      </c>
      <c r="C325" s="1" t="s">
        <v>767</v>
      </c>
      <c r="E325" s="4" t="s">
        <v>768</v>
      </c>
      <c r="G325" s="16"/>
      <c r="M325">
        <v>1</v>
      </c>
      <c r="N325">
        <v>10</v>
      </c>
      <c r="O325">
        <v>0</v>
      </c>
      <c r="P325">
        <v>14</v>
      </c>
      <c r="Q325">
        <v>140</v>
      </c>
      <c r="R325">
        <v>0</v>
      </c>
      <c r="S325">
        <v>0</v>
      </c>
      <c r="T325" t="s">
        <v>52</v>
      </c>
      <c r="W325">
        <v>400195</v>
      </c>
      <c r="AE325">
        <v>0</v>
      </c>
      <c r="AP325" t="s">
        <v>380</v>
      </c>
    </row>
    <row r="326" spans="1:42">
      <c r="A326" s="1" t="s">
        <v>46</v>
      </c>
      <c r="B326" s="1" t="s">
        <v>769</v>
      </c>
      <c r="C326" s="1" t="s">
        <v>769</v>
      </c>
      <c r="E326" s="4" t="s">
        <v>770</v>
      </c>
      <c r="G326" s="16"/>
      <c r="I326">
        <v>6</v>
      </c>
      <c r="M326">
        <v>1</v>
      </c>
      <c r="N326">
        <v>-67</v>
      </c>
      <c r="O326">
        <v>0</v>
      </c>
      <c r="P326">
        <v>24</v>
      </c>
      <c r="Q326">
        <v>-1608</v>
      </c>
      <c r="R326" t="s">
        <v>579</v>
      </c>
      <c r="S326">
        <v>0</v>
      </c>
      <c r="T326" t="s">
        <v>209</v>
      </c>
      <c r="U326">
        <v>0</v>
      </c>
      <c r="V326">
        <v>0</v>
      </c>
      <c r="W326">
        <v>400200</v>
      </c>
      <c r="AE326">
        <v>0</v>
      </c>
      <c r="AH326">
        <v>6</v>
      </c>
      <c r="AP326" t="s">
        <v>771</v>
      </c>
    </row>
    <row r="327" spans="1:42">
      <c r="A327" s="1" t="s">
        <v>46</v>
      </c>
      <c r="B327" s="1" t="s">
        <v>772</v>
      </c>
      <c r="C327" s="1" t="s">
        <v>772</v>
      </c>
      <c r="E327" s="4" t="s">
        <v>773</v>
      </c>
      <c r="G327" s="16"/>
      <c r="M327">
        <v>1</v>
      </c>
      <c r="N327">
        <v>1</v>
      </c>
      <c r="O327">
        <v>0</v>
      </c>
      <c r="P327">
        <v>100</v>
      </c>
      <c r="Q327">
        <v>100</v>
      </c>
      <c r="R327">
        <v>0</v>
      </c>
      <c r="S327">
        <v>0</v>
      </c>
      <c r="T327" t="s">
        <v>52</v>
      </c>
      <c r="U327">
        <v>0</v>
      </c>
      <c r="V327">
        <v>0</v>
      </c>
      <c r="W327">
        <v>400130</v>
      </c>
      <c r="X327" t="s">
        <v>56</v>
      </c>
      <c r="Y327" t="s">
        <v>57</v>
      </c>
      <c r="AE327">
        <v>0</v>
      </c>
      <c r="AP327" t="s">
        <v>139</v>
      </c>
    </row>
    <row r="328" spans="1:42">
      <c r="A328" s="1" t="s">
        <v>46</v>
      </c>
      <c r="B328" s="1" t="s">
        <v>774</v>
      </c>
      <c r="C328" s="1" t="s">
        <v>774</v>
      </c>
      <c r="E328" s="4" t="s">
        <v>775</v>
      </c>
      <c r="G328" s="16"/>
      <c r="M328">
        <v>1</v>
      </c>
      <c r="N328">
        <v>2</v>
      </c>
      <c r="O328">
        <v>0</v>
      </c>
      <c r="P328">
        <v>3.41</v>
      </c>
      <c r="Q328">
        <v>6.82</v>
      </c>
      <c r="R328" t="s">
        <v>579</v>
      </c>
      <c r="S328">
        <v>0</v>
      </c>
      <c r="T328">
        <v>0</v>
      </c>
      <c r="U328">
        <v>0</v>
      </c>
      <c r="V328">
        <v>0</v>
      </c>
      <c r="W328">
        <v>400136</v>
      </c>
      <c r="AE328">
        <v>0</v>
      </c>
      <c r="AP328" t="s">
        <v>732</v>
      </c>
    </row>
    <row r="329" spans="1:42">
      <c r="A329" s="1" t="s">
        <v>46</v>
      </c>
      <c r="B329" s="1" t="s">
        <v>776</v>
      </c>
      <c r="C329" s="1" t="s">
        <v>776</v>
      </c>
      <c r="E329" s="4" t="s">
        <v>777</v>
      </c>
      <c r="G329" s="16">
        <v>0.4</v>
      </c>
      <c r="M329">
        <v>1</v>
      </c>
      <c r="N329">
        <v>-32</v>
      </c>
      <c r="O329">
        <v>0</v>
      </c>
      <c r="P329">
        <v>4.1399999999999997</v>
      </c>
      <c r="Q329">
        <v>-132.41</v>
      </c>
      <c r="R329" t="s">
        <v>579</v>
      </c>
      <c r="S329">
        <v>0</v>
      </c>
      <c r="T329">
        <v>0</v>
      </c>
      <c r="U329">
        <v>0</v>
      </c>
      <c r="V329">
        <v>0</v>
      </c>
      <c r="W329">
        <v>400013</v>
      </c>
      <c r="X329" t="s">
        <v>56</v>
      </c>
      <c r="Y329" t="s">
        <v>57</v>
      </c>
      <c r="AE329">
        <v>0</v>
      </c>
      <c r="AP329" t="s">
        <v>232</v>
      </c>
    </row>
    <row r="330" spans="1:42">
      <c r="A330" s="1" t="s">
        <v>46</v>
      </c>
      <c r="B330" s="1" t="s">
        <v>778</v>
      </c>
      <c r="C330" s="1" t="s">
        <v>778</v>
      </c>
      <c r="E330" s="4" t="s">
        <v>779</v>
      </c>
      <c r="G330" s="16">
        <v>0.4</v>
      </c>
      <c r="M330">
        <v>1</v>
      </c>
      <c r="N330">
        <v>-611</v>
      </c>
      <c r="O330">
        <v>0</v>
      </c>
      <c r="P330">
        <v>0.05</v>
      </c>
      <c r="Q330">
        <v>-30.55</v>
      </c>
      <c r="R330">
        <v>0</v>
      </c>
      <c r="S330">
        <v>0</v>
      </c>
      <c r="T330" t="s">
        <v>52</v>
      </c>
      <c r="W330">
        <v>400127</v>
      </c>
      <c r="AE330">
        <v>0</v>
      </c>
      <c r="AP330" t="s">
        <v>780</v>
      </c>
    </row>
    <row r="331" spans="1:42">
      <c r="A331" s="1" t="s">
        <v>46</v>
      </c>
      <c r="B331" s="1" t="s">
        <v>781</v>
      </c>
      <c r="C331" s="1" t="s">
        <v>781</v>
      </c>
      <c r="E331" s="4" t="s">
        <v>782</v>
      </c>
      <c r="G331" s="16">
        <v>0.7</v>
      </c>
      <c r="M331">
        <v>1</v>
      </c>
      <c r="N331">
        <v>471</v>
      </c>
      <c r="O331">
        <v>0</v>
      </c>
      <c r="P331">
        <v>1.4</v>
      </c>
      <c r="Q331">
        <v>659.4</v>
      </c>
      <c r="R331" t="s">
        <v>783</v>
      </c>
      <c r="S331">
        <v>0</v>
      </c>
      <c r="T331">
        <v>0</v>
      </c>
      <c r="U331">
        <v>0</v>
      </c>
      <c r="V331">
        <v>0</v>
      </c>
      <c r="W331">
        <v>400035</v>
      </c>
      <c r="AE331">
        <v>0</v>
      </c>
      <c r="AP331" t="s">
        <v>784</v>
      </c>
    </row>
    <row r="332" spans="1:42">
      <c r="A332" s="1" t="s">
        <v>46</v>
      </c>
      <c r="B332" s="1" t="s">
        <v>785</v>
      </c>
      <c r="C332" s="1" t="s">
        <v>785</v>
      </c>
      <c r="E332" s="4" t="s">
        <v>786</v>
      </c>
      <c r="G332" s="16">
        <v>0.7</v>
      </c>
      <c r="I332">
        <v>10</v>
      </c>
      <c r="M332">
        <v>1</v>
      </c>
      <c r="N332">
        <v>-37</v>
      </c>
      <c r="O332">
        <v>0</v>
      </c>
      <c r="P332">
        <v>4.12</v>
      </c>
      <c r="Q332">
        <v>-152.62</v>
      </c>
      <c r="R332" t="s">
        <v>579</v>
      </c>
      <c r="S332">
        <v>0</v>
      </c>
      <c r="T332" t="s">
        <v>52</v>
      </c>
      <c r="U332">
        <v>0</v>
      </c>
      <c r="V332">
        <v>0</v>
      </c>
      <c r="W332">
        <v>400013</v>
      </c>
      <c r="X332" t="s">
        <v>56</v>
      </c>
      <c r="Y332" t="s">
        <v>57</v>
      </c>
      <c r="AE332">
        <v>0</v>
      </c>
      <c r="AH332">
        <v>10</v>
      </c>
      <c r="AP332" t="s">
        <v>232</v>
      </c>
    </row>
    <row r="333" spans="1:42">
      <c r="A333" s="1" t="s">
        <v>46</v>
      </c>
      <c r="B333" s="1" t="s">
        <v>787</v>
      </c>
      <c r="C333" s="1" t="s">
        <v>787</v>
      </c>
      <c r="E333" s="4" t="s">
        <v>788</v>
      </c>
      <c r="G333" s="16">
        <v>0.7</v>
      </c>
      <c r="M333">
        <v>1</v>
      </c>
      <c r="N333">
        <v>5</v>
      </c>
      <c r="O333">
        <v>0</v>
      </c>
      <c r="P333">
        <v>9.91</v>
      </c>
      <c r="Q333">
        <v>49.57</v>
      </c>
      <c r="R333" t="s">
        <v>579</v>
      </c>
      <c r="S333">
        <v>0</v>
      </c>
      <c r="T333" t="s">
        <v>52</v>
      </c>
      <c r="U333">
        <v>0</v>
      </c>
      <c r="V333">
        <v>0</v>
      </c>
      <c r="W333">
        <v>400013</v>
      </c>
      <c r="X333" t="s">
        <v>56</v>
      </c>
      <c r="Y333" t="s">
        <v>57</v>
      </c>
      <c r="AE333">
        <v>0</v>
      </c>
      <c r="AP333" t="s">
        <v>232</v>
      </c>
    </row>
    <row r="334" spans="1:42">
      <c r="A334" s="1" t="s">
        <v>46</v>
      </c>
      <c r="B334" s="1" t="s">
        <v>789</v>
      </c>
      <c r="C334" s="1" t="s">
        <v>789</v>
      </c>
      <c r="E334" s="4" t="s">
        <v>790</v>
      </c>
      <c r="G334" s="16">
        <v>0.7</v>
      </c>
      <c r="I334">
        <v>10</v>
      </c>
      <c r="M334">
        <v>1</v>
      </c>
      <c r="N334">
        <v>71</v>
      </c>
      <c r="O334">
        <v>0</v>
      </c>
      <c r="P334">
        <v>3.46</v>
      </c>
      <c r="Q334">
        <v>245.52</v>
      </c>
      <c r="R334" t="s">
        <v>579</v>
      </c>
      <c r="S334">
        <v>0</v>
      </c>
      <c r="T334" t="s">
        <v>52</v>
      </c>
      <c r="U334">
        <v>0</v>
      </c>
      <c r="V334">
        <v>0</v>
      </c>
      <c r="W334">
        <v>400013</v>
      </c>
      <c r="X334" t="s">
        <v>56</v>
      </c>
      <c r="Y334" t="s">
        <v>57</v>
      </c>
      <c r="AE334">
        <v>0</v>
      </c>
      <c r="AH334">
        <v>10</v>
      </c>
      <c r="AP334" t="s">
        <v>232</v>
      </c>
    </row>
    <row r="335" spans="1:42">
      <c r="A335" s="1" t="s">
        <v>46</v>
      </c>
      <c r="B335" s="1" t="s">
        <v>791</v>
      </c>
      <c r="C335" s="1" t="s">
        <v>791</v>
      </c>
      <c r="E335" s="4" t="s">
        <v>792</v>
      </c>
      <c r="G335" s="16">
        <v>1</v>
      </c>
      <c r="M335">
        <v>1</v>
      </c>
      <c r="N335">
        <v>-1</v>
      </c>
      <c r="O335">
        <v>0</v>
      </c>
      <c r="AE335">
        <v>0</v>
      </c>
    </row>
    <row r="336" spans="1:42">
      <c r="A336" s="1" t="s">
        <v>46</v>
      </c>
      <c r="B336" s="1" t="s">
        <v>793</v>
      </c>
      <c r="C336" s="1" t="s">
        <v>793</v>
      </c>
      <c r="E336" s="4" t="s">
        <v>794</v>
      </c>
      <c r="G336" s="16">
        <v>1</v>
      </c>
      <c r="M336">
        <v>1</v>
      </c>
      <c r="N336">
        <v>48</v>
      </c>
      <c r="O336">
        <v>0</v>
      </c>
      <c r="P336">
        <v>1.4</v>
      </c>
      <c r="Q336">
        <v>67.2</v>
      </c>
      <c r="R336">
        <v>0</v>
      </c>
      <c r="S336">
        <v>0</v>
      </c>
      <c r="T336" t="s">
        <v>52</v>
      </c>
      <c r="U336">
        <v>0</v>
      </c>
      <c r="V336">
        <v>0</v>
      </c>
      <c r="W336">
        <v>400035</v>
      </c>
      <c r="AE336">
        <v>0</v>
      </c>
      <c r="AP336" t="s">
        <v>784</v>
      </c>
    </row>
    <row r="337" spans="1:42">
      <c r="A337" s="1" t="s">
        <v>46</v>
      </c>
      <c r="B337" s="1" t="s">
        <v>795</v>
      </c>
      <c r="C337" s="1" t="s">
        <v>795</v>
      </c>
      <c r="E337" s="4" t="s">
        <v>796</v>
      </c>
      <c r="G337" s="16">
        <v>1</v>
      </c>
      <c r="M337">
        <v>1</v>
      </c>
      <c r="N337">
        <v>1</v>
      </c>
      <c r="O337">
        <v>0</v>
      </c>
      <c r="P337">
        <v>135</v>
      </c>
      <c r="Q337">
        <v>135</v>
      </c>
      <c r="W337">
        <v>400111</v>
      </c>
      <c r="AE337">
        <v>0</v>
      </c>
      <c r="AP337" t="s">
        <v>646</v>
      </c>
    </row>
    <row r="338" spans="1:42">
      <c r="A338" s="1" t="s">
        <v>46</v>
      </c>
      <c r="B338" s="1" t="s">
        <v>797</v>
      </c>
      <c r="C338" s="1" t="s">
        <v>797</v>
      </c>
      <c r="E338" s="4" t="s">
        <v>798</v>
      </c>
      <c r="G338" s="16"/>
      <c r="I338">
        <v>495</v>
      </c>
      <c r="M338">
        <v>1</v>
      </c>
      <c r="N338">
        <v>6</v>
      </c>
      <c r="O338">
        <v>0</v>
      </c>
      <c r="P338">
        <v>447.11</v>
      </c>
      <c r="Q338">
        <v>2682.65</v>
      </c>
      <c r="R338" t="s">
        <v>574</v>
      </c>
      <c r="S338">
        <v>0</v>
      </c>
      <c r="T338" t="s">
        <v>52</v>
      </c>
      <c r="U338">
        <v>0</v>
      </c>
      <c r="V338">
        <v>0</v>
      </c>
      <c r="W338">
        <v>400013</v>
      </c>
      <c r="X338" t="s">
        <v>56</v>
      </c>
      <c r="Y338" t="s">
        <v>57</v>
      </c>
      <c r="AE338">
        <v>0</v>
      </c>
      <c r="AH338">
        <v>495</v>
      </c>
      <c r="AP338" t="s">
        <v>232</v>
      </c>
    </row>
    <row r="339" spans="1:42">
      <c r="A339" s="1" t="s">
        <v>46</v>
      </c>
      <c r="B339" s="1" t="s">
        <v>799</v>
      </c>
      <c r="C339" s="1" t="s">
        <v>799</v>
      </c>
      <c r="E339" s="4" t="s">
        <v>800</v>
      </c>
      <c r="G339" s="16"/>
      <c r="M339">
        <v>1</v>
      </c>
      <c r="N339">
        <v>-36</v>
      </c>
      <c r="O339">
        <v>0</v>
      </c>
      <c r="P339">
        <v>1.5</v>
      </c>
      <c r="Q339">
        <v>-54</v>
      </c>
      <c r="R339" t="s">
        <v>783</v>
      </c>
      <c r="S339">
        <v>0</v>
      </c>
      <c r="T339">
        <v>0</v>
      </c>
      <c r="U339">
        <v>0</v>
      </c>
      <c r="V339">
        <v>0</v>
      </c>
      <c r="W339">
        <v>400033</v>
      </c>
      <c r="AE339">
        <v>0</v>
      </c>
      <c r="AP339" t="s">
        <v>126</v>
      </c>
    </row>
    <row r="340" spans="1:42">
      <c r="A340" s="1" t="s">
        <v>46</v>
      </c>
      <c r="B340" s="1" t="s">
        <v>801</v>
      </c>
      <c r="C340" s="1" t="s">
        <v>801</v>
      </c>
      <c r="E340" s="4" t="s">
        <v>802</v>
      </c>
      <c r="G340" s="16"/>
      <c r="M340">
        <v>1</v>
      </c>
      <c r="N340">
        <v>4020</v>
      </c>
      <c r="O340">
        <v>0</v>
      </c>
      <c r="P340">
        <v>0.6</v>
      </c>
      <c r="Q340">
        <v>2412</v>
      </c>
      <c r="R340" t="s">
        <v>783</v>
      </c>
      <c r="S340">
        <v>0</v>
      </c>
      <c r="T340" t="s">
        <v>52</v>
      </c>
      <c r="U340">
        <v>0</v>
      </c>
      <c r="V340">
        <v>0</v>
      </c>
      <c r="W340">
        <v>400033</v>
      </c>
      <c r="AE340">
        <v>0</v>
      </c>
      <c r="AP340" t="s">
        <v>126</v>
      </c>
    </row>
    <row r="341" spans="1:42">
      <c r="A341" s="1" t="s">
        <v>46</v>
      </c>
      <c r="B341" s="1" t="s">
        <v>803</v>
      </c>
      <c r="C341" s="1" t="s">
        <v>803</v>
      </c>
      <c r="E341" s="4" t="s">
        <v>804</v>
      </c>
      <c r="G341" s="16"/>
      <c r="M341">
        <v>1</v>
      </c>
      <c r="N341">
        <v>7909</v>
      </c>
      <c r="O341">
        <v>0</v>
      </c>
      <c r="P341">
        <v>0.6</v>
      </c>
      <c r="Q341">
        <v>4745.3999999999996</v>
      </c>
      <c r="R341" t="s">
        <v>783</v>
      </c>
      <c r="S341">
        <v>0</v>
      </c>
      <c r="T341" t="s">
        <v>52</v>
      </c>
      <c r="U341">
        <v>0</v>
      </c>
      <c r="V341">
        <v>0</v>
      </c>
      <c r="W341">
        <v>400033</v>
      </c>
      <c r="X341" t="s">
        <v>56</v>
      </c>
      <c r="Y341" t="s">
        <v>57</v>
      </c>
      <c r="AE341">
        <v>0</v>
      </c>
      <c r="AP341" t="s">
        <v>126</v>
      </c>
    </row>
    <row r="342" spans="1:42">
      <c r="A342" s="1" t="s">
        <v>46</v>
      </c>
      <c r="B342" s="1" t="s">
        <v>805</v>
      </c>
      <c r="C342" s="1" t="s">
        <v>805</v>
      </c>
      <c r="E342" s="4" t="s">
        <v>806</v>
      </c>
      <c r="G342" s="16"/>
      <c r="M342">
        <v>1</v>
      </c>
      <c r="N342">
        <v>-8</v>
      </c>
      <c r="O342">
        <v>0</v>
      </c>
      <c r="P342">
        <v>2.74</v>
      </c>
      <c r="Q342">
        <v>-21.94</v>
      </c>
      <c r="R342">
        <v>0</v>
      </c>
      <c r="S342">
        <v>0</v>
      </c>
      <c r="T342" t="s">
        <v>52</v>
      </c>
      <c r="W342">
        <v>400004</v>
      </c>
      <c r="AE342">
        <v>0</v>
      </c>
      <c r="AP342" t="s">
        <v>352</v>
      </c>
    </row>
    <row r="343" spans="1:42">
      <c r="A343" s="1" t="s">
        <v>46</v>
      </c>
      <c r="B343" s="1" t="s">
        <v>807</v>
      </c>
      <c r="C343" s="1" t="s">
        <v>807</v>
      </c>
      <c r="E343" s="4" t="s">
        <v>808</v>
      </c>
      <c r="G343" s="16"/>
      <c r="M343">
        <v>1</v>
      </c>
      <c r="N343">
        <v>438</v>
      </c>
      <c r="O343">
        <v>0</v>
      </c>
      <c r="P343">
        <v>0.95</v>
      </c>
      <c r="Q343">
        <v>415.86</v>
      </c>
      <c r="R343" t="s">
        <v>783</v>
      </c>
      <c r="S343">
        <v>0</v>
      </c>
      <c r="T343" t="s">
        <v>52</v>
      </c>
      <c r="U343">
        <v>0</v>
      </c>
      <c r="V343">
        <v>0</v>
      </c>
      <c r="W343">
        <v>400194</v>
      </c>
      <c r="AE343">
        <v>0</v>
      </c>
      <c r="AP343" t="s">
        <v>173</v>
      </c>
    </row>
    <row r="344" spans="1:42">
      <c r="A344" s="1" t="s">
        <v>46</v>
      </c>
      <c r="B344" s="1" t="s">
        <v>809</v>
      </c>
      <c r="C344" s="1" t="s">
        <v>809</v>
      </c>
      <c r="E344" s="4" t="s">
        <v>810</v>
      </c>
      <c r="G344" s="16"/>
      <c r="M344">
        <v>1</v>
      </c>
      <c r="N344">
        <v>3505</v>
      </c>
      <c r="O344">
        <v>0</v>
      </c>
      <c r="P344">
        <v>1.1000000000000001</v>
      </c>
      <c r="Q344">
        <v>3855.5</v>
      </c>
      <c r="R344" t="s">
        <v>783</v>
      </c>
      <c r="S344">
        <v>0</v>
      </c>
      <c r="T344" t="s">
        <v>52</v>
      </c>
      <c r="U344">
        <v>0</v>
      </c>
      <c r="V344">
        <v>0</v>
      </c>
      <c r="W344">
        <v>400035</v>
      </c>
      <c r="X344" t="s">
        <v>56</v>
      </c>
      <c r="Y344" t="s">
        <v>57</v>
      </c>
      <c r="AE344">
        <v>0</v>
      </c>
      <c r="AP344" t="s">
        <v>784</v>
      </c>
    </row>
    <row r="345" spans="1:42">
      <c r="A345" s="1" t="s">
        <v>46</v>
      </c>
      <c r="B345" s="1" t="s">
        <v>811</v>
      </c>
      <c r="C345" s="1" t="s">
        <v>811</v>
      </c>
      <c r="E345" s="4" t="s">
        <v>812</v>
      </c>
      <c r="G345" s="16"/>
      <c r="M345">
        <v>1</v>
      </c>
      <c r="N345">
        <v>571</v>
      </c>
      <c r="O345">
        <v>0</v>
      </c>
      <c r="P345">
        <v>12.21</v>
      </c>
      <c r="Q345">
        <v>6971.91</v>
      </c>
      <c r="R345">
        <v>0</v>
      </c>
      <c r="S345">
        <v>0</v>
      </c>
      <c r="T345" t="s">
        <v>52</v>
      </c>
      <c r="U345">
        <v>0</v>
      </c>
      <c r="V345">
        <v>0</v>
      </c>
      <c r="W345">
        <v>400111</v>
      </c>
      <c r="AE345">
        <v>0</v>
      </c>
      <c r="AP345" t="s">
        <v>646</v>
      </c>
    </row>
    <row r="346" spans="1:42">
      <c r="A346" s="1" t="s">
        <v>46</v>
      </c>
      <c r="B346" s="1" t="s">
        <v>813</v>
      </c>
      <c r="C346" s="1" t="s">
        <v>813</v>
      </c>
      <c r="E346" s="4" t="s">
        <v>814</v>
      </c>
      <c r="G346" s="16"/>
      <c r="M346">
        <v>1</v>
      </c>
      <c r="N346">
        <v>114</v>
      </c>
      <c r="O346">
        <v>0</v>
      </c>
      <c r="P346">
        <v>0.7</v>
      </c>
      <c r="Q346">
        <v>79.8</v>
      </c>
      <c r="R346" t="s">
        <v>783</v>
      </c>
      <c r="S346">
        <v>0</v>
      </c>
      <c r="T346" t="s">
        <v>52</v>
      </c>
      <c r="U346">
        <v>0</v>
      </c>
      <c r="V346">
        <v>0</v>
      </c>
      <c r="W346">
        <v>400045</v>
      </c>
      <c r="AE346">
        <v>0</v>
      </c>
      <c r="AP346" t="s">
        <v>217</v>
      </c>
    </row>
    <row r="347" spans="1:42">
      <c r="A347" s="1" t="s">
        <v>46</v>
      </c>
      <c r="B347" s="1" t="s">
        <v>815</v>
      </c>
      <c r="C347" s="1" t="s">
        <v>815</v>
      </c>
      <c r="E347" s="4" t="s">
        <v>816</v>
      </c>
      <c r="G347" s="16"/>
      <c r="M347">
        <v>1</v>
      </c>
      <c r="N347">
        <v>4</v>
      </c>
      <c r="O347">
        <v>0</v>
      </c>
      <c r="P347">
        <v>20</v>
      </c>
      <c r="Q347">
        <v>80</v>
      </c>
      <c r="R347">
        <v>0</v>
      </c>
      <c r="S347">
        <v>0</v>
      </c>
      <c r="T347" t="s">
        <v>52</v>
      </c>
      <c r="W347">
        <v>400130</v>
      </c>
      <c r="AE347">
        <v>0</v>
      </c>
      <c r="AP347" t="s">
        <v>139</v>
      </c>
    </row>
    <row r="348" spans="1:42">
      <c r="A348" s="1" t="s">
        <v>46</v>
      </c>
      <c r="B348" s="1" t="s">
        <v>817</v>
      </c>
      <c r="C348" s="1" t="s">
        <v>817</v>
      </c>
      <c r="E348" s="4" t="s">
        <v>818</v>
      </c>
      <c r="G348" s="16"/>
      <c r="M348">
        <v>1</v>
      </c>
      <c r="N348">
        <v>2</v>
      </c>
      <c r="O348">
        <v>0</v>
      </c>
      <c r="P348">
        <v>180</v>
      </c>
      <c r="Q348">
        <v>360</v>
      </c>
      <c r="R348">
        <v>0</v>
      </c>
      <c r="S348">
        <v>0</v>
      </c>
      <c r="T348" t="s">
        <v>52</v>
      </c>
      <c r="W348">
        <v>400028</v>
      </c>
      <c r="AE348">
        <v>0</v>
      </c>
      <c r="AP348" t="s">
        <v>246</v>
      </c>
    </row>
    <row r="349" spans="1:42">
      <c r="A349" s="1" t="s">
        <v>46</v>
      </c>
      <c r="B349" s="1" t="s">
        <v>819</v>
      </c>
      <c r="C349" s="1" t="s">
        <v>819</v>
      </c>
      <c r="E349" s="4" t="s">
        <v>820</v>
      </c>
      <c r="G349" s="16"/>
      <c r="M349">
        <v>1</v>
      </c>
      <c r="N349">
        <v>-3</v>
      </c>
      <c r="O349">
        <v>0</v>
      </c>
      <c r="P349">
        <v>150</v>
      </c>
      <c r="Q349">
        <v>-450</v>
      </c>
      <c r="R349">
        <v>0</v>
      </c>
      <c r="S349">
        <v>0</v>
      </c>
      <c r="T349" t="s">
        <v>52</v>
      </c>
      <c r="W349">
        <v>400028</v>
      </c>
      <c r="AE349">
        <v>0</v>
      </c>
      <c r="AP349" t="s">
        <v>246</v>
      </c>
    </row>
    <row r="350" spans="1:42">
      <c r="A350" s="1" t="s">
        <v>46</v>
      </c>
      <c r="B350" s="1" t="s">
        <v>821</v>
      </c>
      <c r="C350" s="1" t="s">
        <v>821</v>
      </c>
      <c r="E350" s="4" t="s">
        <v>822</v>
      </c>
      <c r="G350" s="16"/>
      <c r="M350">
        <v>1</v>
      </c>
      <c r="N350">
        <v>9</v>
      </c>
      <c r="O350">
        <v>0</v>
      </c>
      <c r="P350">
        <v>110</v>
      </c>
      <c r="Q350">
        <v>990</v>
      </c>
      <c r="R350">
        <v>0</v>
      </c>
      <c r="S350">
        <v>0</v>
      </c>
      <c r="T350" t="s">
        <v>52</v>
      </c>
      <c r="U350">
        <v>0</v>
      </c>
      <c r="V350">
        <v>0</v>
      </c>
      <c r="W350">
        <v>400130</v>
      </c>
      <c r="X350" t="s">
        <v>56</v>
      </c>
      <c r="Y350" t="s">
        <v>57</v>
      </c>
      <c r="AE350">
        <v>0</v>
      </c>
      <c r="AP350" t="s">
        <v>139</v>
      </c>
    </row>
    <row r="351" spans="1:42">
      <c r="A351" s="1" t="s">
        <v>46</v>
      </c>
      <c r="B351" s="1" t="s">
        <v>823</v>
      </c>
      <c r="C351" s="1" t="s">
        <v>823</v>
      </c>
      <c r="E351" s="4" t="s">
        <v>824</v>
      </c>
      <c r="G351" s="16"/>
      <c r="M351">
        <v>1</v>
      </c>
      <c r="N351">
        <v>629</v>
      </c>
      <c r="O351">
        <v>0</v>
      </c>
      <c r="P351">
        <v>57</v>
      </c>
      <c r="Q351">
        <v>35853</v>
      </c>
      <c r="R351">
        <v>0</v>
      </c>
      <c r="S351">
        <v>0</v>
      </c>
      <c r="T351" t="s">
        <v>52</v>
      </c>
      <c r="U351">
        <v>0</v>
      </c>
      <c r="V351">
        <v>0</v>
      </c>
      <c r="W351">
        <v>400130</v>
      </c>
      <c r="X351" t="s">
        <v>56</v>
      </c>
      <c r="Y351" t="s">
        <v>57</v>
      </c>
      <c r="AE351">
        <v>0</v>
      </c>
      <c r="AP351" t="s">
        <v>139</v>
      </c>
    </row>
    <row r="352" spans="1:42">
      <c r="A352" s="1" t="s">
        <v>46</v>
      </c>
      <c r="B352" s="1" t="s">
        <v>825</v>
      </c>
      <c r="C352" s="1" t="s">
        <v>825</v>
      </c>
      <c r="E352" s="4" t="s">
        <v>826</v>
      </c>
      <c r="G352" s="16"/>
      <c r="M352">
        <v>1</v>
      </c>
      <c r="N352">
        <v>-1</v>
      </c>
      <c r="O352">
        <v>0</v>
      </c>
      <c r="R352">
        <v>0</v>
      </c>
      <c r="S352">
        <v>0</v>
      </c>
      <c r="T352" t="s">
        <v>52</v>
      </c>
      <c r="U352">
        <v>0</v>
      </c>
      <c r="V352">
        <v>0</v>
      </c>
      <c r="AE352">
        <v>0</v>
      </c>
    </row>
    <row r="353" spans="1:42">
      <c r="A353" s="1" t="s">
        <v>46</v>
      </c>
      <c r="B353" s="1" t="s">
        <v>827</v>
      </c>
      <c r="C353" s="1" t="s">
        <v>827</v>
      </c>
      <c r="E353" s="4" t="s">
        <v>828</v>
      </c>
      <c r="G353" s="16"/>
      <c r="M353">
        <v>1</v>
      </c>
      <c r="N353">
        <v>90</v>
      </c>
      <c r="O353">
        <v>0</v>
      </c>
      <c r="P353">
        <v>1.1499999999999999</v>
      </c>
      <c r="Q353">
        <v>103.5</v>
      </c>
      <c r="R353" t="s">
        <v>783</v>
      </c>
      <c r="S353">
        <v>0</v>
      </c>
      <c r="T353">
        <v>0</v>
      </c>
      <c r="U353">
        <v>0</v>
      </c>
      <c r="V353">
        <v>0</v>
      </c>
      <c r="W353">
        <v>400033</v>
      </c>
      <c r="X353" t="s">
        <v>56</v>
      </c>
      <c r="Y353" t="s">
        <v>57</v>
      </c>
      <c r="AE353">
        <v>0</v>
      </c>
      <c r="AP353" t="s">
        <v>126</v>
      </c>
    </row>
    <row r="354" spans="1:42">
      <c r="A354" s="1" t="s">
        <v>46</v>
      </c>
      <c r="B354" s="1" t="s">
        <v>829</v>
      </c>
      <c r="C354" s="1" t="s">
        <v>829</v>
      </c>
      <c r="E354" s="4" t="s">
        <v>830</v>
      </c>
      <c r="G354" s="16"/>
      <c r="M354">
        <v>1</v>
      </c>
      <c r="N354">
        <v>-6</v>
      </c>
      <c r="O354">
        <v>0</v>
      </c>
      <c r="P354">
        <v>86</v>
      </c>
      <c r="Q354">
        <v>-516</v>
      </c>
      <c r="R354" t="s">
        <v>589</v>
      </c>
      <c r="S354">
        <v>0</v>
      </c>
      <c r="T354" t="s">
        <v>52</v>
      </c>
      <c r="U354">
        <v>0</v>
      </c>
      <c r="V354">
        <v>0</v>
      </c>
      <c r="W354">
        <v>400011</v>
      </c>
      <c r="AE354">
        <v>0</v>
      </c>
      <c r="AP354" t="s">
        <v>617</v>
      </c>
    </row>
    <row r="355" spans="1:42">
      <c r="A355" s="1" t="s">
        <v>46</v>
      </c>
      <c r="B355" s="1" t="s">
        <v>831</v>
      </c>
      <c r="C355" s="1" t="s">
        <v>831</v>
      </c>
      <c r="E355" s="4" t="s">
        <v>832</v>
      </c>
      <c r="G355" s="16"/>
      <c r="M355">
        <v>1</v>
      </c>
      <c r="N355">
        <v>1038</v>
      </c>
      <c r="O355">
        <v>0</v>
      </c>
      <c r="P355">
        <v>1</v>
      </c>
      <c r="Q355">
        <v>1038</v>
      </c>
      <c r="R355" t="s">
        <v>783</v>
      </c>
      <c r="S355">
        <v>0</v>
      </c>
      <c r="T355">
        <v>0</v>
      </c>
      <c r="U355">
        <v>0</v>
      </c>
      <c r="V355">
        <v>0</v>
      </c>
      <c r="W355">
        <v>400033</v>
      </c>
      <c r="X355" t="s">
        <v>56</v>
      </c>
      <c r="Y355" t="s">
        <v>57</v>
      </c>
      <c r="AE355">
        <v>0</v>
      </c>
      <c r="AP355" t="s">
        <v>126</v>
      </c>
    </row>
    <row r="356" spans="1:42">
      <c r="A356" s="1" t="s">
        <v>46</v>
      </c>
      <c r="B356" s="1" t="s">
        <v>833</v>
      </c>
      <c r="C356" s="1" t="s">
        <v>833</v>
      </c>
      <c r="E356" s="4" t="s">
        <v>834</v>
      </c>
      <c r="G356" s="16"/>
      <c r="M356">
        <v>1</v>
      </c>
      <c r="N356">
        <v>1</v>
      </c>
      <c r="O356">
        <v>0</v>
      </c>
      <c r="P356">
        <v>39</v>
      </c>
      <c r="Q356">
        <v>39</v>
      </c>
      <c r="W356">
        <v>400111</v>
      </c>
      <c r="AE356">
        <v>0</v>
      </c>
      <c r="AP356" t="s">
        <v>646</v>
      </c>
    </row>
    <row r="357" spans="1:42">
      <c r="A357" s="1" t="s">
        <v>46</v>
      </c>
      <c r="B357" s="1" t="s">
        <v>835</v>
      </c>
      <c r="C357" s="1" t="s">
        <v>835</v>
      </c>
      <c r="E357" s="4" t="s">
        <v>836</v>
      </c>
      <c r="G357" s="16"/>
      <c r="I357">
        <v>0.5</v>
      </c>
      <c r="M357">
        <v>1</v>
      </c>
      <c r="N357">
        <v>4851</v>
      </c>
      <c r="O357">
        <v>0</v>
      </c>
      <c r="P357">
        <v>27</v>
      </c>
      <c r="Q357">
        <v>130977</v>
      </c>
      <c r="R357" t="s">
        <v>783</v>
      </c>
      <c r="S357">
        <v>0</v>
      </c>
      <c r="T357" t="s">
        <v>52</v>
      </c>
      <c r="U357">
        <v>0</v>
      </c>
      <c r="V357">
        <v>0</v>
      </c>
      <c r="W357">
        <v>400203</v>
      </c>
      <c r="X357" t="s">
        <v>56</v>
      </c>
      <c r="Y357" t="s">
        <v>57</v>
      </c>
      <c r="AE357">
        <v>0</v>
      </c>
      <c r="AH357">
        <v>0.5</v>
      </c>
      <c r="AP357" t="s">
        <v>837</v>
      </c>
    </row>
    <row r="358" spans="1:42">
      <c r="A358" s="1" t="s">
        <v>46</v>
      </c>
      <c r="B358" s="1" t="s">
        <v>838</v>
      </c>
      <c r="C358" s="1" t="s">
        <v>838</v>
      </c>
      <c r="E358" s="4" t="s">
        <v>839</v>
      </c>
      <c r="G358" s="16"/>
      <c r="M358">
        <v>1</v>
      </c>
      <c r="N358">
        <v>100</v>
      </c>
      <c r="O358">
        <v>0</v>
      </c>
      <c r="P358">
        <v>1.1000000000000001</v>
      </c>
      <c r="Q358">
        <v>110</v>
      </c>
      <c r="W358">
        <v>410120</v>
      </c>
      <c r="AE358">
        <v>0</v>
      </c>
      <c r="AP358" t="s">
        <v>112</v>
      </c>
    </row>
    <row r="359" spans="1:42">
      <c r="A359" s="1" t="s">
        <v>46</v>
      </c>
      <c r="B359" s="1" t="s">
        <v>840</v>
      </c>
      <c r="C359" s="1" t="s">
        <v>840</v>
      </c>
      <c r="E359" s="4" t="s">
        <v>841</v>
      </c>
      <c r="G359" s="16"/>
      <c r="M359">
        <v>1</v>
      </c>
      <c r="N359">
        <v>1</v>
      </c>
      <c r="O359">
        <v>0</v>
      </c>
      <c r="P359">
        <v>10</v>
      </c>
      <c r="Q359">
        <v>10</v>
      </c>
      <c r="R359" t="s">
        <v>176</v>
      </c>
      <c r="S359">
        <v>0</v>
      </c>
      <c r="T359" t="s">
        <v>227</v>
      </c>
      <c r="W359">
        <v>400061</v>
      </c>
      <c r="AE359">
        <v>0</v>
      </c>
      <c r="AP359" t="s">
        <v>169</v>
      </c>
    </row>
    <row r="360" spans="1:42">
      <c r="A360" s="1" t="s">
        <v>46</v>
      </c>
      <c r="B360" s="1" t="s">
        <v>842</v>
      </c>
      <c r="C360" s="1" t="s">
        <v>842</v>
      </c>
      <c r="E360" s="4" t="s">
        <v>843</v>
      </c>
      <c r="G360" s="16"/>
      <c r="M360">
        <v>1</v>
      </c>
      <c r="N360">
        <v>927</v>
      </c>
      <c r="O360">
        <v>0</v>
      </c>
      <c r="P360">
        <v>1</v>
      </c>
      <c r="Q360">
        <v>927</v>
      </c>
      <c r="R360" t="s">
        <v>783</v>
      </c>
      <c r="S360">
        <v>0</v>
      </c>
      <c r="T360" t="s">
        <v>52</v>
      </c>
      <c r="U360">
        <v>0</v>
      </c>
      <c r="V360">
        <v>0</v>
      </c>
      <c r="W360">
        <v>400194</v>
      </c>
      <c r="X360" t="s">
        <v>56</v>
      </c>
      <c r="Y360" t="s">
        <v>57</v>
      </c>
      <c r="AE360">
        <v>0</v>
      </c>
      <c r="AP360" t="s">
        <v>173</v>
      </c>
    </row>
    <row r="361" spans="1:42">
      <c r="A361" s="1" t="s">
        <v>46</v>
      </c>
      <c r="B361" s="1" t="s">
        <v>844</v>
      </c>
      <c r="C361" s="1" t="s">
        <v>844</v>
      </c>
      <c r="E361" s="4" t="s">
        <v>845</v>
      </c>
      <c r="G361" s="16"/>
      <c r="M361">
        <v>1</v>
      </c>
      <c r="N361">
        <v>2011</v>
      </c>
      <c r="O361">
        <v>0</v>
      </c>
      <c r="P361">
        <v>1.37</v>
      </c>
      <c r="Q361">
        <v>2755.07</v>
      </c>
      <c r="R361" t="s">
        <v>783</v>
      </c>
      <c r="S361">
        <v>0</v>
      </c>
      <c r="T361">
        <v>0</v>
      </c>
      <c r="U361">
        <v>0</v>
      </c>
      <c r="V361">
        <v>0</v>
      </c>
      <c r="W361">
        <v>400033</v>
      </c>
      <c r="X361" t="s">
        <v>56</v>
      </c>
      <c r="Y361" t="s">
        <v>57</v>
      </c>
      <c r="AE361">
        <v>0</v>
      </c>
      <c r="AP361" t="s">
        <v>126</v>
      </c>
    </row>
    <row r="362" spans="1:42">
      <c r="A362" s="1" t="s">
        <v>46</v>
      </c>
      <c r="B362" s="1" t="s">
        <v>846</v>
      </c>
      <c r="C362" s="1" t="s">
        <v>846</v>
      </c>
      <c r="E362" s="4" t="s">
        <v>847</v>
      </c>
      <c r="G362" s="16"/>
      <c r="M362">
        <v>1</v>
      </c>
      <c r="N362">
        <v>455</v>
      </c>
      <c r="O362">
        <v>0</v>
      </c>
      <c r="P362">
        <v>38</v>
      </c>
      <c r="Q362">
        <v>17290</v>
      </c>
      <c r="R362" t="s">
        <v>783</v>
      </c>
      <c r="S362">
        <v>0</v>
      </c>
      <c r="T362" t="s">
        <v>52</v>
      </c>
      <c r="U362">
        <v>0</v>
      </c>
      <c r="V362">
        <v>0</v>
      </c>
      <c r="W362">
        <v>410120</v>
      </c>
      <c r="X362" t="s">
        <v>56</v>
      </c>
      <c r="Y362" t="s">
        <v>57</v>
      </c>
      <c r="AE362">
        <v>0</v>
      </c>
      <c r="AP362" t="s">
        <v>112</v>
      </c>
    </row>
    <row r="363" spans="1:42">
      <c r="A363" s="1" t="s">
        <v>46</v>
      </c>
      <c r="B363" s="1" t="s">
        <v>848</v>
      </c>
      <c r="C363" s="1" t="s">
        <v>848</v>
      </c>
      <c r="E363" s="4" t="s">
        <v>849</v>
      </c>
      <c r="G363" s="16"/>
      <c r="M363">
        <v>1</v>
      </c>
      <c r="N363">
        <v>-658</v>
      </c>
      <c r="O363">
        <v>0</v>
      </c>
      <c r="P363">
        <v>300</v>
      </c>
      <c r="Q363">
        <v>-197400</v>
      </c>
      <c r="R363">
        <v>0</v>
      </c>
      <c r="S363">
        <v>0</v>
      </c>
      <c r="T363" t="s">
        <v>52</v>
      </c>
      <c r="AE363">
        <v>0</v>
      </c>
    </row>
    <row r="364" spans="1:42">
      <c r="A364" s="1" t="s">
        <v>46</v>
      </c>
      <c r="B364" s="1" t="s">
        <v>850</v>
      </c>
      <c r="C364" s="1" t="s">
        <v>850</v>
      </c>
      <c r="E364" s="4" t="s">
        <v>851</v>
      </c>
      <c r="G364" s="16"/>
      <c r="M364">
        <v>1</v>
      </c>
      <c r="N364">
        <v>324</v>
      </c>
      <c r="O364">
        <v>0</v>
      </c>
      <c r="P364">
        <v>1.89</v>
      </c>
      <c r="Q364">
        <v>612.16999999999996</v>
      </c>
      <c r="R364" t="s">
        <v>783</v>
      </c>
      <c r="S364">
        <v>0</v>
      </c>
      <c r="T364">
        <v>0</v>
      </c>
      <c r="U364">
        <v>0</v>
      </c>
      <c r="V364">
        <v>0</v>
      </c>
      <c r="W364">
        <v>400033</v>
      </c>
      <c r="X364" t="s">
        <v>56</v>
      </c>
      <c r="Y364" t="s">
        <v>57</v>
      </c>
      <c r="AE364">
        <v>0</v>
      </c>
      <c r="AP364" t="s">
        <v>126</v>
      </c>
    </row>
    <row r="365" spans="1:42">
      <c r="A365" s="1" t="s">
        <v>46</v>
      </c>
      <c r="B365" s="1" t="s">
        <v>852</v>
      </c>
      <c r="C365" s="1" t="s">
        <v>852</v>
      </c>
      <c r="E365" s="4" t="s">
        <v>853</v>
      </c>
      <c r="G365" s="16"/>
      <c r="M365">
        <v>1</v>
      </c>
      <c r="N365">
        <v>-6</v>
      </c>
      <c r="O365">
        <v>0</v>
      </c>
      <c r="P365">
        <v>1.9</v>
      </c>
      <c r="Q365">
        <v>-11.4</v>
      </c>
      <c r="R365" t="s">
        <v>783</v>
      </c>
      <c r="S365">
        <v>0</v>
      </c>
      <c r="T365">
        <v>0</v>
      </c>
      <c r="U365">
        <v>0</v>
      </c>
      <c r="V365">
        <v>0</v>
      </c>
      <c r="W365">
        <v>400194</v>
      </c>
      <c r="AE365">
        <v>0</v>
      </c>
      <c r="AP365" t="s">
        <v>173</v>
      </c>
    </row>
    <row r="366" spans="1:42">
      <c r="A366" s="1" t="s">
        <v>46</v>
      </c>
      <c r="B366" s="1" t="s">
        <v>854</v>
      </c>
      <c r="C366" s="1" t="s">
        <v>854</v>
      </c>
      <c r="E366" s="4" t="s">
        <v>855</v>
      </c>
      <c r="G366" s="16"/>
      <c r="M366">
        <v>1</v>
      </c>
      <c r="N366">
        <v>2062</v>
      </c>
      <c r="O366">
        <v>0</v>
      </c>
      <c r="P366">
        <v>0.8</v>
      </c>
      <c r="Q366">
        <v>1649.6</v>
      </c>
      <c r="R366" t="s">
        <v>783</v>
      </c>
      <c r="S366">
        <v>0</v>
      </c>
      <c r="T366" t="s">
        <v>52</v>
      </c>
      <c r="U366">
        <v>0</v>
      </c>
      <c r="V366">
        <v>0</v>
      </c>
      <c r="W366">
        <v>400033</v>
      </c>
      <c r="AE366">
        <v>0</v>
      </c>
      <c r="AP366" t="s">
        <v>126</v>
      </c>
    </row>
    <row r="367" spans="1:42">
      <c r="A367" s="1" t="s">
        <v>46</v>
      </c>
      <c r="B367" s="1" t="s">
        <v>856</v>
      </c>
      <c r="C367" s="1" t="s">
        <v>856</v>
      </c>
      <c r="E367" s="4" t="s">
        <v>857</v>
      </c>
      <c r="G367" s="16"/>
      <c r="M367">
        <v>1</v>
      </c>
      <c r="N367">
        <v>5964</v>
      </c>
      <c r="O367">
        <v>0</v>
      </c>
      <c r="P367">
        <v>0.85</v>
      </c>
      <c r="Q367">
        <v>5069.3999999999996</v>
      </c>
      <c r="R367" t="s">
        <v>783</v>
      </c>
      <c r="S367">
        <v>0</v>
      </c>
      <c r="T367" t="s">
        <v>52</v>
      </c>
      <c r="U367">
        <v>0</v>
      </c>
      <c r="V367">
        <v>0</v>
      </c>
      <c r="W367">
        <v>400035</v>
      </c>
      <c r="X367" t="s">
        <v>56</v>
      </c>
      <c r="Y367" t="s">
        <v>57</v>
      </c>
      <c r="AE367">
        <v>0</v>
      </c>
      <c r="AP367" t="s">
        <v>784</v>
      </c>
    </row>
    <row r="368" spans="1:42">
      <c r="A368" s="1" t="s">
        <v>46</v>
      </c>
      <c r="B368" s="1" t="s">
        <v>858</v>
      </c>
      <c r="C368" s="1" t="s">
        <v>858</v>
      </c>
      <c r="E368" s="4" t="s">
        <v>859</v>
      </c>
      <c r="G368" s="16"/>
      <c r="M368">
        <v>1</v>
      </c>
      <c r="N368">
        <v>205</v>
      </c>
      <c r="O368">
        <v>0</v>
      </c>
      <c r="P368">
        <v>1.1499999999999999</v>
      </c>
      <c r="Q368">
        <v>235.75</v>
      </c>
      <c r="R368" t="s">
        <v>783</v>
      </c>
      <c r="S368">
        <v>0</v>
      </c>
      <c r="T368" t="s">
        <v>52</v>
      </c>
      <c r="U368">
        <v>0</v>
      </c>
      <c r="V368">
        <v>0</v>
      </c>
      <c r="W368">
        <v>400033</v>
      </c>
      <c r="AE368">
        <v>0</v>
      </c>
      <c r="AP368" t="s">
        <v>126</v>
      </c>
    </row>
    <row r="369" spans="1:42">
      <c r="A369" s="1" t="s">
        <v>46</v>
      </c>
      <c r="B369" s="1" t="s">
        <v>860</v>
      </c>
      <c r="C369" s="1" t="s">
        <v>860</v>
      </c>
      <c r="E369" s="4" t="s">
        <v>861</v>
      </c>
      <c r="G369" s="16"/>
      <c r="M369">
        <v>1</v>
      </c>
      <c r="N369">
        <v>1185</v>
      </c>
      <c r="O369">
        <v>0</v>
      </c>
      <c r="P369">
        <v>1.43</v>
      </c>
      <c r="Q369">
        <v>1698.1</v>
      </c>
      <c r="R369" t="s">
        <v>783</v>
      </c>
      <c r="S369">
        <v>0</v>
      </c>
      <c r="T369" t="s">
        <v>52</v>
      </c>
      <c r="U369">
        <v>0</v>
      </c>
      <c r="V369">
        <v>0</v>
      </c>
      <c r="W369">
        <v>400203</v>
      </c>
      <c r="X369" t="s">
        <v>56</v>
      </c>
      <c r="Y369" t="s">
        <v>57</v>
      </c>
      <c r="AE369">
        <v>0</v>
      </c>
      <c r="AP369" t="s">
        <v>837</v>
      </c>
    </row>
    <row r="370" spans="1:42">
      <c r="A370" s="1" t="s">
        <v>46</v>
      </c>
      <c r="B370" s="1" t="s">
        <v>862</v>
      </c>
      <c r="C370" s="1" t="s">
        <v>862</v>
      </c>
      <c r="E370" s="4" t="s">
        <v>863</v>
      </c>
      <c r="G370" s="16"/>
      <c r="M370">
        <v>1</v>
      </c>
      <c r="N370">
        <v>8</v>
      </c>
      <c r="O370">
        <v>0</v>
      </c>
      <c r="P370">
        <v>1.53</v>
      </c>
      <c r="Q370">
        <v>12.24</v>
      </c>
      <c r="R370" t="s">
        <v>783</v>
      </c>
      <c r="S370">
        <v>0</v>
      </c>
      <c r="T370" t="s">
        <v>52</v>
      </c>
      <c r="U370">
        <v>0</v>
      </c>
      <c r="V370">
        <v>0</v>
      </c>
      <c r="W370">
        <v>400035</v>
      </c>
      <c r="AE370">
        <v>0</v>
      </c>
      <c r="AP370" t="s">
        <v>784</v>
      </c>
    </row>
    <row r="371" spans="1:42">
      <c r="A371" s="1" t="s">
        <v>46</v>
      </c>
      <c r="B371" s="1" t="s">
        <v>864</v>
      </c>
      <c r="C371" s="1" t="s">
        <v>864</v>
      </c>
      <c r="E371" s="4" t="s">
        <v>865</v>
      </c>
      <c r="G371" s="16"/>
      <c r="M371">
        <v>1</v>
      </c>
      <c r="N371">
        <v>142</v>
      </c>
      <c r="O371">
        <v>0</v>
      </c>
      <c r="P371">
        <v>1.75</v>
      </c>
      <c r="Q371">
        <v>248.5</v>
      </c>
      <c r="R371" t="s">
        <v>783</v>
      </c>
      <c r="S371">
        <v>0</v>
      </c>
      <c r="T371">
        <v>0</v>
      </c>
      <c r="U371">
        <v>0</v>
      </c>
      <c r="V371">
        <v>0</v>
      </c>
      <c r="W371">
        <v>400033</v>
      </c>
      <c r="X371" t="s">
        <v>56</v>
      </c>
      <c r="Y371" t="s">
        <v>57</v>
      </c>
      <c r="AE371">
        <v>0</v>
      </c>
      <c r="AP371" t="s">
        <v>126</v>
      </c>
    </row>
    <row r="372" spans="1:42">
      <c r="A372" s="1" t="s">
        <v>46</v>
      </c>
      <c r="B372" s="1" t="s">
        <v>866</v>
      </c>
      <c r="C372" s="1" t="s">
        <v>866</v>
      </c>
      <c r="E372" s="4" t="s">
        <v>867</v>
      </c>
      <c r="G372" s="16">
        <v>1.5</v>
      </c>
      <c r="M372">
        <v>1</v>
      </c>
      <c r="N372">
        <v>818</v>
      </c>
      <c r="O372">
        <v>0</v>
      </c>
      <c r="P372">
        <v>1.25</v>
      </c>
      <c r="Q372">
        <v>1022.5</v>
      </c>
      <c r="R372" t="s">
        <v>783</v>
      </c>
      <c r="S372">
        <v>0</v>
      </c>
      <c r="T372">
        <v>0</v>
      </c>
      <c r="U372">
        <v>0</v>
      </c>
      <c r="V372">
        <v>0</v>
      </c>
      <c r="W372">
        <v>400033</v>
      </c>
      <c r="X372" t="s">
        <v>56</v>
      </c>
      <c r="Y372" t="s">
        <v>57</v>
      </c>
      <c r="AE372">
        <v>0</v>
      </c>
      <c r="AP372" t="s">
        <v>126</v>
      </c>
    </row>
    <row r="373" spans="1:42">
      <c r="A373" s="1" t="s">
        <v>46</v>
      </c>
      <c r="B373" s="1" t="s">
        <v>868</v>
      </c>
      <c r="C373" s="1" t="s">
        <v>868</v>
      </c>
      <c r="E373" s="4" t="s">
        <v>869</v>
      </c>
      <c r="G373" s="16"/>
      <c r="M373">
        <v>1</v>
      </c>
      <c r="N373">
        <v>582</v>
      </c>
      <c r="O373">
        <v>0</v>
      </c>
      <c r="P373">
        <v>1.25</v>
      </c>
      <c r="Q373">
        <v>727.5</v>
      </c>
      <c r="R373" t="s">
        <v>783</v>
      </c>
      <c r="S373">
        <v>0</v>
      </c>
      <c r="T373" t="s">
        <v>52</v>
      </c>
      <c r="U373">
        <v>0</v>
      </c>
      <c r="V373">
        <v>0</v>
      </c>
      <c r="W373">
        <v>400033</v>
      </c>
      <c r="X373" t="s">
        <v>56</v>
      </c>
      <c r="Y373" t="s">
        <v>57</v>
      </c>
      <c r="AE373">
        <v>0</v>
      </c>
      <c r="AP373" t="s">
        <v>126</v>
      </c>
    </row>
    <row r="374" spans="1:42">
      <c r="A374" s="1" t="s">
        <v>46</v>
      </c>
      <c r="B374" s="1" t="s">
        <v>870</v>
      </c>
      <c r="C374" s="1" t="s">
        <v>870</v>
      </c>
      <c r="E374" s="4" t="s">
        <v>871</v>
      </c>
      <c r="G374" s="16"/>
      <c r="M374">
        <v>1</v>
      </c>
      <c r="N374">
        <v>2000</v>
      </c>
      <c r="O374">
        <v>0</v>
      </c>
      <c r="P374" s="2">
        <v>3.0000000000000001E-3</v>
      </c>
      <c r="Q374">
        <v>6</v>
      </c>
      <c r="W374">
        <v>400068</v>
      </c>
      <c r="AE374">
        <v>0</v>
      </c>
      <c r="AP374" t="s">
        <v>872</v>
      </c>
    </row>
    <row r="375" spans="1:42">
      <c r="A375" s="1" t="s">
        <v>46</v>
      </c>
      <c r="B375" s="1" t="s">
        <v>873</v>
      </c>
      <c r="C375" s="1" t="s">
        <v>873</v>
      </c>
      <c r="E375" s="4" t="s">
        <v>874</v>
      </c>
      <c r="G375" s="16"/>
      <c r="M375">
        <v>1</v>
      </c>
      <c r="N375">
        <v>2</v>
      </c>
      <c r="O375">
        <v>0</v>
      </c>
      <c r="P375">
        <v>12.56</v>
      </c>
      <c r="Q375">
        <v>25.12</v>
      </c>
      <c r="R375" t="s">
        <v>579</v>
      </c>
      <c r="S375">
        <v>0</v>
      </c>
      <c r="T375" t="s">
        <v>52</v>
      </c>
      <c r="U375">
        <v>0</v>
      </c>
      <c r="V375">
        <v>0</v>
      </c>
      <c r="W375">
        <v>400013</v>
      </c>
      <c r="AE375">
        <v>0</v>
      </c>
      <c r="AP375" t="s">
        <v>232</v>
      </c>
    </row>
    <row r="376" spans="1:42">
      <c r="A376" s="1" t="s">
        <v>46</v>
      </c>
      <c r="B376" s="1" t="s">
        <v>875</v>
      </c>
      <c r="C376" s="1" t="s">
        <v>875</v>
      </c>
      <c r="E376" s="4" t="s">
        <v>876</v>
      </c>
      <c r="G376" s="16"/>
      <c r="M376">
        <v>1</v>
      </c>
      <c r="N376">
        <v>8</v>
      </c>
      <c r="O376">
        <v>0</v>
      </c>
      <c r="P376">
        <v>15.09</v>
      </c>
      <c r="Q376">
        <v>120.73</v>
      </c>
      <c r="R376" t="s">
        <v>579</v>
      </c>
      <c r="S376">
        <v>0</v>
      </c>
      <c r="T376">
        <v>0</v>
      </c>
      <c r="U376">
        <v>0</v>
      </c>
      <c r="V376">
        <v>0</v>
      </c>
      <c r="W376">
        <v>400013</v>
      </c>
      <c r="X376" t="s">
        <v>56</v>
      </c>
      <c r="Y376" t="s">
        <v>57</v>
      </c>
      <c r="AE376">
        <v>0</v>
      </c>
      <c r="AP376" t="s">
        <v>232</v>
      </c>
    </row>
    <row r="377" spans="1:42">
      <c r="A377" s="1" t="s">
        <v>46</v>
      </c>
      <c r="B377" s="1" t="s">
        <v>877</v>
      </c>
      <c r="C377" s="1" t="s">
        <v>877</v>
      </c>
      <c r="E377" s="4" t="s">
        <v>878</v>
      </c>
      <c r="G377" s="16"/>
      <c r="M377">
        <v>1</v>
      </c>
      <c r="N377">
        <v>6</v>
      </c>
      <c r="O377">
        <v>0</v>
      </c>
      <c r="P377">
        <v>0.9</v>
      </c>
      <c r="Q377">
        <v>5.4</v>
      </c>
      <c r="R377">
        <v>0</v>
      </c>
      <c r="S377">
        <v>0</v>
      </c>
      <c r="T377" t="s">
        <v>17</v>
      </c>
      <c r="W377">
        <v>400002</v>
      </c>
      <c r="AE377">
        <v>0</v>
      </c>
      <c r="AP377" t="s">
        <v>116</v>
      </c>
    </row>
    <row r="378" spans="1:42">
      <c r="A378" s="1" t="s">
        <v>46</v>
      </c>
      <c r="B378" s="1" t="s">
        <v>879</v>
      </c>
      <c r="C378" s="1" t="s">
        <v>879</v>
      </c>
      <c r="E378" s="4" t="s">
        <v>880</v>
      </c>
      <c r="G378" s="16"/>
      <c r="M378">
        <v>1</v>
      </c>
      <c r="N378">
        <v>1</v>
      </c>
      <c r="O378">
        <v>0</v>
      </c>
      <c r="P378">
        <v>5.98</v>
      </c>
      <c r="Q378">
        <v>5.98</v>
      </c>
      <c r="R378" t="s">
        <v>579</v>
      </c>
      <c r="S378">
        <v>0</v>
      </c>
      <c r="T378">
        <v>0</v>
      </c>
      <c r="U378">
        <v>0</v>
      </c>
      <c r="V378">
        <v>0</v>
      </c>
      <c r="W378">
        <v>400013</v>
      </c>
      <c r="AE378">
        <v>0</v>
      </c>
      <c r="AP378" t="s">
        <v>232</v>
      </c>
    </row>
    <row r="379" spans="1:42">
      <c r="A379" s="1" t="s">
        <v>46</v>
      </c>
      <c r="B379" s="1" t="s">
        <v>881</v>
      </c>
      <c r="C379" s="1" t="s">
        <v>881</v>
      </c>
      <c r="E379" s="4" t="s">
        <v>882</v>
      </c>
      <c r="G379" s="16"/>
      <c r="M379">
        <v>1</v>
      </c>
      <c r="N379">
        <v>3</v>
      </c>
      <c r="O379">
        <v>0</v>
      </c>
      <c r="P379">
        <v>21</v>
      </c>
      <c r="Q379">
        <v>63</v>
      </c>
      <c r="R379">
        <v>0</v>
      </c>
      <c r="S379">
        <v>0</v>
      </c>
      <c r="T379" t="s">
        <v>52</v>
      </c>
      <c r="W379">
        <v>400121</v>
      </c>
      <c r="AE379">
        <v>0</v>
      </c>
      <c r="AP379" t="s">
        <v>123</v>
      </c>
    </row>
    <row r="380" spans="1:42">
      <c r="A380" s="1" t="s">
        <v>46</v>
      </c>
      <c r="B380" s="1" t="s">
        <v>883</v>
      </c>
      <c r="C380" s="1" t="s">
        <v>883</v>
      </c>
      <c r="E380" s="4" t="s">
        <v>884</v>
      </c>
      <c r="G380" s="16"/>
      <c r="I380">
        <v>9.5</v>
      </c>
      <c r="M380">
        <v>1</v>
      </c>
      <c r="N380">
        <v>-0.7</v>
      </c>
      <c r="O380">
        <v>0</v>
      </c>
      <c r="P380">
        <v>40.369999999999997</v>
      </c>
      <c r="Q380">
        <v>-28.26</v>
      </c>
      <c r="R380" t="s">
        <v>579</v>
      </c>
      <c r="S380">
        <v>0</v>
      </c>
      <c r="T380" t="s">
        <v>209</v>
      </c>
      <c r="U380">
        <v>0</v>
      </c>
      <c r="V380">
        <v>0</v>
      </c>
      <c r="W380">
        <v>400195</v>
      </c>
      <c r="AE380">
        <v>0</v>
      </c>
      <c r="AH380">
        <v>9.5</v>
      </c>
      <c r="AP380" t="s">
        <v>380</v>
      </c>
    </row>
    <row r="381" spans="1:42">
      <c r="A381" s="1" t="s">
        <v>46</v>
      </c>
      <c r="B381" s="1" t="s">
        <v>885</v>
      </c>
      <c r="C381" s="1" t="s">
        <v>885</v>
      </c>
      <c r="E381" s="4" t="s">
        <v>886</v>
      </c>
      <c r="G381" s="16"/>
      <c r="M381">
        <v>1</v>
      </c>
      <c r="N381">
        <v>-31</v>
      </c>
      <c r="O381">
        <v>0</v>
      </c>
      <c r="P381">
        <v>3.45</v>
      </c>
      <c r="Q381">
        <v>-106.95</v>
      </c>
      <c r="R381" t="s">
        <v>579</v>
      </c>
      <c r="S381">
        <v>0</v>
      </c>
      <c r="T381">
        <v>0</v>
      </c>
      <c r="U381">
        <v>0</v>
      </c>
      <c r="V381">
        <v>0</v>
      </c>
      <c r="W381">
        <v>400112</v>
      </c>
      <c r="AE381">
        <v>0</v>
      </c>
      <c r="AP381" t="s">
        <v>220</v>
      </c>
    </row>
    <row r="382" spans="1:42">
      <c r="A382" s="1" t="s">
        <v>46</v>
      </c>
      <c r="B382" s="1" t="s">
        <v>887</v>
      </c>
      <c r="C382" s="1" t="s">
        <v>887</v>
      </c>
      <c r="E382" s="4" t="s">
        <v>888</v>
      </c>
      <c r="G382" s="16"/>
      <c r="I382">
        <v>15</v>
      </c>
      <c r="M382">
        <v>1</v>
      </c>
      <c r="N382">
        <v>-10</v>
      </c>
      <c r="O382">
        <v>0</v>
      </c>
      <c r="R382" t="s">
        <v>579</v>
      </c>
      <c r="S382">
        <v>0</v>
      </c>
      <c r="T382">
        <v>0</v>
      </c>
      <c r="U382">
        <v>0</v>
      </c>
      <c r="V382">
        <v>0</v>
      </c>
      <c r="AE382">
        <v>0</v>
      </c>
      <c r="AH382">
        <v>15</v>
      </c>
    </row>
    <row r="383" spans="1:42">
      <c r="A383" s="1" t="s">
        <v>46</v>
      </c>
      <c r="B383" s="1" t="s">
        <v>889</v>
      </c>
      <c r="C383" s="1" t="s">
        <v>889</v>
      </c>
      <c r="E383" s="4" t="s">
        <v>890</v>
      </c>
      <c r="G383" s="16"/>
      <c r="M383">
        <v>1</v>
      </c>
      <c r="N383">
        <v>-10</v>
      </c>
      <c r="O383">
        <v>0</v>
      </c>
      <c r="P383">
        <v>7.94</v>
      </c>
      <c r="Q383">
        <v>-79.42</v>
      </c>
      <c r="R383" t="s">
        <v>579</v>
      </c>
      <c r="S383">
        <v>0</v>
      </c>
      <c r="T383" t="s">
        <v>52</v>
      </c>
      <c r="U383">
        <v>0</v>
      </c>
      <c r="V383">
        <v>0</v>
      </c>
      <c r="W383">
        <v>400013</v>
      </c>
      <c r="X383" t="s">
        <v>56</v>
      </c>
      <c r="Y383" t="s">
        <v>57</v>
      </c>
      <c r="AE383">
        <v>0</v>
      </c>
      <c r="AP383" t="s">
        <v>232</v>
      </c>
    </row>
    <row r="384" spans="1:42">
      <c r="A384" s="1" t="s">
        <v>46</v>
      </c>
      <c r="B384" s="1" t="s">
        <v>891</v>
      </c>
      <c r="C384" s="1" t="s">
        <v>891</v>
      </c>
      <c r="E384" s="4" t="s">
        <v>892</v>
      </c>
      <c r="G384" s="16">
        <v>1.5</v>
      </c>
      <c r="I384">
        <v>18</v>
      </c>
      <c r="M384">
        <v>1</v>
      </c>
      <c r="N384">
        <v>20</v>
      </c>
      <c r="O384">
        <v>0</v>
      </c>
      <c r="P384">
        <v>6.55</v>
      </c>
      <c r="Q384">
        <v>131.09</v>
      </c>
      <c r="R384" t="s">
        <v>579</v>
      </c>
      <c r="S384">
        <v>0</v>
      </c>
      <c r="T384" t="s">
        <v>52</v>
      </c>
      <c r="U384">
        <v>0</v>
      </c>
      <c r="V384">
        <v>0</v>
      </c>
      <c r="W384">
        <v>400013</v>
      </c>
      <c r="AE384">
        <v>0</v>
      </c>
      <c r="AH384">
        <v>18</v>
      </c>
      <c r="AP384" t="s">
        <v>232</v>
      </c>
    </row>
    <row r="385" spans="1:42">
      <c r="A385" s="1" t="s">
        <v>46</v>
      </c>
      <c r="B385" s="1" t="s">
        <v>893</v>
      </c>
      <c r="C385" s="1" t="s">
        <v>893</v>
      </c>
      <c r="E385" s="4" t="s">
        <v>894</v>
      </c>
      <c r="G385" s="16"/>
      <c r="I385">
        <v>40</v>
      </c>
      <c r="M385">
        <v>1</v>
      </c>
      <c r="N385">
        <v>40</v>
      </c>
      <c r="O385">
        <v>0</v>
      </c>
      <c r="P385">
        <v>11.09</v>
      </c>
      <c r="Q385">
        <v>443.54</v>
      </c>
      <c r="R385" t="s">
        <v>579</v>
      </c>
      <c r="S385">
        <v>0</v>
      </c>
      <c r="T385" t="s">
        <v>52</v>
      </c>
      <c r="U385">
        <v>0</v>
      </c>
      <c r="V385">
        <v>0</v>
      </c>
      <c r="W385">
        <v>400013</v>
      </c>
      <c r="AE385">
        <v>0</v>
      </c>
      <c r="AH385">
        <v>40</v>
      </c>
      <c r="AP385" t="s">
        <v>232</v>
      </c>
    </row>
    <row r="386" spans="1:42">
      <c r="A386" s="1" t="s">
        <v>46</v>
      </c>
      <c r="B386" s="1" t="s">
        <v>895</v>
      </c>
      <c r="C386" s="1" t="s">
        <v>895</v>
      </c>
      <c r="E386" s="4" t="s">
        <v>896</v>
      </c>
      <c r="G386" s="16"/>
      <c r="I386">
        <v>22</v>
      </c>
      <c r="M386">
        <v>1</v>
      </c>
      <c r="N386">
        <v>6</v>
      </c>
      <c r="O386">
        <v>0</v>
      </c>
      <c r="P386">
        <v>4.8</v>
      </c>
      <c r="Q386">
        <v>28.82</v>
      </c>
      <c r="R386" t="s">
        <v>579</v>
      </c>
      <c r="S386">
        <v>0</v>
      </c>
      <c r="T386" t="s">
        <v>52</v>
      </c>
      <c r="U386">
        <v>0</v>
      </c>
      <c r="V386">
        <v>0</v>
      </c>
      <c r="W386">
        <v>400013</v>
      </c>
      <c r="AE386">
        <v>0</v>
      </c>
      <c r="AH386">
        <v>22</v>
      </c>
      <c r="AP386" t="s">
        <v>232</v>
      </c>
    </row>
    <row r="387" spans="1:42">
      <c r="A387" s="1" t="s">
        <v>46</v>
      </c>
      <c r="B387" s="1" t="s">
        <v>897</v>
      </c>
      <c r="C387" s="1" t="s">
        <v>897</v>
      </c>
      <c r="E387" s="4" t="s">
        <v>898</v>
      </c>
      <c r="G387" s="16"/>
      <c r="M387">
        <v>1</v>
      </c>
      <c r="N387">
        <v>125</v>
      </c>
      <c r="O387">
        <v>0</v>
      </c>
      <c r="P387">
        <v>3.5</v>
      </c>
      <c r="Q387">
        <v>437.5</v>
      </c>
      <c r="R387" t="s">
        <v>579</v>
      </c>
      <c r="S387">
        <v>0</v>
      </c>
      <c r="T387" t="s">
        <v>52</v>
      </c>
      <c r="U387">
        <v>0</v>
      </c>
      <c r="V387">
        <v>0</v>
      </c>
      <c r="W387">
        <v>400112</v>
      </c>
      <c r="AE387">
        <v>0</v>
      </c>
      <c r="AP387" t="s">
        <v>220</v>
      </c>
    </row>
    <row r="388" spans="1:42">
      <c r="A388" s="1" t="s">
        <v>46</v>
      </c>
      <c r="B388" s="1" t="s">
        <v>899</v>
      </c>
      <c r="C388" s="1" t="s">
        <v>899</v>
      </c>
      <c r="E388" s="4" t="s">
        <v>900</v>
      </c>
      <c r="G388" s="16"/>
      <c r="M388">
        <v>1</v>
      </c>
      <c r="N388">
        <v>29</v>
      </c>
      <c r="O388">
        <v>0</v>
      </c>
      <c r="P388">
        <v>5.31</v>
      </c>
      <c r="Q388">
        <v>154.06</v>
      </c>
      <c r="R388" t="s">
        <v>579</v>
      </c>
      <c r="S388">
        <v>0</v>
      </c>
      <c r="T388" t="s">
        <v>52</v>
      </c>
      <c r="U388">
        <v>0</v>
      </c>
      <c r="V388">
        <v>0</v>
      </c>
      <c r="W388">
        <v>400013</v>
      </c>
      <c r="AE388">
        <v>0</v>
      </c>
      <c r="AP388" t="s">
        <v>232</v>
      </c>
    </row>
    <row r="389" spans="1:42">
      <c r="A389" s="1" t="s">
        <v>46</v>
      </c>
      <c r="B389" s="1" t="s">
        <v>901</v>
      </c>
      <c r="C389" s="1" t="s">
        <v>901</v>
      </c>
      <c r="E389" s="4" t="s">
        <v>902</v>
      </c>
      <c r="G389" s="16"/>
      <c r="M389">
        <v>1</v>
      </c>
      <c r="N389">
        <v>209</v>
      </c>
      <c r="O389">
        <v>0</v>
      </c>
      <c r="P389">
        <v>0.4</v>
      </c>
      <c r="Q389">
        <v>83.6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400158</v>
      </c>
      <c r="X389" t="s">
        <v>56</v>
      </c>
      <c r="Y389" t="s">
        <v>57</v>
      </c>
      <c r="AE389">
        <v>0</v>
      </c>
      <c r="AP389" t="s">
        <v>61</v>
      </c>
    </row>
    <row r="390" spans="1:42">
      <c r="A390" s="1" t="s">
        <v>46</v>
      </c>
      <c r="B390" s="1" t="s">
        <v>903</v>
      </c>
      <c r="C390" s="1" t="s">
        <v>903</v>
      </c>
      <c r="E390" s="4" t="s">
        <v>904</v>
      </c>
      <c r="G390" s="16">
        <v>25</v>
      </c>
      <c r="M390">
        <v>1</v>
      </c>
      <c r="N390">
        <v>-1</v>
      </c>
      <c r="O390">
        <v>0</v>
      </c>
      <c r="R390" t="s">
        <v>579</v>
      </c>
      <c r="S390">
        <v>0</v>
      </c>
      <c r="T390" t="s">
        <v>52</v>
      </c>
      <c r="AE390">
        <v>0</v>
      </c>
    </row>
    <row r="391" spans="1:42">
      <c r="A391" s="1" t="s">
        <v>46</v>
      </c>
      <c r="B391" s="1" t="s">
        <v>905</v>
      </c>
      <c r="C391" s="1" t="s">
        <v>905</v>
      </c>
      <c r="E391" s="4" t="s">
        <v>906</v>
      </c>
      <c r="G391" s="16">
        <v>2</v>
      </c>
      <c r="M391">
        <v>1</v>
      </c>
      <c r="N391">
        <v>929</v>
      </c>
      <c r="O391">
        <v>0</v>
      </c>
      <c r="P391">
        <v>2</v>
      </c>
      <c r="Q391">
        <v>1858</v>
      </c>
      <c r="R391" t="s">
        <v>783</v>
      </c>
      <c r="S391">
        <v>0</v>
      </c>
      <c r="T391">
        <v>0</v>
      </c>
      <c r="U391">
        <v>0</v>
      </c>
      <c r="V391">
        <v>0</v>
      </c>
      <c r="W391">
        <v>400033</v>
      </c>
      <c r="X391" t="s">
        <v>56</v>
      </c>
      <c r="Y391" t="s">
        <v>57</v>
      </c>
      <c r="AE391">
        <v>0</v>
      </c>
      <c r="AP391" t="s">
        <v>126</v>
      </c>
    </row>
    <row r="392" spans="1:42" ht="15.6">
      <c r="A392" s="1" t="s">
        <v>46</v>
      </c>
      <c r="B392" s="1" t="s">
        <v>907</v>
      </c>
      <c r="C392" s="1" t="s">
        <v>907</v>
      </c>
      <c r="E392" s="13" t="s">
        <v>908</v>
      </c>
      <c r="G392" s="16"/>
      <c r="M392">
        <v>1</v>
      </c>
      <c r="N392">
        <v>39</v>
      </c>
      <c r="O392">
        <v>0</v>
      </c>
      <c r="P392">
        <v>30</v>
      </c>
      <c r="Q392">
        <v>1170</v>
      </c>
      <c r="W392">
        <v>400111</v>
      </c>
      <c r="AE392">
        <v>0</v>
      </c>
      <c r="AP392" t="s">
        <v>646</v>
      </c>
    </row>
    <row r="393" spans="1:42" ht="15.6">
      <c r="A393" s="1" t="s">
        <v>46</v>
      </c>
      <c r="B393" s="1" t="s">
        <v>909</v>
      </c>
      <c r="C393" s="1" t="s">
        <v>909</v>
      </c>
      <c r="E393" s="13" t="s">
        <v>910</v>
      </c>
      <c r="G393" s="16"/>
      <c r="M393">
        <v>1</v>
      </c>
      <c r="N393">
        <v>1</v>
      </c>
      <c r="O393">
        <v>0</v>
      </c>
      <c r="P393">
        <v>209.79</v>
      </c>
      <c r="Q393">
        <v>209.79</v>
      </c>
      <c r="R393">
        <v>0</v>
      </c>
      <c r="S393">
        <v>0</v>
      </c>
      <c r="T393" t="s">
        <v>52</v>
      </c>
      <c r="W393">
        <v>400110</v>
      </c>
      <c r="AE393">
        <v>0</v>
      </c>
      <c r="AP393" t="s">
        <v>344</v>
      </c>
    </row>
    <row r="394" spans="1:42" ht="15.6">
      <c r="A394" s="1" t="s">
        <v>46</v>
      </c>
      <c r="B394" s="1" t="s">
        <v>911</v>
      </c>
      <c r="C394" s="1" t="s">
        <v>911</v>
      </c>
      <c r="E394" s="13" t="s">
        <v>912</v>
      </c>
      <c r="G394" s="16"/>
      <c r="M394">
        <v>1</v>
      </c>
      <c r="N394">
        <v>27</v>
      </c>
      <c r="O394">
        <v>0</v>
      </c>
      <c r="P394">
        <v>38</v>
      </c>
      <c r="Q394">
        <v>1026</v>
      </c>
      <c r="W394">
        <v>400194</v>
      </c>
      <c r="AE394">
        <v>0</v>
      </c>
      <c r="AP394" t="s">
        <v>173</v>
      </c>
    </row>
    <row r="395" spans="1:42" ht="15.6">
      <c r="E395" s="13" t="s">
        <v>913</v>
      </c>
      <c r="G395" s="16"/>
    </row>
    <row r="396" spans="1:42" ht="15.6">
      <c r="E396" s="13" t="s">
        <v>914</v>
      </c>
      <c r="G396" s="16"/>
    </row>
    <row r="397" spans="1:42" ht="15.6">
      <c r="E397" s="13" t="s">
        <v>915</v>
      </c>
      <c r="G397" s="16"/>
    </row>
    <row r="398" spans="1:42">
      <c r="A398" s="1" t="s">
        <v>46</v>
      </c>
      <c r="B398" s="1" t="s">
        <v>916</v>
      </c>
      <c r="C398" s="1" t="s">
        <v>916</v>
      </c>
      <c r="E398" s="4" t="s">
        <v>917</v>
      </c>
      <c r="G398" s="16"/>
      <c r="M398">
        <v>1</v>
      </c>
      <c r="N398">
        <v>-58</v>
      </c>
      <c r="O398">
        <v>0</v>
      </c>
      <c r="P398">
        <v>0.88</v>
      </c>
      <c r="Q398">
        <v>-51.04</v>
      </c>
      <c r="R398" t="s">
        <v>783</v>
      </c>
      <c r="S398">
        <v>0</v>
      </c>
      <c r="T398">
        <v>0</v>
      </c>
      <c r="U398">
        <v>0</v>
      </c>
      <c r="V398">
        <v>0</v>
      </c>
      <c r="W398">
        <v>410120</v>
      </c>
      <c r="AE398">
        <v>0</v>
      </c>
      <c r="AP398" t="s">
        <v>112</v>
      </c>
    </row>
    <row r="399" spans="1:42">
      <c r="A399" s="1" t="s">
        <v>46</v>
      </c>
      <c r="B399" s="1" t="s">
        <v>918</v>
      </c>
      <c r="C399" s="1" t="s">
        <v>918</v>
      </c>
      <c r="E399" s="4" t="s">
        <v>919</v>
      </c>
      <c r="G399" s="16"/>
      <c r="M399">
        <v>1</v>
      </c>
      <c r="N399">
        <v>790</v>
      </c>
      <c r="O399">
        <v>0</v>
      </c>
      <c r="P399">
        <v>0.95</v>
      </c>
      <c r="Q399">
        <v>750.5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400035</v>
      </c>
      <c r="AE399">
        <v>0</v>
      </c>
      <c r="AP399" t="s">
        <v>784</v>
      </c>
    </row>
    <row r="400" spans="1:42">
      <c r="A400" s="1" t="s">
        <v>46</v>
      </c>
      <c r="B400" s="1" t="s">
        <v>920</v>
      </c>
      <c r="C400" s="1" t="s">
        <v>920</v>
      </c>
      <c r="E400" s="4" t="s">
        <v>921</v>
      </c>
      <c r="G400" s="16"/>
      <c r="M400">
        <v>1</v>
      </c>
      <c r="N400">
        <v>200</v>
      </c>
      <c r="O400">
        <v>0</v>
      </c>
      <c r="P400">
        <v>0.59</v>
      </c>
      <c r="Q400">
        <v>118.88</v>
      </c>
      <c r="R400">
        <v>0</v>
      </c>
      <c r="S400">
        <v>0</v>
      </c>
      <c r="T400" t="s">
        <v>17</v>
      </c>
      <c r="U400">
        <v>0</v>
      </c>
      <c r="V400">
        <v>0</v>
      </c>
      <c r="W400">
        <v>400125</v>
      </c>
      <c r="AE400">
        <v>0</v>
      </c>
      <c r="AP400" t="s">
        <v>184</v>
      </c>
    </row>
    <row r="401" spans="1:42">
      <c r="A401" s="1" t="s">
        <v>46</v>
      </c>
      <c r="B401" s="1" t="s">
        <v>922</v>
      </c>
      <c r="C401" s="1" t="s">
        <v>922</v>
      </c>
      <c r="E401" s="4" t="s">
        <v>923</v>
      </c>
      <c r="G401" s="16"/>
      <c r="I401">
        <v>1.2</v>
      </c>
      <c r="M401">
        <v>1</v>
      </c>
      <c r="N401">
        <v>687</v>
      </c>
      <c r="O401">
        <v>0</v>
      </c>
      <c r="P401">
        <v>0.5</v>
      </c>
      <c r="Q401">
        <v>343.5</v>
      </c>
      <c r="R401" t="s">
        <v>172</v>
      </c>
      <c r="S401">
        <v>0</v>
      </c>
      <c r="T401" t="s">
        <v>52</v>
      </c>
      <c r="U401">
        <v>0</v>
      </c>
      <c r="V401">
        <v>0</v>
      </c>
      <c r="W401">
        <v>400112</v>
      </c>
      <c r="AE401">
        <v>0</v>
      </c>
      <c r="AH401">
        <v>1.2</v>
      </c>
      <c r="AP401" t="s">
        <v>220</v>
      </c>
    </row>
    <row r="402" spans="1:42">
      <c r="A402" s="1" t="s">
        <v>46</v>
      </c>
      <c r="B402" s="1" t="s">
        <v>924</v>
      </c>
      <c r="C402" s="1" t="s">
        <v>924</v>
      </c>
      <c r="E402" s="4" t="s">
        <v>925</v>
      </c>
      <c r="G402" s="16"/>
      <c r="I402">
        <v>1</v>
      </c>
      <c r="M402">
        <v>1</v>
      </c>
      <c r="N402">
        <v>681</v>
      </c>
      <c r="O402">
        <v>0</v>
      </c>
      <c r="P402">
        <v>0.69</v>
      </c>
      <c r="Q402">
        <v>468.19</v>
      </c>
      <c r="R402" t="s">
        <v>172</v>
      </c>
      <c r="S402">
        <v>0</v>
      </c>
      <c r="T402" t="s">
        <v>52</v>
      </c>
      <c r="U402">
        <v>0</v>
      </c>
      <c r="V402">
        <v>0</v>
      </c>
      <c r="W402">
        <v>400112</v>
      </c>
      <c r="AE402">
        <v>0</v>
      </c>
      <c r="AF402">
        <v>1.6</v>
      </c>
      <c r="AH402">
        <v>1</v>
      </c>
      <c r="AP402" t="s">
        <v>220</v>
      </c>
    </row>
    <row r="403" spans="1:42">
      <c r="A403" s="1" t="s">
        <v>46</v>
      </c>
      <c r="B403" s="1" t="s">
        <v>926</v>
      </c>
      <c r="C403" s="1" t="s">
        <v>926</v>
      </c>
      <c r="E403" s="4" t="s">
        <v>927</v>
      </c>
      <c r="G403" s="16">
        <v>1.35</v>
      </c>
      <c r="I403">
        <v>1</v>
      </c>
      <c r="M403">
        <v>1</v>
      </c>
      <c r="N403">
        <v>2865</v>
      </c>
      <c r="O403">
        <v>0</v>
      </c>
      <c r="P403">
        <v>0.28000000000000003</v>
      </c>
      <c r="Q403">
        <v>802.2</v>
      </c>
      <c r="R403">
        <v>0</v>
      </c>
      <c r="S403">
        <v>0</v>
      </c>
      <c r="T403" t="s">
        <v>52</v>
      </c>
      <c r="U403">
        <v>0</v>
      </c>
      <c r="V403">
        <v>0</v>
      </c>
      <c r="W403">
        <v>400033</v>
      </c>
      <c r="AE403">
        <v>0</v>
      </c>
      <c r="AH403">
        <v>1</v>
      </c>
      <c r="AP403" t="s">
        <v>126</v>
      </c>
    </row>
    <row r="404" spans="1:42">
      <c r="A404" s="1" t="s">
        <v>46</v>
      </c>
      <c r="B404" s="1" t="s">
        <v>928</v>
      </c>
      <c r="C404" s="1" t="s">
        <v>928</v>
      </c>
      <c r="E404" s="4" t="s">
        <v>929</v>
      </c>
      <c r="G404" s="16">
        <v>0.75</v>
      </c>
      <c r="M404">
        <v>1</v>
      </c>
      <c r="N404">
        <v>1258</v>
      </c>
      <c r="O404">
        <v>0</v>
      </c>
      <c r="P404">
        <v>0.43</v>
      </c>
      <c r="Q404">
        <v>544.59</v>
      </c>
      <c r="R404">
        <v>0</v>
      </c>
      <c r="S404">
        <v>0</v>
      </c>
      <c r="T404" t="s">
        <v>17</v>
      </c>
      <c r="U404">
        <v>0</v>
      </c>
      <c r="V404">
        <v>0</v>
      </c>
      <c r="W404">
        <v>400215</v>
      </c>
      <c r="X404" t="s">
        <v>56</v>
      </c>
      <c r="Y404" t="s">
        <v>57</v>
      </c>
      <c r="AE404">
        <v>0</v>
      </c>
      <c r="AP404" t="s">
        <v>195</v>
      </c>
    </row>
    <row r="405" spans="1:42">
      <c r="A405" s="1" t="s">
        <v>46</v>
      </c>
      <c r="B405" s="1" t="s">
        <v>930</v>
      </c>
      <c r="C405" s="1" t="s">
        <v>930</v>
      </c>
      <c r="E405" s="4" t="s">
        <v>931</v>
      </c>
      <c r="G405" s="16">
        <v>8</v>
      </c>
      <c r="I405">
        <v>2.4</v>
      </c>
      <c r="M405">
        <v>1</v>
      </c>
      <c r="N405">
        <v>702</v>
      </c>
      <c r="O405">
        <v>0</v>
      </c>
      <c r="P405">
        <v>0.62</v>
      </c>
      <c r="Q405">
        <v>438.75</v>
      </c>
      <c r="R405" t="s">
        <v>172</v>
      </c>
      <c r="S405">
        <v>0</v>
      </c>
      <c r="T405" t="s">
        <v>52</v>
      </c>
      <c r="U405">
        <v>0</v>
      </c>
      <c r="V405">
        <v>0</v>
      </c>
      <c r="W405">
        <v>400112</v>
      </c>
      <c r="AE405">
        <v>0</v>
      </c>
      <c r="AH405">
        <v>2.4</v>
      </c>
      <c r="AP405" t="s">
        <v>220</v>
      </c>
    </row>
    <row r="406" spans="1:42">
      <c r="A406" s="1" t="s">
        <v>46</v>
      </c>
      <c r="B406" s="1" t="s">
        <v>932</v>
      </c>
      <c r="C406" s="1" t="s">
        <v>932</v>
      </c>
      <c r="E406" s="4" t="s">
        <v>933</v>
      </c>
      <c r="G406" s="16"/>
      <c r="I406">
        <v>3</v>
      </c>
      <c r="M406">
        <v>1</v>
      </c>
      <c r="N406">
        <v>243</v>
      </c>
      <c r="O406">
        <v>0</v>
      </c>
      <c r="P406">
        <v>1.1200000000000001</v>
      </c>
      <c r="Q406">
        <v>273.38</v>
      </c>
      <c r="R406" t="s">
        <v>172</v>
      </c>
      <c r="S406">
        <v>0</v>
      </c>
      <c r="T406" t="s">
        <v>52</v>
      </c>
      <c r="U406">
        <v>0</v>
      </c>
      <c r="V406">
        <v>0</v>
      </c>
      <c r="W406">
        <v>400112</v>
      </c>
      <c r="AE406">
        <v>0</v>
      </c>
      <c r="AH406">
        <v>3</v>
      </c>
      <c r="AP406" t="s">
        <v>220</v>
      </c>
    </row>
    <row r="407" spans="1:42">
      <c r="A407" s="1" t="s">
        <v>46</v>
      </c>
      <c r="B407" s="1" t="s">
        <v>934</v>
      </c>
      <c r="C407" s="1" t="s">
        <v>934</v>
      </c>
      <c r="E407" s="4" t="s">
        <v>935</v>
      </c>
      <c r="G407" s="16">
        <v>5</v>
      </c>
      <c r="M407">
        <v>1</v>
      </c>
      <c r="N407">
        <v>891</v>
      </c>
      <c r="O407">
        <v>0</v>
      </c>
      <c r="P407">
        <v>1</v>
      </c>
      <c r="Q407">
        <v>891</v>
      </c>
      <c r="R407" t="s">
        <v>172</v>
      </c>
      <c r="S407">
        <v>0</v>
      </c>
      <c r="T407" t="s">
        <v>52</v>
      </c>
      <c r="U407">
        <v>0</v>
      </c>
      <c r="V407">
        <v>0</v>
      </c>
      <c r="W407">
        <v>400112</v>
      </c>
      <c r="X407" t="s">
        <v>56</v>
      </c>
      <c r="Y407" t="s">
        <v>57</v>
      </c>
      <c r="AE407">
        <v>0</v>
      </c>
      <c r="AP407" t="s">
        <v>220</v>
      </c>
    </row>
    <row r="408" spans="1:42">
      <c r="A408" s="1" t="s">
        <v>46</v>
      </c>
      <c r="B408" s="1" t="s">
        <v>936</v>
      </c>
      <c r="C408" s="1" t="s">
        <v>936</v>
      </c>
      <c r="E408" s="4" t="s">
        <v>937</v>
      </c>
      <c r="G408" s="16"/>
      <c r="I408">
        <v>1.35</v>
      </c>
      <c r="M408">
        <v>1</v>
      </c>
      <c r="N408">
        <v>1285.5999999999999</v>
      </c>
      <c r="O408">
        <v>0</v>
      </c>
      <c r="P408">
        <v>6.3</v>
      </c>
      <c r="Q408">
        <v>8099.28</v>
      </c>
      <c r="R408" t="s">
        <v>172</v>
      </c>
      <c r="S408">
        <v>0</v>
      </c>
      <c r="T408" t="s">
        <v>209</v>
      </c>
      <c r="U408">
        <v>0</v>
      </c>
      <c r="V408">
        <v>0</v>
      </c>
      <c r="W408">
        <v>400002</v>
      </c>
      <c r="X408" t="s">
        <v>56</v>
      </c>
      <c r="Y408" t="s">
        <v>57</v>
      </c>
      <c r="AE408">
        <v>0</v>
      </c>
      <c r="AF408">
        <v>2.0499999999999998</v>
      </c>
      <c r="AH408">
        <v>1.35</v>
      </c>
      <c r="AP408" t="s">
        <v>116</v>
      </c>
    </row>
    <row r="409" spans="1:42">
      <c r="A409" s="1" t="s">
        <v>46</v>
      </c>
      <c r="B409" s="1" t="s">
        <v>938</v>
      </c>
      <c r="C409" s="1" t="s">
        <v>938</v>
      </c>
      <c r="E409" s="4" t="s">
        <v>939</v>
      </c>
      <c r="G409" s="16">
        <v>5</v>
      </c>
      <c r="I409">
        <v>0.5</v>
      </c>
      <c r="M409">
        <v>1</v>
      </c>
      <c r="N409">
        <v>4007</v>
      </c>
      <c r="O409">
        <v>0</v>
      </c>
      <c r="P409">
        <v>0.35</v>
      </c>
      <c r="Q409">
        <v>1402.45</v>
      </c>
      <c r="R409" t="s">
        <v>172</v>
      </c>
      <c r="S409">
        <v>0</v>
      </c>
      <c r="T409" t="s">
        <v>52</v>
      </c>
      <c r="U409">
        <v>0</v>
      </c>
      <c r="V409">
        <v>0</v>
      </c>
      <c r="W409">
        <v>400112</v>
      </c>
      <c r="X409" t="s">
        <v>56</v>
      </c>
      <c r="Y409" t="s">
        <v>57</v>
      </c>
      <c r="AE409">
        <v>0</v>
      </c>
      <c r="AF409">
        <v>0.9</v>
      </c>
      <c r="AH409">
        <v>0.5</v>
      </c>
      <c r="AP409" t="s">
        <v>220</v>
      </c>
    </row>
    <row r="410" spans="1:42">
      <c r="A410" s="1" t="s">
        <v>46</v>
      </c>
      <c r="B410" s="1" t="s">
        <v>940</v>
      </c>
      <c r="C410" s="1" t="s">
        <v>940</v>
      </c>
      <c r="E410" s="4" t="s">
        <v>941</v>
      </c>
      <c r="G410" s="16"/>
      <c r="M410">
        <v>1</v>
      </c>
      <c r="N410">
        <v>1</v>
      </c>
      <c r="O410">
        <v>0</v>
      </c>
      <c r="P410">
        <v>2.25</v>
      </c>
      <c r="Q410">
        <v>2.25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400017</v>
      </c>
      <c r="AE410">
        <v>0</v>
      </c>
      <c r="AP410" t="s">
        <v>49</v>
      </c>
    </row>
    <row r="411" spans="1:42">
      <c r="A411" s="1" t="s">
        <v>46</v>
      </c>
      <c r="B411" s="1" t="s">
        <v>942</v>
      </c>
      <c r="C411" s="1" t="s">
        <v>942</v>
      </c>
      <c r="E411" s="4" t="s">
        <v>943</v>
      </c>
      <c r="G411" s="16">
        <v>13</v>
      </c>
      <c r="I411">
        <v>0.5</v>
      </c>
      <c r="M411">
        <v>1</v>
      </c>
      <c r="N411">
        <v>5924</v>
      </c>
      <c r="O411">
        <v>0</v>
      </c>
      <c r="P411">
        <v>0.35</v>
      </c>
      <c r="Q411">
        <v>2073.4</v>
      </c>
      <c r="R411" t="s">
        <v>172</v>
      </c>
      <c r="S411">
        <v>0</v>
      </c>
      <c r="T411" t="s">
        <v>52</v>
      </c>
      <c r="U411">
        <v>0</v>
      </c>
      <c r="V411">
        <v>0</v>
      </c>
      <c r="W411">
        <v>400112</v>
      </c>
      <c r="X411" t="s">
        <v>56</v>
      </c>
      <c r="Y411" t="s">
        <v>57</v>
      </c>
      <c r="AE411">
        <v>0</v>
      </c>
      <c r="AF411">
        <v>0.9</v>
      </c>
      <c r="AH411">
        <v>0.5</v>
      </c>
      <c r="AP411" t="s">
        <v>220</v>
      </c>
    </row>
    <row r="412" spans="1:42">
      <c r="A412" s="1" t="s">
        <v>46</v>
      </c>
      <c r="B412" s="1" t="s">
        <v>944</v>
      </c>
      <c r="C412" s="1" t="s">
        <v>944</v>
      </c>
      <c r="E412" s="4" t="s">
        <v>945</v>
      </c>
      <c r="G412" s="16">
        <v>10</v>
      </c>
      <c r="I412">
        <v>1.6</v>
      </c>
      <c r="M412">
        <v>1</v>
      </c>
      <c r="N412">
        <v>385</v>
      </c>
      <c r="O412">
        <v>0</v>
      </c>
      <c r="P412">
        <v>0.5</v>
      </c>
      <c r="Q412">
        <v>192.5</v>
      </c>
      <c r="R412" t="s">
        <v>172</v>
      </c>
      <c r="S412">
        <v>0</v>
      </c>
      <c r="T412" t="s">
        <v>52</v>
      </c>
      <c r="U412">
        <v>0</v>
      </c>
      <c r="V412">
        <v>0</v>
      </c>
      <c r="W412">
        <v>400112</v>
      </c>
      <c r="X412" t="s">
        <v>56</v>
      </c>
      <c r="Y412" t="s">
        <v>57</v>
      </c>
      <c r="AE412">
        <v>0</v>
      </c>
      <c r="AH412">
        <v>1.6</v>
      </c>
      <c r="AP412" t="s">
        <v>220</v>
      </c>
    </row>
    <row r="413" spans="1:42">
      <c r="A413" s="1" t="s">
        <v>46</v>
      </c>
      <c r="B413" s="1" t="s">
        <v>946</v>
      </c>
      <c r="C413" s="1" t="s">
        <v>946</v>
      </c>
      <c r="E413" s="4" t="s">
        <v>947</v>
      </c>
      <c r="G413" s="16">
        <v>13</v>
      </c>
      <c r="M413">
        <v>1</v>
      </c>
      <c r="N413">
        <v>6</v>
      </c>
      <c r="O413">
        <v>0</v>
      </c>
      <c r="P413">
        <v>125</v>
      </c>
      <c r="Q413">
        <v>750</v>
      </c>
      <c r="R413">
        <v>0</v>
      </c>
      <c r="S413">
        <v>0</v>
      </c>
      <c r="T413">
        <v>0</v>
      </c>
      <c r="W413">
        <v>400111</v>
      </c>
      <c r="AE413">
        <v>0</v>
      </c>
      <c r="AP413" t="s">
        <v>646</v>
      </c>
    </row>
    <row r="414" spans="1:42">
      <c r="A414" s="1" t="s">
        <v>46</v>
      </c>
      <c r="B414" s="1" t="s">
        <v>948</v>
      </c>
      <c r="C414" s="1" t="s">
        <v>948</v>
      </c>
      <c r="E414" s="4" t="s">
        <v>949</v>
      </c>
      <c r="G414" s="16"/>
      <c r="M414">
        <v>1</v>
      </c>
      <c r="N414">
        <v>6</v>
      </c>
      <c r="O414">
        <v>0</v>
      </c>
      <c r="P414">
        <v>125</v>
      </c>
      <c r="Q414">
        <v>750</v>
      </c>
      <c r="W414">
        <v>400111</v>
      </c>
      <c r="AE414">
        <v>0</v>
      </c>
      <c r="AP414" t="s">
        <v>646</v>
      </c>
    </row>
    <row r="415" spans="1:42">
      <c r="A415" s="1" t="s">
        <v>46</v>
      </c>
      <c r="B415" s="1" t="s">
        <v>950</v>
      </c>
      <c r="C415" s="1" t="s">
        <v>950</v>
      </c>
      <c r="E415" s="4" t="s">
        <v>951</v>
      </c>
      <c r="G415" s="16">
        <v>77</v>
      </c>
      <c r="M415">
        <v>1</v>
      </c>
      <c r="N415">
        <v>12</v>
      </c>
      <c r="O415">
        <v>0</v>
      </c>
      <c r="P415">
        <v>125</v>
      </c>
      <c r="Q415">
        <v>1500</v>
      </c>
      <c r="R415">
        <v>0</v>
      </c>
      <c r="S415">
        <v>0</v>
      </c>
      <c r="T415" t="s">
        <v>17</v>
      </c>
      <c r="W415">
        <v>400111</v>
      </c>
      <c r="AE415">
        <v>0</v>
      </c>
      <c r="AP415" t="s">
        <v>646</v>
      </c>
    </row>
    <row r="416" spans="1:42">
      <c r="A416" s="1" t="s">
        <v>46</v>
      </c>
      <c r="B416" s="1" t="s">
        <v>952</v>
      </c>
      <c r="C416" s="1" t="s">
        <v>952</v>
      </c>
      <c r="E416" s="4" t="s">
        <v>953</v>
      </c>
      <c r="G416" s="16"/>
      <c r="M416">
        <v>1</v>
      </c>
      <c r="N416">
        <v>1</v>
      </c>
      <c r="O416">
        <v>0</v>
      </c>
      <c r="P416">
        <v>127</v>
      </c>
      <c r="Q416">
        <v>127</v>
      </c>
      <c r="W416">
        <v>400111</v>
      </c>
      <c r="AE416">
        <v>0</v>
      </c>
      <c r="AP416" t="s">
        <v>646</v>
      </c>
    </row>
    <row r="417" spans="1:42">
      <c r="A417" s="1" t="s">
        <v>46</v>
      </c>
      <c r="B417" s="1" t="s">
        <v>954</v>
      </c>
      <c r="C417" s="1" t="s">
        <v>954</v>
      </c>
      <c r="E417" s="4" t="s">
        <v>955</v>
      </c>
      <c r="G417" s="16">
        <v>140</v>
      </c>
      <c r="I417">
        <v>0.5</v>
      </c>
      <c r="M417">
        <v>1</v>
      </c>
      <c r="N417">
        <v>3181</v>
      </c>
      <c r="O417">
        <v>0</v>
      </c>
      <c r="P417">
        <v>0.28000000000000003</v>
      </c>
      <c r="Q417">
        <v>874.78</v>
      </c>
      <c r="R417" t="s">
        <v>172</v>
      </c>
      <c r="S417">
        <v>0</v>
      </c>
      <c r="T417" t="s">
        <v>52</v>
      </c>
      <c r="U417">
        <v>0</v>
      </c>
      <c r="V417">
        <v>0</v>
      </c>
      <c r="W417">
        <v>400112</v>
      </c>
      <c r="X417" t="s">
        <v>56</v>
      </c>
      <c r="Y417" t="s">
        <v>57</v>
      </c>
      <c r="AE417">
        <v>0</v>
      </c>
      <c r="AF417">
        <v>0.75</v>
      </c>
      <c r="AH417">
        <v>0.5</v>
      </c>
      <c r="AP417" t="s">
        <v>220</v>
      </c>
    </row>
    <row r="418" spans="1:42">
      <c r="A418" s="1" t="s">
        <v>46</v>
      </c>
      <c r="B418" s="1" t="s">
        <v>956</v>
      </c>
      <c r="C418" s="1" t="s">
        <v>956</v>
      </c>
      <c r="E418" s="4" t="s">
        <v>957</v>
      </c>
      <c r="G418" s="16"/>
      <c r="M418">
        <v>1</v>
      </c>
      <c r="N418">
        <v>2</v>
      </c>
      <c r="O418">
        <v>0</v>
      </c>
      <c r="P418">
        <v>7.27</v>
      </c>
      <c r="Q418">
        <v>14.53</v>
      </c>
      <c r="R418" t="s">
        <v>579</v>
      </c>
      <c r="S418">
        <v>0</v>
      </c>
      <c r="T418" t="s">
        <v>52</v>
      </c>
      <c r="U418">
        <v>0</v>
      </c>
      <c r="V418">
        <v>0</v>
      </c>
      <c r="W418">
        <v>400013</v>
      </c>
      <c r="AE418">
        <v>0</v>
      </c>
      <c r="AP418" t="s">
        <v>232</v>
      </c>
    </row>
    <row r="419" spans="1:42">
      <c r="A419" s="1" t="s">
        <v>46</v>
      </c>
      <c r="B419" s="1" t="s">
        <v>958</v>
      </c>
      <c r="C419" s="1" t="s">
        <v>958</v>
      </c>
      <c r="E419" s="4" t="s">
        <v>959</v>
      </c>
      <c r="G419" s="16"/>
      <c r="M419">
        <v>1</v>
      </c>
      <c r="N419">
        <v>19</v>
      </c>
      <c r="O419">
        <v>0</v>
      </c>
      <c r="P419">
        <v>28.5</v>
      </c>
      <c r="Q419">
        <v>541.5</v>
      </c>
      <c r="R419">
        <v>0</v>
      </c>
      <c r="S419">
        <v>0</v>
      </c>
      <c r="T419" t="s">
        <v>52</v>
      </c>
      <c r="U419">
        <v>0</v>
      </c>
      <c r="V419">
        <v>0</v>
      </c>
      <c r="W419">
        <v>400203</v>
      </c>
      <c r="AE419">
        <v>0</v>
      </c>
      <c r="AP419" t="s">
        <v>837</v>
      </c>
    </row>
    <row r="420" spans="1:42">
      <c r="A420" s="1" t="s">
        <v>46</v>
      </c>
      <c r="B420" s="1" t="s">
        <v>960</v>
      </c>
      <c r="C420" s="1" t="s">
        <v>960</v>
      </c>
      <c r="E420" s="4" t="s">
        <v>961</v>
      </c>
      <c r="G420" s="16"/>
      <c r="M420">
        <v>1</v>
      </c>
      <c r="N420">
        <v>490</v>
      </c>
      <c r="O420">
        <v>0</v>
      </c>
      <c r="P420">
        <v>0.21</v>
      </c>
      <c r="Q420">
        <v>104.12</v>
      </c>
      <c r="R420" t="s">
        <v>579</v>
      </c>
      <c r="S420">
        <v>0</v>
      </c>
      <c r="T420" t="s">
        <v>52</v>
      </c>
      <c r="U420">
        <v>0</v>
      </c>
      <c r="V420">
        <v>0</v>
      </c>
      <c r="W420">
        <v>400112</v>
      </c>
      <c r="AE420">
        <v>0</v>
      </c>
      <c r="AP420" t="s">
        <v>220</v>
      </c>
    </row>
    <row r="421" spans="1:42">
      <c r="A421" s="1" t="s">
        <v>46</v>
      </c>
      <c r="B421" s="1" t="s">
        <v>962</v>
      </c>
      <c r="C421" s="1" t="s">
        <v>962</v>
      </c>
      <c r="E421" s="4" t="s">
        <v>963</v>
      </c>
      <c r="G421" s="16"/>
      <c r="I421">
        <v>0.9</v>
      </c>
      <c r="M421">
        <v>1</v>
      </c>
      <c r="N421">
        <v>368</v>
      </c>
      <c r="O421">
        <v>0</v>
      </c>
      <c r="P421">
        <v>0.31</v>
      </c>
      <c r="Q421">
        <v>115</v>
      </c>
      <c r="R421" t="s">
        <v>172</v>
      </c>
      <c r="S421">
        <v>0</v>
      </c>
      <c r="T421" t="s">
        <v>52</v>
      </c>
      <c r="U421">
        <v>0</v>
      </c>
      <c r="V421">
        <v>0</v>
      </c>
      <c r="W421">
        <v>400112</v>
      </c>
      <c r="X421" t="s">
        <v>56</v>
      </c>
      <c r="Y421" t="s">
        <v>57</v>
      </c>
      <c r="AE421">
        <v>0</v>
      </c>
      <c r="AH421">
        <v>0.9</v>
      </c>
      <c r="AP421" t="s">
        <v>220</v>
      </c>
    </row>
    <row r="422" spans="1:42">
      <c r="A422" s="1" t="s">
        <v>46</v>
      </c>
      <c r="B422" s="1" t="s">
        <v>964</v>
      </c>
      <c r="C422" s="1" t="s">
        <v>964</v>
      </c>
      <c r="E422" s="4" t="s">
        <v>965</v>
      </c>
      <c r="G422" s="16">
        <v>70</v>
      </c>
      <c r="M422">
        <v>1</v>
      </c>
      <c r="N422">
        <v>22</v>
      </c>
      <c r="O422">
        <v>0</v>
      </c>
      <c r="P422">
        <v>4</v>
      </c>
      <c r="Q422">
        <v>88</v>
      </c>
      <c r="R422" t="s">
        <v>176</v>
      </c>
      <c r="S422">
        <v>0</v>
      </c>
      <c r="T422" t="s">
        <v>52</v>
      </c>
      <c r="W422">
        <v>400061</v>
      </c>
      <c r="AE422">
        <v>0</v>
      </c>
      <c r="AP422" t="s">
        <v>169</v>
      </c>
    </row>
    <row r="423" spans="1:42">
      <c r="A423" s="1" t="s">
        <v>46</v>
      </c>
      <c r="B423" s="1" t="s">
        <v>966</v>
      </c>
      <c r="C423" s="1" t="s">
        <v>966</v>
      </c>
      <c r="E423" s="4" t="s">
        <v>967</v>
      </c>
      <c r="G423" s="16"/>
      <c r="M423">
        <v>1</v>
      </c>
      <c r="N423">
        <v>-3</v>
      </c>
      <c r="O423">
        <v>0</v>
      </c>
      <c r="P423">
        <v>1.65</v>
      </c>
      <c r="Q423">
        <v>-4.95</v>
      </c>
      <c r="R423" t="s">
        <v>172</v>
      </c>
      <c r="S423">
        <v>0</v>
      </c>
      <c r="T423" t="s">
        <v>52</v>
      </c>
      <c r="U423">
        <v>0</v>
      </c>
      <c r="V423">
        <v>0</v>
      </c>
      <c r="W423">
        <v>400004</v>
      </c>
      <c r="AE423">
        <v>0</v>
      </c>
      <c r="AP423" t="s">
        <v>352</v>
      </c>
    </row>
    <row r="424" spans="1:42">
      <c r="A424" s="1" t="s">
        <v>46</v>
      </c>
      <c r="B424" s="1" t="s">
        <v>968</v>
      </c>
      <c r="C424" s="1" t="s">
        <v>968</v>
      </c>
      <c r="E424" s="4" t="s">
        <v>969</v>
      </c>
      <c r="G424" s="16"/>
      <c r="M424">
        <v>1</v>
      </c>
      <c r="N424">
        <v>397</v>
      </c>
      <c r="O424">
        <v>0</v>
      </c>
      <c r="P424">
        <v>0.21</v>
      </c>
      <c r="Q424">
        <v>84.36</v>
      </c>
      <c r="R424" t="s">
        <v>172</v>
      </c>
      <c r="S424">
        <v>0</v>
      </c>
      <c r="T424" t="s">
        <v>52</v>
      </c>
      <c r="U424">
        <v>0</v>
      </c>
      <c r="V424">
        <v>0</v>
      </c>
      <c r="W424">
        <v>400112</v>
      </c>
      <c r="AE424">
        <v>0</v>
      </c>
      <c r="AP424" t="s">
        <v>220</v>
      </c>
    </row>
    <row r="425" spans="1:42">
      <c r="A425" s="1" t="s">
        <v>46</v>
      </c>
      <c r="B425" s="1" t="s">
        <v>970</v>
      </c>
      <c r="C425" s="1" t="s">
        <v>970</v>
      </c>
      <c r="E425" s="4" t="s">
        <v>971</v>
      </c>
      <c r="G425" s="16">
        <v>130</v>
      </c>
      <c r="M425">
        <v>1</v>
      </c>
      <c r="N425">
        <v>153</v>
      </c>
      <c r="O425">
        <v>0</v>
      </c>
      <c r="P425">
        <v>0.3</v>
      </c>
      <c r="Q425">
        <v>45.9</v>
      </c>
      <c r="R425" t="s">
        <v>172</v>
      </c>
      <c r="S425">
        <v>0</v>
      </c>
      <c r="T425" t="s">
        <v>52</v>
      </c>
      <c r="U425">
        <v>0</v>
      </c>
      <c r="V425">
        <v>0</v>
      </c>
      <c r="W425">
        <v>400112</v>
      </c>
      <c r="AE425">
        <v>0</v>
      </c>
      <c r="AP425" t="s">
        <v>220</v>
      </c>
    </row>
    <row r="426" spans="1:42">
      <c r="A426" s="1" t="s">
        <v>46</v>
      </c>
      <c r="B426" s="1" t="s">
        <v>972</v>
      </c>
      <c r="C426" s="1" t="s">
        <v>972</v>
      </c>
      <c r="E426" s="4" t="s">
        <v>973</v>
      </c>
      <c r="G426" s="16"/>
      <c r="M426">
        <v>1</v>
      </c>
      <c r="N426">
        <v>11</v>
      </c>
      <c r="O426">
        <v>0</v>
      </c>
      <c r="P426">
        <v>3</v>
      </c>
      <c r="Q426">
        <v>33</v>
      </c>
      <c r="R426" t="s">
        <v>176</v>
      </c>
      <c r="S426">
        <v>0</v>
      </c>
      <c r="T426" t="s">
        <v>52</v>
      </c>
      <c r="U426">
        <v>0</v>
      </c>
      <c r="V426">
        <v>0</v>
      </c>
      <c r="W426">
        <v>400061</v>
      </c>
      <c r="AE426">
        <v>0</v>
      </c>
      <c r="AP426" t="s">
        <v>169</v>
      </c>
    </row>
    <row r="427" spans="1:42">
      <c r="A427" s="1" t="s">
        <v>46</v>
      </c>
      <c r="B427" s="1" t="s">
        <v>974</v>
      </c>
      <c r="C427" s="1" t="s">
        <v>974</v>
      </c>
      <c r="E427" s="4" t="s">
        <v>975</v>
      </c>
      <c r="G427" s="16"/>
      <c r="M427">
        <v>1</v>
      </c>
      <c r="N427">
        <v>-8</v>
      </c>
      <c r="O427">
        <v>0</v>
      </c>
      <c r="P427">
        <v>1.75</v>
      </c>
      <c r="Q427">
        <v>-14</v>
      </c>
      <c r="R427">
        <v>0</v>
      </c>
      <c r="S427">
        <v>0</v>
      </c>
      <c r="T427" t="s">
        <v>52</v>
      </c>
      <c r="W427">
        <v>400186</v>
      </c>
      <c r="AE427">
        <v>0</v>
      </c>
      <c r="AP427" t="s">
        <v>120</v>
      </c>
    </row>
    <row r="428" spans="1:42">
      <c r="A428" s="1" t="s">
        <v>46</v>
      </c>
      <c r="B428" s="1" t="s">
        <v>976</v>
      </c>
      <c r="C428" s="1" t="s">
        <v>976</v>
      </c>
      <c r="E428" s="4" t="s">
        <v>977</v>
      </c>
      <c r="G428" s="16"/>
      <c r="M428">
        <v>1</v>
      </c>
      <c r="N428">
        <v>-1</v>
      </c>
      <c r="O428">
        <v>0</v>
      </c>
      <c r="P428">
        <v>1.5</v>
      </c>
      <c r="Q428">
        <v>-1.5</v>
      </c>
      <c r="R428" t="s">
        <v>176</v>
      </c>
      <c r="S428">
        <v>0</v>
      </c>
      <c r="T428" t="s">
        <v>52</v>
      </c>
      <c r="U428">
        <v>0</v>
      </c>
      <c r="V428">
        <v>0</v>
      </c>
      <c r="W428">
        <v>400061</v>
      </c>
      <c r="X428" t="s">
        <v>56</v>
      </c>
      <c r="Y428" t="s">
        <v>57</v>
      </c>
      <c r="AE428">
        <v>0</v>
      </c>
      <c r="AP428" t="s">
        <v>169</v>
      </c>
    </row>
    <row r="429" spans="1:42">
      <c r="A429" s="1" t="s">
        <v>46</v>
      </c>
      <c r="B429" s="1" t="s">
        <v>978</v>
      </c>
      <c r="C429" s="1" t="s">
        <v>978</v>
      </c>
      <c r="E429" s="4" t="s">
        <v>979</v>
      </c>
      <c r="G429" s="16"/>
      <c r="M429">
        <v>1</v>
      </c>
      <c r="N429">
        <v>150</v>
      </c>
      <c r="O429">
        <v>0</v>
      </c>
      <c r="P429">
        <v>1.75</v>
      </c>
      <c r="Q429">
        <v>262.5</v>
      </c>
      <c r="W429">
        <v>400186</v>
      </c>
      <c r="AE429">
        <v>0</v>
      </c>
      <c r="AP429" t="s">
        <v>120</v>
      </c>
    </row>
    <row r="430" spans="1:42">
      <c r="A430" s="1" t="s">
        <v>46</v>
      </c>
      <c r="B430" s="1" t="s">
        <v>980</v>
      </c>
      <c r="C430" s="1" t="s">
        <v>980</v>
      </c>
      <c r="E430" s="4" t="s">
        <v>981</v>
      </c>
      <c r="G430" s="16"/>
      <c r="M430">
        <v>1</v>
      </c>
      <c r="N430">
        <v>2240</v>
      </c>
      <c r="O430">
        <v>0</v>
      </c>
      <c r="P430">
        <v>1.25</v>
      </c>
      <c r="Q430">
        <v>2800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400112</v>
      </c>
      <c r="X430" t="s">
        <v>56</v>
      </c>
      <c r="Y430" t="s">
        <v>57</v>
      </c>
      <c r="AE430">
        <v>0</v>
      </c>
      <c r="AP430" t="s">
        <v>220</v>
      </c>
    </row>
    <row r="431" spans="1:42">
      <c r="A431" s="1" t="s">
        <v>46</v>
      </c>
      <c r="B431" s="1" t="s">
        <v>982</v>
      </c>
      <c r="C431" s="1" t="s">
        <v>982</v>
      </c>
      <c r="E431" s="4" t="s">
        <v>983</v>
      </c>
      <c r="G431" s="16"/>
      <c r="M431">
        <v>1</v>
      </c>
      <c r="N431">
        <v>1</v>
      </c>
      <c r="O431">
        <v>0</v>
      </c>
      <c r="P431">
        <v>36.630000000000003</v>
      </c>
      <c r="Q431">
        <v>36.630000000000003</v>
      </c>
      <c r="R431">
        <v>0</v>
      </c>
      <c r="S431">
        <v>0</v>
      </c>
      <c r="T431" t="s">
        <v>52</v>
      </c>
      <c r="W431">
        <v>400160</v>
      </c>
      <c r="AE431">
        <v>0</v>
      </c>
      <c r="AP431" t="s">
        <v>201</v>
      </c>
    </row>
    <row r="432" spans="1:42">
      <c r="A432" s="1" t="s">
        <v>46</v>
      </c>
      <c r="B432" s="1" t="s">
        <v>984</v>
      </c>
      <c r="C432" s="1" t="s">
        <v>984</v>
      </c>
      <c r="E432" s="4" t="s">
        <v>985</v>
      </c>
      <c r="G432" s="16"/>
      <c r="M432">
        <v>1</v>
      </c>
      <c r="N432">
        <v>1</v>
      </c>
      <c r="O432">
        <v>0</v>
      </c>
      <c r="P432">
        <v>10</v>
      </c>
      <c r="Q432">
        <v>10</v>
      </c>
      <c r="R432">
        <v>0</v>
      </c>
      <c r="S432">
        <v>0</v>
      </c>
      <c r="T432" t="s">
        <v>52</v>
      </c>
      <c r="U432">
        <v>0</v>
      </c>
      <c r="V432">
        <v>0</v>
      </c>
      <c r="W432">
        <v>400035</v>
      </c>
      <c r="X432" t="s">
        <v>56</v>
      </c>
      <c r="Y432" t="s">
        <v>57</v>
      </c>
      <c r="AE432">
        <v>0</v>
      </c>
      <c r="AP432" t="s">
        <v>784</v>
      </c>
    </row>
    <row r="433" spans="1:42">
      <c r="A433" s="1" t="s">
        <v>46</v>
      </c>
      <c r="B433" s="1" t="s">
        <v>986</v>
      </c>
      <c r="C433" s="1" t="s">
        <v>986</v>
      </c>
      <c r="E433" s="4" t="s">
        <v>987</v>
      </c>
      <c r="G433" s="16"/>
      <c r="M433">
        <v>1</v>
      </c>
      <c r="N433">
        <v>8</v>
      </c>
      <c r="O433">
        <v>0</v>
      </c>
      <c r="P433">
        <v>40.99</v>
      </c>
      <c r="Q433">
        <v>327.94</v>
      </c>
      <c r="R433">
        <v>0</v>
      </c>
      <c r="S433">
        <v>0</v>
      </c>
      <c r="T433" t="s">
        <v>52</v>
      </c>
      <c r="U433">
        <v>0</v>
      </c>
      <c r="V433">
        <v>0</v>
      </c>
      <c r="W433">
        <v>400215</v>
      </c>
      <c r="AE433">
        <v>0</v>
      </c>
      <c r="AP433" t="s">
        <v>195</v>
      </c>
    </row>
    <row r="434" spans="1:42">
      <c r="A434" s="1" t="s">
        <v>46</v>
      </c>
      <c r="B434" s="1" t="s">
        <v>988</v>
      </c>
      <c r="C434" s="1" t="s">
        <v>988</v>
      </c>
      <c r="E434" s="4" t="s">
        <v>989</v>
      </c>
      <c r="G434" s="16">
        <v>130</v>
      </c>
      <c r="M434">
        <v>1</v>
      </c>
      <c r="N434">
        <v>1045</v>
      </c>
      <c r="O434">
        <v>0</v>
      </c>
      <c r="P434">
        <v>38</v>
      </c>
      <c r="Q434">
        <v>39710</v>
      </c>
      <c r="R434" t="s">
        <v>783</v>
      </c>
      <c r="S434">
        <v>0</v>
      </c>
      <c r="T434" t="s">
        <v>52</v>
      </c>
      <c r="U434">
        <v>0</v>
      </c>
      <c r="V434">
        <v>0</v>
      </c>
      <c r="W434">
        <v>400203</v>
      </c>
      <c r="X434" t="s">
        <v>56</v>
      </c>
      <c r="Y434" t="s">
        <v>57</v>
      </c>
      <c r="AE434">
        <v>0</v>
      </c>
      <c r="AP434" t="s">
        <v>837</v>
      </c>
    </row>
    <row r="435" spans="1:42">
      <c r="A435" s="1" t="s">
        <v>46</v>
      </c>
      <c r="B435" s="1" t="s">
        <v>990</v>
      </c>
      <c r="C435" s="1" t="s">
        <v>990</v>
      </c>
      <c r="E435" s="4" t="s">
        <v>991</v>
      </c>
      <c r="G435" s="16"/>
      <c r="M435">
        <v>1</v>
      </c>
      <c r="N435">
        <v>132</v>
      </c>
      <c r="O435">
        <v>0</v>
      </c>
      <c r="P435">
        <v>5</v>
      </c>
      <c r="Q435">
        <v>660</v>
      </c>
      <c r="R435" t="s">
        <v>241</v>
      </c>
      <c r="S435">
        <v>0</v>
      </c>
      <c r="T435" t="s">
        <v>52</v>
      </c>
      <c r="U435">
        <v>0</v>
      </c>
      <c r="V435">
        <v>0</v>
      </c>
      <c r="W435">
        <v>410302</v>
      </c>
      <c r="AE435">
        <v>0</v>
      </c>
      <c r="AP435" t="s">
        <v>177</v>
      </c>
    </row>
    <row r="436" spans="1:42">
      <c r="A436" s="1" t="s">
        <v>46</v>
      </c>
      <c r="B436" s="1" t="s">
        <v>992</v>
      </c>
      <c r="C436" s="1" t="s">
        <v>992</v>
      </c>
      <c r="E436" s="4" t="s">
        <v>993</v>
      </c>
      <c r="G436" s="16"/>
      <c r="M436">
        <v>1</v>
      </c>
      <c r="N436">
        <v>13</v>
      </c>
      <c r="O436">
        <v>0</v>
      </c>
      <c r="P436">
        <v>21.93</v>
      </c>
      <c r="Q436">
        <v>285.14</v>
      </c>
      <c r="R436">
        <v>0</v>
      </c>
      <c r="S436">
        <v>0</v>
      </c>
      <c r="T436" t="s">
        <v>52</v>
      </c>
      <c r="W436">
        <v>400160</v>
      </c>
      <c r="AE436">
        <v>0</v>
      </c>
      <c r="AP436" t="s">
        <v>201</v>
      </c>
    </row>
    <row r="437" spans="1:42">
      <c r="A437" s="1" t="s">
        <v>46</v>
      </c>
      <c r="B437" s="1" t="s">
        <v>994</v>
      </c>
      <c r="C437" s="1" t="s">
        <v>994</v>
      </c>
      <c r="E437" s="4" t="s">
        <v>995</v>
      </c>
      <c r="G437" s="16"/>
      <c r="M437">
        <v>1</v>
      </c>
      <c r="N437">
        <v>-2</v>
      </c>
      <c r="O437">
        <v>0</v>
      </c>
      <c r="P437">
        <v>10</v>
      </c>
      <c r="Q437">
        <v>-20</v>
      </c>
      <c r="R437">
        <v>0</v>
      </c>
      <c r="S437">
        <v>0</v>
      </c>
      <c r="T437" t="s">
        <v>52</v>
      </c>
      <c r="W437">
        <v>400013</v>
      </c>
      <c r="AE437">
        <v>0</v>
      </c>
      <c r="AP437" t="s">
        <v>232</v>
      </c>
    </row>
    <row r="438" spans="1:42">
      <c r="A438" s="1" t="s">
        <v>46</v>
      </c>
      <c r="B438" s="1" t="s">
        <v>996</v>
      </c>
      <c r="C438" s="1" t="s">
        <v>996</v>
      </c>
      <c r="E438" s="4" t="s">
        <v>997</v>
      </c>
      <c r="G438" s="16"/>
      <c r="M438">
        <v>1</v>
      </c>
      <c r="N438">
        <v>2</v>
      </c>
      <c r="O438">
        <v>0</v>
      </c>
      <c r="P438">
        <v>29.61</v>
      </c>
      <c r="Q438">
        <v>59.22</v>
      </c>
      <c r="R438">
        <v>0</v>
      </c>
      <c r="S438">
        <v>0</v>
      </c>
      <c r="T438" t="s">
        <v>52</v>
      </c>
      <c r="W438">
        <v>400160</v>
      </c>
      <c r="AE438">
        <v>0</v>
      </c>
      <c r="AP438" t="s">
        <v>201</v>
      </c>
    </row>
    <row r="439" spans="1:42">
      <c r="A439" s="1" t="s">
        <v>46</v>
      </c>
      <c r="B439" s="1" t="s">
        <v>998</v>
      </c>
      <c r="C439" s="1" t="s">
        <v>998</v>
      </c>
      <c r="E439" s="4" t="s">
        <v>999</v>
      </c>
      <c r="G439" s="16"/>
      <c r="M439">
        <v>1</v>
      </c>
      <c r="N439">
        <v>-6</v>
      </c>
      <c r="O439">
        <v>0</v>
      </c>
      <c r="P439">
        <v>48</v>
      </c>
      <c r="Q439">
        <v>-288</v>
      </c>
      <c r="R439">
        <v>0</v>
      </c>
      <c r="S439">
        <v>0</v>
      </c>
      <c r="T439" t="s">
        <v>52</v>
      </c>
      <c r="U439">
        <v>0</v>
      </c>
      <c r="V439">
        <v>0</v>
      </c>
      <c r="W439">
        <v>400190</v>
      </c>
      <c r="AE439">
        <v>0</v>
      </c>
      <c r="AP439" t="s">
        <v>286</v>
      </c>
    </row>
    <row r="440" spans="1:42">
      <c r="A440" s="1" t="s">
        <v>46</v>
      </c>
      <c r="B440" s="1" t="s">
        <v>1000</v>
      </c>
      <c r="C440" s="1" t="s">
        <v>1000</v>
      </c>
      <c r="E440" s="4" t="s">
        <v>1001</v>
      </c>
      <c r="G440" s="16"/>
      <c r="M440">
        <v>1</v>
      </c>
      <c r="N440">
        <v>213</v>
      </c>
      <c r="O440">
        <v>0</v>
      </c>
      <c r="P440">
        <v>1.75</v>
      </c>
      <c r="Q440">
        <v>372.75</v>
      </c>
      <c r="R440" t="s">
        <v>241</v>
      </c>
      <c r="S440">
        <v>0</v>
      </c>
      <c r="T440" t="s">
        <v>52</v>
      </c>
      <c r="U440">
        <v>0</v>
      </c>
      <c r="V440">
        <v>0</v>
      </c>
      <c r="W440">
        <v>410302</v>
      </c>
      <c r="AE440">
        <v>0</v>
      </c>
      <c r="AP440" t="s">
        <v>177</v>
      </c>
    </row>
    <row r="441" spans="1:42">
      <c r="A441" s="1" t="s">
        <v>46</v>
      </c>
      <c r="B441" s="1" t="s">
        <v>1002</v>
      </c>
      <c r="C441" s="1" t="s">
        <v>1002</v>
      </c>
      <c r="E441" s="4" t="s">
        <v>1003</v>
      </c>
      <c r="G441" s="16"/>
      <c r="I441">
        <v>12.65</v>
      </c>
      <c r="M441">
        <v>1</v>
      </c>
      <c r="N441">
        <v>-3</v>
      </c>
      <c r="O441">
        <v>0</v>
      </c>
      <c r="P441">
        <v>61.27</v>
      </c>
      <c r="Q441">
        <v>-183.82</v>
      </c>
      <c r="R441" t="s">
        <v>212</v>
      </c>
      <c r="S441">
        <v>0</v>
      </c>
      <c r="T441" t="s">
        <v>209</v>
      </c>
      <c r="U441">
        <v>0</v>
      </c>
      <c r="V441">
        <v>0</v>
      </c>
      <c r="W441">
        <v>400118</v>
      </c>
      <c r="AE441">
        <v>0</v>
      </c>
      <c r="AH441">
        <v>12.65</v>
      </c>
      <c r="AP441" t="s">
        <v>1004</v>
      </c>
    </row>
    <row r="442" spans="1:42">
      <c r="A442" s="1" t="s">
        <v>46</v>
      </c>
      <c r="B442" s="1" t="s">
        <v>1005</v>
      </c>
      <c r="C442" s="1" t="s">
        <v>1005</v>
      </c>
      <c r="E442" s="4" t="s">
        <v>1006</v>
      </c>
      <c r="G442" s="16"/>
      <c r="I442">
        <v>12.65</v>
      </c>
      <c r="M442">
        <v>1</v>
      </c>
      <c r="N442">
        <v>-3</v>
      </c>
      <c r="O442">
        <v>0</v>
      </c>
      <c r="P442">
        <v>32</v>
      </c>
      <c r="Q442">
        <v>-96</v>
      </c>
      <c r="R442" t="s">
        <v>536</v>
      </c>
      <c r="S442">
        <v>0</v>
      </c>
      <c r="T442" t="s">
        <v>209</v>
      </c>
      <c r="U442">
        <v>0</v>
      </c>
      <c r="V442">
        <v>0</v>
      </c>
      <c r="W442">
        <v>400038</v>
      </c>
      <c r="AE442">
        <v>0</v>
      </c>
      <c r="AH442">
        <v>12.65</v>
      </c>
      <c r="AP442" t="s">
        <v>1007</v>
      </c>
    </row>
    <row r="443" spans="1:42">
      <c r="A443" s="1" t="s">
        <v>46</v>
      </c>
      <c r="B443" s="1" t="s">
        <v>1008</v>
      </c>
      <c r="C443" s="1" t="s">
        <v>1008</v>
      </c>
      <c r="E443" s="4" t="s">
        <v>1009</v>
      </c>
      <c r="G443" s="16"/>
      <c r="M443">
        <v>1</v>
      </c>
      <c r="N443">
        <v>-2</v>
      </c>
      <c r="O443">
        <v>0</v>
      </c>
      <c r="R443" t="s">
        <v>377</v>
      </c>
      <c r="AE443">
        <v>0</v>
      </c>
    </row>
    <row r="444" spans="1:42">
      <c r="A444" s="1" t="s">
        <v>46</v>
      </c>
      <c r="B444" s="1" t="s">
        <v>1010</v>
      </c>
      <c r="C444" s="1" t="s">
        <v>1010</v>
      </c>
      <c r="E444" s="4" t="s">
        <v>1011</v>
      </c>
      <c r="G444" s="16"/>
      <c r="M444">
        <v>1</v>
      </c>
      <c r="N444">
        <v>142</v>
      </c>
      <c r="O444">
        <v>0</v>
      </c>
      <c r="P444">
        <v>0.35</v>
      </c>
      <c r="Q444">
        <v>49.7</v>
      </c>
      <c r="R444" t="s">
        <v>241</v>
      </c>
      <c r="S444">
        <v>0</v>
      </c>
      <c r="T444" t="s">
        <v>52</v>
      </c>
      <c r="U444">
        <v>0</v>
      </c>
      <c r="V444">
        <v>0</v>
      </c>
      <c r="W444">
        <v>410302</v>
      </c>
      <c r="AE444">
        <v>0</v>
      </c>
      <c r="AP444" t="s">
        <v>177</v>
      </c>
    </row>
    <row r="445" spans="1:42">
      <c r="A445" s="1" t="s">
        <v>46</v>
      </c>
      <c r="B445" s="1" t="s">
        <v>1012</v>
      </c>
      <c r="C445" s="1" t="s">
        <v>1012</v>
      </c>
      <c r="E445" s="4" t="s">
        <v>1013</v>
      </c>
      <c r="G445" s="16"/>
      <c r="M445">
        <v>1</v>
      </c>
      <c r="N445">
        <v>-4</v>
      </c>
      <c r="O445">
        <v>0</v>
      </c>
      <c r="P445">
        <v>0.65</v>
      </c>
      <c r="Q445">
        <v>-2.6</v>
      </c>
      <c r="R445" t="s">
        <v>241</v>
      </c>
      <c r="S445">
        <v>0</v>
      </c>
      <c r="T445" t="s">
        <v>52</v>
      </c>
      <c r="U445">
        <v>0</v>
      </c>
      <c r="V445">
        <v>0</v>
      </c>
      <c r="W445">
        <v>400112</v>
      </c>
      <c r="AE445">
        <v>0</v>
      </c>
      <c r="AP445" t="s">
        <v>220</v>
      </c>
    </row>
    <row r="446" spans="1:42">
      <c r="A446" s="1" t="s">
        <v>46</v>
      </c>
      <c r="B446" s="1" t="s">
        <v>1014</v>
      </c>
      <c r="C446" s="1" t="s">
        <v>1014</v>
      </c>
      <c r="E446" s="4" t="s">
        <v>1015</v>
      </c>
      <c r="G446" s="16"/>
      <c r="M446">
        <v>1</v>
      </c>
      <c r="N446">
        <v>3</v>
      </c>
      <c r="O446">
        <v>0</v>
      </c>
      <c r="P446">
        <v>4.1399999999999997</v>
      </c>
      <c r="Q446">
        <v>12.43</v>
      </c>
      <c r="R446" t="s">
        <v>176</v>
      </c>
      <c r="S446">
        <v>0</v>
      </c>
      <c r="T446" t="s">
        <v>52</v>
      </c>
      <c r="U446">
        <v>0</v>
      </c>
      <c r="V446">
        <v>0</v>
      </c>
      <c r="W446">
        <v>400061</v>
      </c>
      <c r="AE446">
        <v>0</v>
      </c>
      <c r="AP446" t="s">
        <v>169</v>
      </c>
    </row>
    <row r="447" spans="1:42">
      <c r="A447" s="1" t="s">
        <v>46</v>
      </c>
      <c r="B447" s="1" t="s">
        <v>1016</v>
      </c>
      <c r="C447" s="1" t="s">
        <v>1016</v>
      </c>
      <c r="E447" s="4" t="s">
        <v>1017</v>
      </c>
      <c r="G447" s="16"/>
      <c r="M447">
        <v>1</v>
      </c>
      <c r="N447">
        <v>170</v>
      </c>
      <c r="O447">
        <v>0</v>
      </c>
      <c r="P447">
        <v>0.45</v>
      </c>
      <c r="Q447">
        <v>76.5</v>
      </c>
      <c r="W447">
        <v>400203</v>
      </c>
      <c r="AE447">
        <v>0</v>
      </c>
      <c r="AP447" t="s">
        <v>837</v>
      </c>
    </row>
    <row r="448" spans="1:42">
      <c r="A448" s="1" t="s">
        <v>46</v>
      </c>
      <c r="B448" s="1" t="s">
        <v>1018</v>
      </c>
      <c r="C448" s="1" t="s">
        <v>1018</v>
      </c>
      <c r="E448" s="4" t="s">
        <v>1019</v>
      </c>
      <c r="G448" s="16"/>
      <c r="M448">
        <v>1</v>
      </c>
      <c r="N448">
        <v>-136</v>
      </c>
      <c r="O448">
        <v>0</v>
      </c>
      <c r="P448">
        <v>70</v>
      </c>
      <c r="Q448">
        <v>-9520</v>
      </c>
      <c r="R448" t="s">
        <v>176</v>
      </c>
      <c r="S448">
        <v>0</v>
      </c>
      <c r="T448" t="s">
        <v>227</v>
      </c>
      <c r="U448">
        <v>0</v>
      </c>
      <c r="V448">
        <v>0</v>
      </c>
      <c r="W448">
        <v>400061</v>
      </c>
      <c r="X448" t="s">
        <v>56</v>
      </c>
      <c r="Y448" t="s">
        <v>57</v>
      </c>
      <c r="AE448">
        <v>0</v>
      </c>
      <c r="AP448" t="s">
        <v>169</v>
      </c>
    </row>
    <row r="449" spans="1:42">
      <c r="A449" s="1" t="s">
        <v>46</v>
      </c>
      <c r="B449" s="1" t="s">
        <v>1020</v>
      </c>
      <c r="C449" s="1" t="s">
        <v>1020</v>
      </c>
      <c r="E449" s="4" t="s">
        <v>1021</v>
      </c>
      <c r="G449" s="16"/>
      <c r="M449">
        <v>1</v>
      </c>
      <c r="N449">
        <v>6332</v>
      </c>
      <c r="O449">
        <v>0</v>
      </c>
      <c r="P449">
        <v>0.06</v>
      </c>
      <c r="Q449">
        <v>348.26</v>
      </c>
      <c r="R449">
        <v>0</v>
      </c>
      <c r="S449">
        <v>0</v>
      </c>
      <c r="T449" t="s">
        <v>52</v>
      </c>
      <c r="U449">
        <v>0</v>
      </c>
      <c r="V449">
        <v>0</v>
      </c>
      <c r="W449">
        <v>410302</v>
      </c>
      <c r="X449" t="s">
        <v>56</v>
      </c>
      <c r="Y449" t="s">
        <v>57</v>
      </c>
      <c r="AE449">
        <v>0</v>
      </c>
      <c r="AP449" t="s">
        <v>177</v>
      </c>
    </row>
    <row r="450" spans="1:42">
      <c r="A450" s="1" t="s">
        <v>46</v>
      </c>
      <c r="B450" s="1" t="s">
        <v>1022</v>
      </c>
      <c r="C450" s="1" t="s">
        <v>1022</v>
      </c>
      <c r="E450" s="4" t="s">
        <v>1023</v>
      </c>
      <c r="G450" s="16"/>
      <c r="M450">
        <v>1</v>
      </c>
      <c r="N450">
        <v>33</v>
      </c>
      <c r="O450">
        <v>0</v>
      </c>
      <c r="P450">
        <v>2.5499999999999998</v>
      </c>
      <c r="Q450">
        <v>84.15</v>
      </c>
      <c r="R450" t="s">
        <v>176</v>
      </c>
      <c r="S450">
        <v>0</v>
      </c>
      <c r="T450" t="s">
        <v>52</v>
      </c>
      <c r="U450">
        <v>0</v>
      </c>
      <c r="V450">
        <v>0</v>
      </c>
      <c r="W450">
        <v>400061</v>
      </c>
      <c r="X450" t="s">
        <v>56</v>
      </c>
      <c r="Y450" t="s">
        <v>57</v>
      </c>
      <c r="AE450">
        <v>0</v>
      </c>
      <c r="AP450" t="s">
        <v>169</v>
      </c>
    </row>
    <row r="451" spans="1:42">
      <c r="A451" s="1" t="s">
        <v>46</v>
      </c>
      <c r="B451" s="1" t="s">
        <v>1024</v>
      </c>
      <c r="C451" s="1" t="s">
        <v>1024</v>
      </c>
      <c r="E451" s="4" t="s">
        <v>1025</v>
      </c>
      <c r="G451" s="16"/>
      <c r="I451">
        <v>0.5</v>
      </c>
      <c r="M451">
        <v>1</v>
      </c>
      <c r="N451">
        <v>681</v>
      </c>
      <c r="O451">
        <v>0</v>
      </c>
      <c r="P451">
        <v>0.3</v>
      </c>
      <c r="Q451">
        <v>204.3</v>
      </c>
      <c r="R451" t="s">
        <v>172</v>
      </c>
      <c r="S451">
        <v>0</v>
      </c>
      <c r="T451" t="s">
        <v>52</v>
      </c>
      <c r="U451">
        <v>0</v>
      </c>
      <c r="V451">
        <v>0</v>
      </c>
      <c r="W451">
        <v>410302</v>
      </c>
      <c r="AE451">
        <v>0</v>
      </c>
      <c r="AF451">
        <v>0.75</v>
      </c>
      <c r="AH451">
        <v>0.5</v>
      </c>
      <c r="AP451" t="s">
        <v>177</v>
      </c>
    </row>
    <row r="452" spans="1:42">
      <c r="A452" s="1" t="s">
        <v>46</v>
      </c>
      <c r="B452" s="1" t="s">
        <v>1026</v>
      </c>
      <c r="C452" s="1" t="s">
        <v>1026</v>
      </c>
      <c r="E452" s="4" t="s">
        <v>1027</v>
      </c>
      <c r="G452" s="16"/>
      <c r="M452">
        <v>1</v>
      </c>
      <c r="N452">
        <v>385</v>
      </c>
      <c r="O452">
        <v>0</v>
      </c>
      <c r="P452">
        <v>0.72</v>
      </c>
      <c r="Q452">
        <v>277.2</v>
      </c>
      <c r="R452" t="s">
        <v>241</v>
      </c>
      <c r="S452">
        <v>0</v>
      </c>
      <c r="T452" t="s">
        <v>52</v>
      </c>
      <c r="U452">
        <v>0</v>
      </c>
      <c r="V452">
        <v>0</v>
      </c>
      <c r="W452">
        <v>400061</v>
      </c>
      <c r="X452" t="s">
        <v>56</v>
      </c>
      <c r="Y452" t="s">
        <v>57</v>
      </c>
      <c r="AE452">
        <v>0</v>
      </c>
      <c r="AP452" t="s">
        <v>169</v>
      </c>
    </row>
    <row r="453" spans="1:42">
      <c r="A453" s="1" t="s">
        <v>46</v>
      </c>
      <c r="B453" s="1" t="s">
        <v>1028</v>
      </c>
      <c r="C453" s="1" t="s">
        <v>1028</v>
      </c>
      <c r="E453" s="4" t="s">
        <v>1029</v>
      </c>
      <c r="G453" s="16"/>
      <c r="M453">
        <v>1</v>
      </c>
      <c r="N453">
        <v>10757</v>
      </c>
      <c r="O453">
        <v>0</v>
      </c>
      <c r="P453">
        <v>0.08</v>
      </c>
      <c r="Q453">
        <v>860.56</v>
      </c>
      <c r="R453" t="s">
        <v>241</v>
      </c>
      <c r="S453">
        <v>0</v>
      </c>
      <c r="T453" t="s">
        <v>52</v>
      </c>
      <c r="U453">
        <v>0</v>
      </c>
      <c r="V453">
        <v>0</v>
      </c>
      <c r="W453">
        <v>410302</v>
      </c>
      <c r="X453" t="s">
        <v>56</v>
      </c>
      <c r="Y453" t="s">
        <v>57</v>
      </c>
      <c r="AE453">
        <v>0</v>
      </c>
      <c r="AP453" t="s">
        <v>177</v>
      </c>
    </row>
    <row r="454" spans="1:42">
      <c r="A454" s="1" t="s">
        <v>46</v>
      </c>
      <c r="B454" s="1" t="s">
        <v>1030</v>
      </c>
      <c r="C454" s="1" t="s">
        <v>1030</v>
      </c>
      <c r="E454" s="4" t="s">
        <v>1031</v>
      </c>
      <c r="G454" s="16"/>
      <c r="M454">
        <v>1</v>
      </c>
      <c r="N454">
        <v>1460</v>
      </c>
      <c r="O454">
        <v>0</v>
      </c>
      <c r="P454">
        <v>0.7</v>
      </c>
      <c r="Q454">
        <v>1022</v>
      </c>
      <c r="R454" t="s">
        <v>241</v>
      </c>
      <c r="S454">
        <v>0</v>
      </c>
      <c r="T454" t="s">
        <v>52</v>
      </c>
      <c r="U454">
        <v>0</v>
      </c>
      <c r="V454">
        <v>0</v>
      </c>
      <c r="W454">
        <v>400061</v>
      </c>
      <c r="X454" t="s">
        <v>56</v>
      </c>
      <c r="Y454" t="s">
        <v>57</v>
      </c>
      <c r="AE454">
        <v>0</v>
      </c>
      <c r="AP454" t="s">
        <v>169</v>
      </c>
    </row>
    <row r="455" spans="1:42">
      <c r="A455" s="1" t="s">
        <v>46</v>
      </c>
      <c r="B455" s="1" t="s">
        <v>1032</v>
      </c>
      <c r="C455" s="1" t="s">
        <v>1032</v>
      </c>
      <c r="E455" s="4" t="s">
        <v>1033</v>
      </c>
      <c r="G455" s="16"/>
      <c r="M455">
        <v>1</v>
      </c>
      <c r="N455">
        <v>338</v>
      </c>
      <c r="O455">
        <v>0</v>
      </c>
      <c r="P455">
        <v>0.75</v>
      </c>
      <c r="Q455">
        <v>253.5</v>
      </c>
      <c r="R455" t="s">
        <v>241</v>
      </c>
      <c r="S455">
        <v>0</v>
      </c>
      <c r="T455" t="s">
        <v>52</v>
      </c>
      <c r="U455">
        <v>0</v>
      </c>
      <c r="V455">
        <v>0</v>
      </c>
      <c r="W455">
        <v>400061</v>
      </c>
      <c r="AE455">
        <v>0</v>
      </c>
      <c r="AP455" t="s">
        <v>169</v>
      </c>
    </row>
    <row r="456" spans="1:42">
      <c r="A456" s="1" t="s">
        <v>46</v>
      </c>
      <c r="B456" s="1" t="s">
        <v>1034</v>
      </c>
      <c r="C456" s="1" t="s">
        <v>1034</v>
      </c>
      <c r="E456" s="4" t="s">
        <v>1035</v>
      </c>
      <c r="G456" s="16"/>
      <c r="M456">
        <v>1</v>
      </c>
      <c r="N456">
        <v>2001</v>
      </c>
      <c r="O456">
        <v>0</v>
      </c>
      <c r="P456">
        <v>0.32</v>
      </c>
      <c r="Q456">
        <v>650.33000000000004</v>
      </c>
      <c r="R456" t="s">
        <v>172</v>
      </c>
      <c r="S456">
        <v>0</v>
      </c>
      <c r="T456" t="s">
        <v>52</v>
      </c>
      <c r="U456">
        <v>0</v>
      </c>
      <c r="V456">
        <v>0</v>
      </c>
      <c r="W456">
        <v>400112</v>
      </c>
      <c r="X456" t="s">
        <v>56</v>
      </c>
      <c r="Y456" t="s">
        <v>57</v>
      </c>
      <c r="AE456">
        <v>0</v>
      </c>
      <c r="AP456" t="s">
        <v>220</v>
      </c>
    </row>
    <row r="457" spans="1:42">
      <c r="A457" s="1" t="s">
        <v>46</v>
      </c>
      <c r="B457" s="1" t="s">
        <v>1036</v>
      </c>
      <c r="C457" s="1" t="s">
        <v>1036</v>
      </c>
      <c r="E457" s="4" t="s">
        <v>1037</v>
      </c>
      <c r="G457" s="16"/>
      <c r="M457">
        <v>1</v>
      </c>
      <c r="N457">
        <v>36</v>
      </c>
      <c r="O457">
        <v>0</v>
      </c>
      <c r="P457">
        <v>1.66</v>
      </c>
      <c r="Q457">
        <v>59.76</v>
      </c>
      <c r="R457" t="s">
        <v>241</v>
      </c>
      <c r="S457">
        <v>0</v>
      </c>
      <c r="T457" t="s">
        <v>52</v>
      </c>
      <c r="U457">
        <v>0</v>
      </c>
      <c r="V457">
        <v>0</v>
      </c>
      <c r="W457">
        <v>400112</v>
      </c>
      <c r="AE457">
        <v>0</v>
      </c>
      <c r="AP457" t="s">
        <v>220</v>
      </c>
    </row>
    <row r="458" spans="1:42">
      <c r="A458" s="1" t="s">
        <v>46</v>
      </c>
      <c r="B458" s="1" t="s">
        <v>1038</v>
      </c>
      <c r="C458" s="1" t="s">
        <v>1038</v>
      </c>
      <c r="E458" s="4" t="s">
        <v>1039</v>
      </c>
      <c r="G458" s="16"/>
      <c r="M458">
        <v>1</v>
      </c>
      <c r="N458">
        <v>8</v>
      </c>
      <c r="O458">
        <v>0</v>
      </c>
      <c r="P458">
        <v>1.5</v>
      </c>
      <c r="Q458">
        <v>12</v>
      </c>
      <c r="R458" t="s">
        <v>176</v>
      </c>
      <c r="S458">
        <v>0</v>
      </c>
      <c r="T458" t="s">
        <v>52</v>
      </c>
      <c r="U458">
        <v>0</v>
      </c>
      <c r="V458">
        <v>0</v>
      </c>
      <c r="W458">
        <v>400061</v>
      </c>
      <c r="X458" t="s">
        <v>56</v>
      </c>
      <c r="Y458" t="s">
        <v>57</v>
      </c>
      <c r="AE458">
        <v>0</v>
      </c>
      <c r="AP458" t="s">
        <v>169</v>
      </c>
    </row>
    <row r="459" spans="1:42">
      <c r="A459" s="1" t="s">
        <v>46</v>
      </c>
      <c r="B459" s="1" t="s">
        <v>1040</v>
      </c>
      <c r="C459" s="1" t="s">
        <v>1040</v>
      </c>
      <c r="E459" s="4" t="s">
        <v>1041</v>
      </c>
      <c r="G459" s="16"/>
      <c r="M459">
        <v>1</v>
      </c>
      <c r="N459">
        <v>20</v>
      </c>
      <c r="O459">
        <v>0</v>
      </c>
      <c r="P459">
        <v>2.65</v>
      </c>
      <c r="Q459">
        <v>53</v>
      </c>
      <c r="R459" t="s">
        <v>176</v>
      </c>
      <c r="S459">
        <v>0</v>
      </c>
      <c r="T459" t="s">
        <v>52</v>
      </c>
      <c r="U459">
        <v>0</v>
      </c>
      <c r="V459">
        <v>0</v>
      </c>
      <c r="W459">
        <v>400061</v>
      </c>
      <c r="AE459">
        <v>0</v>
      </c>
      <c r="AP459" t="s">
        <v>169</v>
      </c>
    </row>
    <row r="460" spans="1:42">
      <c r="A460" s="1" t="s">
        <v>46</v>
      </c>
      <c r="B460" s="1" t="s">
        <v>1042</v>
      </c>
      <c r="C460" s="1" t="s">
        <v>1042</v>
      </c>
      <c r="E460" s="4" t="s">
        <v>1043</v>
      </c>
      <c r="G460" s="16"/>
      <c r="M460">
        <v>1</v>
      </c>
      <c r="N460">
        <v>8</v>
      </c>
      <c r="O460">
        <v>0</v>
      </c>
      <c r="P460">
        <v>2.5</v>
      </c>
      <c r="Q460">
        <v>20</v>
      </c>
      <c r="W460">
        <v>400061</v>
      </c>
      <c r="AE460">
        <v>0</v>
      </c>
      <c r="AP460" t="s">
        <v>169</v>
      </c>
    </row>
    <row r="461" spans="1:42">
      <c r="A461" s="1" t="s">
        <v>46</v>
      </c>
      <c r="B461" s="1" t="s">
        <v>1044</v>
      </c>
      <c r="C461" s="1" t="s">
        <v>1044</v>
      </c>
      <c r="E461" s="4" t="s">
        <v>1045</v>
      </c>
      <c r="G461" s="16"/>
      <c r="M461">
        <v>1</v>
      </c>
      <c r="N461">
        <v>189</v>
      </c>
      <c r="O461">
        <v>0</v>
      </c>
      <c r="P461">
        <v>1.55</v>
      </c>
      <c r="Q461">
        <v>292.95</v>
      </c>
      <c r="R461" t="s">
        <v>241</v>
      </c>
      <c r="S461">
        <v>0</v>
      </c>
      <c r="T461" t="s">
        <v>52</v>
      </c>
      <c r="U461">
        <v>0</v>
      </c>
      <c r="V461">
        <v>0</v>
      </c>
      <c r="W461">
        <v>410302</v>
      </c>
      <c r="AE461">
        <v>0</v>
      </c>
      <c r="AP461" t="s">
        <v>177</v>
      </c>
    </row>
    <row r="462" spans="1:42">
      <c r="A462" s="1" t="s">
        <v>46</v>
      </c>
      <c r="B462" s="1" t="s">
        <v>1046</v>
      </c>
      <c r="C462" s="1" t="s">
        <v>1046</v>
      </c>
      <c r="E462" s="4" t="s">
        <v>1047</v>
      </c>
      <c r="G462" s="16"/>
      <c r="M462">
        <v>1</v>
      </c>
      <c r="N462">
        <v>-1</v>
      </c>
      <c r="O462">
        <v>0</v>
      </c>
      <c r="P462">
        <v>0.49</v>
      </c>
      <c r="Q462">
        <v>-0.49</v>
      </c>
      <c r="R462" t="s">
        <v>556</v>
      </c>
      <c r="S462">
        <v>0</v>
      </c>
      <c r="T462" t="s">
        <v>52</v>
      </c>
      <c r="W462">
        <v>400013</v>
      </c>
      <c r="AE462">
        <v>0</v>
      </c>
      <c r="AP462" t="s">
        <v>232</v>
      </c>
    </row>
    <row r="463" spans="1:42">
      <c r="A463" s="1" t="s">
        <v>46</v>
      </c>
      <c r="B463" s="1" t="s">
        <v>1048</v>
      </c>
      <c r="C463" s="1" t="s">
        <v>1048</v>
      </c>
      <c r="E463" s="4" t="s">
        <v>1049</v>
      </c>
      <c r="G463" s="16"/>
      <c r="I463">
        <v>0.56000000000000005</v>
      </c>
      <c r="M463">
        <v>1</v>
      </c>
      <c r="N463">
        <v>18</v>
      </c>
      <c r="O463">
        <v>0</v>
      </c>
      <c r="P463">
        <v>0.39</v>
      </c>
      <c r="Q463">
        <v>7.03</v>
      </c>
      <c r="R463" t="s">
        <v>1050</v>
      </c>
      <c r="S463">
        <v>0</v>
      </c>
      <c r="T463" t="s">
        <v>52</v>
      </c>
      <c r="U463">
        <v>0</v>
      </c>
      <c r="V463">
        <v>0</v>
      </c>
      <c r="W463">
        <v>400026</v>
      </c>
      <c r="AE463">
        <v>0</v>
      </c>
      <c r="AH463">
        <v>0.56000000000000005</v>
      </c>
      <c r="AP463" t="s">
        <v>187</v>
      </c>
    </row>
    <row r="464" spans="1:42">
      <c r="A464" s="1" t="s">
        <v>46</v>
      </c>
      <c r="B464" s="1" t="s">
        <v>1051</v>
      </c>
      <c r="C464" s="1" t="s">
        <v>1051</v>
      </c>
      <c r="E464" s="4" t="s">
        <v>1052</v>
      </c>
      <c r="G464" s="16"/>
      <c r="I464">
        <v>3.23</v>
      </c>
      <c r="M464">
        <v>1</v>
      </c>
      <c r="N464">
        <v>990</v>
      </c>
      <c r="O464">
        <v>0</v>
      </c>
      <c r="P464">
        <v>0.65</v>
      </c>
      <c r="Q464">
        <v>643.5</v>
      </c>
      <c r="R464" t="s">
        <v>241</v>
      </c>
      <c r="S464">
        <v>0</v>
      </c>
      <c r="T464" t="s">
        <v>52</v>
      </c>
      <c r="U464">
        <v>0</v>
      </c>
      <c r="V464">
        <v>0</v>
      </c>
      <c r="W464">
        <v>400061</v>
      </c>
      <c r="AE464">
        <v>0</v>
      </c>
      <c r="AH464">
        <v>3.23</v>
      </c>
      <c r="AP464" t="s">
        <v>169</v>
      </c>
    </row>
    <row r="465" spans="1:42">
      <c r="A465" s="1" t="s">
        <v>46</v>
      </c>
      <c r="B465" s="1" t="s">
        <v>1053</v>
      </c>
      <c r="C465" s="1" t="s">
        <v>1053</v>
      </c>
      <c r="E465" s="4" t="s">
        <v>1054</v>
      </c>
      <c r="G465" s="16"/>
      <c r="I465">
        <v>25</v>
      </c>
      <c r="M465">
        <v>1</v>
      </c>
      <c r="N465">
        <v>5</v>
      </c>
      <c r="O465">
        <v>0</v>
      </c>
      <c r="P465">
        <v>15.54</v>
      </c>
      <c r="Q465">
        <v>77.7</v>
      </c>
      <c r="R465" t="s">
        <v>1050</v>
      </c>
      <c r="S465">
        <v>0</v>
      </c>
      <c r="T465" t="s">
        <v>52</v>
      </c>
      <c r="U465">
        <v>0</v>
      </c>
      <c r="V465">
        <v>0</v>
      </c>
      <c r="W465">
        <v>400026</v>
      </c>
      <c r="AE465">
        <v>0</v>
      </c>
      <c r="AH465">
        <v>25</v>
      </c>
      <c r="AP465" t="s">
        <v>187</v>
      </c>
    </row>
    <row r="466" spans="1:42">
      <c r="A466" s="1" t="s">
        <v>46</v>
      </c>
      <c r="B466" s="1" t="s">
        <v>1055</v>
      </c>
      <c r="C466" s="1" t="s">
        <v>1055</v>
      </c>
      <c r="E466" s="4" t="s">
        <v>1056</v>
      </c>
      <c r="G466" s="16"/>
      <c r="M466">
        <v>1</v>
      </c>
      <c r="N466">
        <v>2</v>
      </c>
      <c r="O466">
        <v>0</v>
      </c>
      <c r="P466">
        <v>9.57</v>
      </c>
      <c r="Q466">
        <v>19.149999999999999</v>
      </c>
      <c r="R466" t="s">
        <v>556</v>
      </c>
      <c r="S466">
        <v>0</v>
      </c>
      <c r="T466" t="s">
        <v>52</v>
      </c>
      <c r="W466">
        <v>400013</v>
      </c>
      <c r="AE466">
        <v>0</v>
      </c>
      <c r="AP466" t="s">
        <v>232</v>
      </c>
    </row>
    <row r="467" spans="1:42">
      <c r="A467" s="1" t="s">
        <v>46</v>
      </c>
      <c r="B467" s="1" t="s">
        <v>1057</v>
      </c>
      <c r="C467" s="1" t="s">
        <v>1057</v>
      </c>
      <c r="E467" s="4" t="s">
        <v>1058</v>
      </c>
      <c r="G467" s="16"/>
      <c r="M467">
        <v>1</v>
      </c>
      <c r="N467">
        <v>2238</v>
      </c>
      <c r="O467">
        <v>0</v>
      </c>
      <c r="P467">
        <v>0.85</v>
      </c>
      <c r="Q467">
        <v>1902.3</v>
      </c>
      <c r="R467" t="s">
        <v>241</v>
      </c>
      <c r="S467">
        <v>0</v>
      </c>
      <c r="T467" t="s">
        <v>52</v>
      </c>
      <c r="U467">
        <v>0</v>
      </c>
      <c r="V467">
        <v>0</v>
      </c>
      <c r="W467">
        <v>410302</v>
      </c>
      <c r="X467" t="s">
        <v>56</v>
      </c>
      <c r="Y467" t="s">
        <v>57</v>
      </c>
      <c r="AE467">
        <v>0</v>
      </c>
      <c r="AP467" t="s">
        <v>177</v>
      </c>
    </row>
    <row r="468" spans="1:42">
      <c r="A468" s="1" t="s">
        <v>46</v>
      </c>
      <c r="B468" s="1" t="s">
        <v>1059</v>
      </c>
      <c r="C468" s="1" t="s">
        <v>1059</v>
      </c>
      <c r="E468" s="4" t="s">
        <v>1060</v>
      </c>
      <c r="G468" s="16"/>
      <c r="I468">
        <v>11</v>
      </c>
      <c r="M468">
        <v>1</v>
      </c>
      <c r="N468">
        <v>2</v>
      </c>
      <c r="O468">
        <v>0</v>
      </c>
      <c r="P468">
        <v>6.21</v>
      </c>
      <c r="Q468">
        <v>12.41</v>
      </c>
      <c r="R468" t="s">
        <v>1050</v>
      </c>
      <c r="S468">
        <v>0</v>
      </c>
      <c r="T468" t="s">
        <v>52</v>
      </c>
      <c r="W468">
        <v>400026</v>
      </c>
      <c r="AE468">
        <v>0</v>
      </c>
      <c r="AH468">
        <v>11</v>
      </c>
      <c r="AP468" t="s">
        <v>187</v>
      </c>
    </row>
    <row r="469" spans="1:42">
      <c r="A469" s="1" t="s">
        <v>46</v>
      </c>
      <c r="B469" s="1" t="s">
        <v>1061</v>
      </c>
      <c r="C469" s="1" t="s">
        <v>1061</v>
      </c>
      <c r="E469" s="4" t="s">
        <v>1062</v>
      </c>
      <c r="G469" s="16"/>
      <c r="M469">
        <v>1</v>
      </c>
      <c r="N469">
        <v>543</v>
      </c>
      <c r="O469">
        <v>0</v>
      </c>
      <c r="P469">
        <v>0.9</v>
      </c>
      <c r="Q469">
        <v>488.7</v>
      </c>
      <c r="W469">
        <v>400061</v>
      </c>
      <c r="AE469">
        <v>0</v>
      </c>
      <c r="AP469" t="s">
        <v>169</v>
      </c>
    </row>
    <row r="470" spans="1:42">
      <c r="A470" s="1" t="s">
        <v>46</v>
      </c>
      <c r="B470" s="1" t="s">
        <v>1063</v>
      </c>
      <c r="C470" s="1" t="s">
        <v>1063</v>
      </c>
      <c r="E470" s="4" t="s">
        <v>1064</v>
      </c>
      <c r="G470" s="16"/>
      <c r="M470">
        <v>1</v>
      </c>
      <c r="N470">
        <v>-45</v>
      </c>
      <c r="O470">
        <v>0</v>
      </c>
      <c r="R470" t="s">
        <v>241</v>
      </c>
      <c r="S470">
        <v>0</v>
      </c>
      <c r="T470" t="s">
        <v>52</v>
      </c>
      <c r="U470">
        <v>0</v>
      </c>
      <c r="V470">
        <v>0</v>
      </c>
      <c r="AE470">
        <v>0</v>
      </c>
    </row>
    <row r="471" spans="1:42">
      <c r="A471" s="1" t="s">
        <v>46</v>
      </c>
      <c r="B471" s="1" t="s">
        <v>1065</v>
      </c>
      <c r="C471" s="1" t="s">
        <v>1065</v>
      </c>
      <c r="E471" s="4" t="s">
        <v>1066</v>
      </c>
      <c r="G471" s="16"/>
      <c r="I471">
        <v>2.2999999999999998</v>
      </c>
      <c r="M471">
        <v>1</v>
      </c>
      <c r="N471">
        <v>2</v>
      </c>
      <c r="O471">
        <v>0</v>
      </c>
      <c r="P471">
        <v>1.43</v>
      </c>
      <c r="Q471">
        <v>2.86</v>
      </c>
      <c r="R471" t="s">
        <v>1050</v>
      </c>
      <c r="S471">
        <v>0</v>
      </c>
      <c r="T471" t="s">
        <v>52</v>
      </c>
      <c r="U471">
        <v>0</v>
      </c>
      <c r="V471">
        <v>0</v>
      </c>
      <c r="W471">
        <v>400026</v>
      </c>
      <c r="AE471">
        <v>0</v>
      </c>
      <c r="AH471">
        <v>2.2999999999999998</v>
      </c>
      <c r="AP471" t="s">
        <v>187</v>
      </c>
    </row>
    <row r="472" spans="1:42">
      <c r="A472" s="1" t="s">
        <v>46</v>
      </c>
      <c r="B472" s="1" t="s">
        <v>1067</v>
      </c>
      <c r="C472" s="1" t="s">
        <v>1067</v>
      </c>
      <c r="E472" s="4" t="s">
        <v>1068</v>
      </c>
      <c r="G472" s="16"/>
      <c r="M472">
        <v>1</v>
      </c>
      <c r="N472">
        <v>19.600000000000001</v>
      </c>
      <c r="O472">
        <v>0</v>
      </c>
      <c r="P472">
        <v>8.2899999999999991</v>
      </c>
      <c r="Q472">
        <v>162.44999999999999</v>
      </c>
      <c r="R472" t="s">
        <v>556</v>
      </c>
      <c r="S472">
        <v>0</v>
      </c>
      <c r="T472" t="s">
        <v>209</v>
      </c>
      <c r="U472">
        <v>0</v>
      </c>
      <c r="V472">
        <v>0</v>
      </c>
      <c r="W472">
        <v>400013</v>
      </c>
      <c r="AE472">
        <v>0</v>
      </c>
      <c r="AP472" t="s">
        <v>232</v>
      </c>
    </row>
    <row r="473" spans="1:42">
      <c r="A473" s="1" t="s">
        <v>46</v>
      </c>
      <c r="B473" s="1" t="s">
        <v>1069</v>
      </c>
      <c r="C473" s="1" t="s">
        <v>1069</v>
      </c>
      <c r="E473" s="4" t="s">
        <v>1070</v>
      </c>
      <c r="G473" s="16"/>
      <c r="M473">
        <v>1</v>
      </c>
      <c r="N473">
        <v>861</v>
      </c>
      <c r="O473">
        <v>0</v>
      </c>
      <c r="P473">
        <v>0.18</v>
      </c>
      <c r="Q473">
        <v>154.97999999999999</v>
      </c>
      <c r="R473">
        <v>0</v>
      </c>
      <c r="S473">
        <v>0</v>
      </c>
      <c r="T473">
        <v>0</v>
      </c>
      <c r="W473">
        <v>400119</v>
      </c>
      <c r="AE473">
        <v>0</v>
      </c>
      <c r="AP473" t="s">
        <v>53</v>
      </c>
    </row>
    <row r="474" spans="1:42">
      <c r="A474" s="1" t="s">
        <v>46</v>
      </c>
      <c r="B474" s="1" t="s">
        <v>1071</v>
      </c>
      <c r="C474" s="1" t="s">
        <v>1071</v>
      </c>
      <c r="E474" s="4" t="s">
        <v>1072</v>
      </c>
      <c r="G474" s="16"/>
      <c r="M474">
        <v>1</v>
      </c>
      <c r="N474">
        <v>82</v>
      </c>
      <c r="O474">
        <v>0</v>
      </c>
      <c r="P474">
        <v>7</v>
      </c>
      <c r="Q474">
        <v>574</v>
      </c>
      <c r="R474" t="s">
        <v>556</v>
      </c>
      <c r="S474">
        <v>0</v>
      </c>
      <c r="T474" t="s">
        <v>52</v>
      </c>
      <c r="U474">
        <v>0</v>
      </c>
      <c r="V474">
        <v>0</v>
      </c>
      <c r="W474">
        <v>400045</v>
      </c>
      <c r="AE474">
        <v>0</v>
      </c>
      <c r="AP474" t="s">
        <v>217</v>
      </c>
    </row>
    <row r="475" spans="1:42">
      <c r="A475" s="1" t="s">
        <v>46</v>
      </c>
      <c r="B475" s="1" t="s">
        <v>1073</v>
      </c>
      <c r="C475" s="1" t="s">
        <v>1073</v>
      </c>
      <c r="E475" s="4" t="s">
        <v>1074</v>
      </c>
      <c r="G475" s="16"/>
      <c r="M475">
        <v>1</v>
      </c>
      <c r="N475">
        <v>81</v>
      </c>
      <c r="O475">
        <v>0</v>
      </c>
      <c r="P475">
        <v>4.01</v>
      </c>
      <c r="Q475">
        <v>324.56</v>
      </c>
      <c r="R475">
        <v>0</v>
      </c>
      <c r="S475">
        <v>0</v>
      </c>
      <c r="T475" t="s">
        <v>52</v>
      </c>
      <c r="W475">
        <v>400184</v>
      </c>
      <c r="AE475">
        <v>0</v>
      </c>
      <c r="AP475" t="s">
        <v>136</v>
      </c>
    </row>
    <row r="476" spans="1:42">
      <c r="A476" s="1" t="s">
        <v>46</v>
      </c>
      <c r="B476" s="1" t="s">
        <v>1075</v>
      </c>
      <c r="C476" s="1" t="s">
        <v>1075</v>
      </c>
      <c r="E476" s="4" t="s">
        <v>1076</v>
      </c>
      <c r="G476" s="16"/>
      <c r="M476">
        <v>1</v>
      </c>
      <c r="N476">
        <v>-11</v>
      </c>
      <c r="O476">
        <v>0</v>
      </c>
      <c r="P476">
        <v>0.41</v>
      </c>
      <c r="Q476">
        <v>-4.53</v>
      </c>
      <c r="R476" t="s">
        <v>556</v>
      </c>
      <c r="S476">
        <v>0</v>
      </c>
      <c r="T476" t="s">
        <v>52</v>
      </c>
      <c r="U476">
        <v>0</v>
      </c>
      <c r="V476">
        <v>0</v>
      </c>
      <c r="W476">
        <v>400013</v>
      </c>
      <c r="AE476">
        <v>0</v>
      </c>
      <c r="AP476" t="s">
        <v>232</v>
      </c>
    </row>
    <row r="477" spans="1:42">
      <c r="A477" s="1" t="s">
        <v>46</v>
      </c>
      <c r="B477" s="1" t="s">
        <v>1077</v>
      </c>
      <c r="C477" s="1" t="s">
        <v>1077</v>
      </c>
      <c r="E477" s="4" t="s">
        <v>1078</v>
      </c>
      <c r="G477" s="16"/>
      <c r="M477">
        <v>1</v>
      </c>
      <c r="N477">
        <v>10</v>
      </c>
      <c r="O477">
        <v>0</v>
      </c>
      <c r="P477">
        <v>0.67</v>
      </c>
      <c r="Q477">
        <v>6.67</v>
      </c>
      <c r="R477" t="s">
        <v>556</v>
      </c>
      <c r="S477">
        <v>0</v>
      </c>
      <c r="T477" t="s">
        <v>52</v>
      </c>
      <c r="U477">
        <v>0</v>
      </c>
      <c r="V477">
        <v>0</v>
      </c>
      <c r="W477">
        <v>400013</v>
      </c>
      <c r="AE477">
        <v>0</v>
      </c>
      <c r="AP477" t="s">
        <v>232</v>
      </c>
    </row>
    <row r="478" spans="1:42">
      <c r="A478" s="1" t="s">
        <v>46</v>
      </c>
      <c r="B478" s="1" t="s">
        <v>1079</v>
      </c>
      <c r="C478" s="1" t="s">
        <v>1079</v>
      </c>
      <c r="E478" s="4" t="s">
        <v>1080</v>
      </c>
      <c r="G478" s="16"/>
      <c r="M478">
        <v>1</v>
      </c>
      <c r="N478">
        <v>478</v>
      </c>
      <c r="O478">
        <v>0</v>
      </c>
      <c r="P478">
        <v>0.51</v>
      </c>
      <c r="Q478">
        <v>243.78</v>
      </c>
      <c r="R478" t="s">
        <v>176</v>
      </c>
      <c r="S478">
        <v>0</v>
      </c>
      <c r="T478" t="s">
        <v>52</v>
      </c>
      <c r="U478">
        <v>0</v>
      </c>
      <c r="V478">
        <v>0</v>
      </c>
      <c r="W478">
        <v>400061</v>
      </c>
      <c r="X478" t="s">
        <v>56</v>
      </c>
      <c r="Y478" t="s">
        <v>57</v>
      </c>
      <c r="AE478">
        <v>0</v>
      </c>
      <c r="AP478" t="s">
        <v>169</v>
      </c>
    </row>
    <row r="479" spans="1:42">
      <c r="A479" s="1" t="s">
        <v>46</v>
      </c>
      <c r="B479" s="1" t="s">
        <v>1081</v>
      </c>
      <c r="C479" s="1" t="s">
        <v>1081</v>
      </c>
      <c r="E479" s="4" t="s">
        <v>1082</v>
      </c>
      <c r="G479" s="16"/>
      <c r="M479">
        <v>1</v>
      </c>
      <c r="N479">
        <v>352</v>
      </c>
      <c r="O479">
        <v>0</v>
      </c>
      <c r="P479">
        <v>1.5</v>
      </c>
      <c r="Q479">
        <v>528</v>
      </c>
      <c r="R479">
        <v>0</v>
      </c>
      <c r="S479">
        <v>0</v>
      </c>
      <c r="T479" t="s">
        <v>52</v>
      </c>
      <c r="W479">
        <v>400119</v>
      </c>
      <c r="AE479">
        <v>0</v>
      </c>
      <c r="AP479" t="s">
        <v>53</v>
      </c>
    </row>
    <row r="480" spans="1:42">
      <c r="A480" s="1" t="s">
        <v>46</v>
      </c>
      <c r="B480" s="1" t="s">
        <v>1083</v>
      </c>
      <c r="C480" s="1" t="s">
        <v>1083</v>
      </c>
      <c r="E480" s="4" t="s">
        <v>1084</v>
      </c>
      <c r="G480" s="16"/>
      <c r="I480">
        <v>0.56000000000000005</v>
      </c>
      <c r="M480">
        <v>1</v>
      </c>
      <c r="N480">
        <v>56</v>
      </c>
      <c r="O480">
        <v>0</v>
      </c>
      <c r="P480">
        <v>0.39</v>
      </c>
      <c r="Q480">
        <v>21.93</v>
      </c>
      <c r="R480" t="s">
        <v>1050</v>
      </c>
      <c r="S480">
        <v>0</v>
      </c>
      <c r="T480" t="s">
        <v>52</v>
      </c>
      <c r="U480">
        <v>0</v>
      </c>
      <c r="V480">
        <v>0</v>
      </c>
      <c r="W480">
        <v>400026</v>
      </c>
      <c r="AE480">
        <v>0</v>
      </c>
      <c r="AH480">
        <v>0.56000000000000005</v>
      </c>
      <c r="AP480" t="s">
        <v>187</v>
      </c>
    </row>
    <row r="481" spans="1:42">
      <c r="A481" s="1" t="s">
        <v>46</v>
      </c>
      <c r="B481" s="1" t="s">
        <v>1085</v>
      </c>
      <c r="C481" s="1" t="s">
        <v>1085</v>
      </c>
      <c r="E481" s="4" t="s">
        <v>1086</v>
      </c>
      <c r="G481" s="16"/>
      <c r="I481">
        <v>1.36</v>
      </c>
      <c r="M481">
        <v>1</v>
      </c>
      <c r="N481">
        <v>18</v>
      </c>
      <c r="O481">
        <v>0</v>
      </c>
      <c r="P481">
        <v>0.87</v>
      </c>
      <c r="Q481">
        <v>15.71</v>
      </c>
      <c r="R481" t="s">
        <v>1050</v>
      </c>
      <c r="S481">
        <v>0</v>
      </c>
      <c r="T481" t="s">
        <v>52</v>
      </c>
      <c r="U481">
        <v>0</v>
      </c>
      <c r="V481">
        <v>0</v>
      </c>
      <c r="W481">
        <v>400026</v>
      </c>
      <c r="AE481">
        <v>0</v>
      </c>
      <c r="AH481">
        <v>1.36</v>
      </c>
      <c r="AP481" t="s">
        <v>187</v>
      </c>
    </row>
    <row r="482" spans="1:42">
      <c r="A482" s="1" t="s">
        <v>46</v>
      </c>
      <c r="B482" s="1" t="s">
        <v>1087</v>
      </c>
      <c r="C482" s="1" t="s">
        <v>1087</v>
      </c>
      <c r="E482" s="4" t="s">
        <v>1088</v>
      </c>
      <c r="G482" s="16"/>
      <c r="M482">
        <v>1</v>
      </c>
      <c r="N482">
        <v>-58</v>
      </c>
      <c r="O482">
        <v>0</v>
      </c>
      <c r="P482">
        <v>0.8</v>
      </c>
      <c r="Q482">
        <v>-46.4</v>
      </c>
      <c r="R482">
        <v>0</v>
      </c>
      <c r="S482">
        <v>0</v>
      </c>
      <c r="T482" t="s">
        <v>52</v>
      </c>
      <c r="U482">
        <v>0</v>
      </c>
      <c r="V482">
        <v>0</v>
      </c>
      <c r="W482">
        <v>410227</v>
      </c>
      <c r="AE482">
        <v>0</v>
      </c>
      <c r="AP482" t="s">
        <v>1089</v>
      </c>
    </row>
    <row r="483" spans="1:42">
      <c r="A483" s="1" t="s">
        <v>46</v>
      </c>
      <c r="B483" s="1" t="s">
        <v>1090</v>
      </c>
      <c r="C483" s="1" t="s">
        <v>1090</v>
      </c>
      <c r="E483" s="4" t="s">
        <v>1091</v>
      </c>
      <c r="G483" s="16"/>
      <c r="M483">
        <v>1</v>
      </c>
      <c r="N483">
        <v>44</v>
      </c>
      <c r="O483">
        <v>0</v>
      </c>
      <c r="P483">
        <v>2.89</v>
      </c>
      <c r="Q483">
        <v>126.98</v>
      </c>
      <c r="R483">
        <v>0</v>
      </c>
      <c r="S483">
        <v>0</v>
      </c>
      <c r="T483" t="s">
        <v>52</v>
      </c>
      <c r="U483">
        <v>0</v>
      </c>
      <c r="V483">
        <v>0</v>
      </c>
      <c r="W483">
        <v>400013</v>
      </c>
      <c r="AE483">
        <v>0</v>
      </c>
      <c r="AP483" t="s">
        <v>232</v>
      </c>
    </row>
    <row r="484" spans="1:42">
      <c r="A484" s="1" t="s">
        <v>46</v>
      </c>
      <c r="B484" s="1" t="s">
        <v>1092</v>
      </c>
      <c r="C484" s="1" t="s">
        <v>1092</v>
      </c>
      <c r="E484" s="4" t="s">
        <v>1093</v>
      </c>
      <c r="G484" s="16"/>
      <c r="M484">
        <v>1</v>
      </c>
      <c r="N484">
        <v>7</v>
      </c>
      <c r="O484">
        <v>0</v>
      </c>
      <c r="P484">
        <v>0.34</v>
      </c>
      <c r="Q484">
        <v>2.39</v>
      </c>
      <c r="R484" t="s">
        <v>556</v>
      </c>
      <c r="S484">
        <v>0</v>
      </c>
      <c r="T484" t="s">
        <v>52</v>
      </c>
      <c r="U484">
        <v>0</v>
      </c>
      <c r="V484">
        <v>0</v>
      </c>
      <c r="W484">
        <v>400013</v>
      </c>
      <c r="AE484">
        <v>0</v>
      </c>
      <c r="AP484" t="s">
        <v>232</v>
      </c>
    </row>
    <row r="485" spans="1:42">
      <c r="A485" s="1" t="s">
        <v>46</v>
      </c>
      <c r="B485" s="1" t="s">
        <v>1094</v>
      </c>
      <c r="C485" s="1" t="s">
        <v>1094</v>
      </c>
      <c r="E485" s="4" t="s">
        <v>1095</v>
      </c>
      <c r="G485" s="16"/>
      <c r="I485">
        <v>0.46</v>
      </c>
      <c r="M485">
        <v>1</v>
      </c>
      <c r="N485">
        <v>43</v>
      </c>
      <c r="O485">
        <v>0</v>
      </c>
      <c r="P485">
        <v>0.32</v>
      </c>
      <c r="Q485">
        <v>13.91</v>
      </c>
      <c r="R485" t="s">
        <v>1050</v>
      </c>
      <c r="S485">
        <v>0</v>
      </c>
      <c r="T485" t="s">
        <v>52</v>
      </c>
      <c r="U485">
        <v>0</v>
      </c>
      <c r="V485">
        <v>0</v>
      </c>
      <c r="W485">
        <v>400026</v>
      </c>
      <c r="AE485">
        <v>0</v>
      </c>
      <c r="AH485">
        <v>0.46</v>
      </c>
      <c r="AP485" t="s">
        <v>187</v>
      </c>
    </row>
    <row r="486" spans="1:42">
      <c r="A486" s="1" t="s">
        <v>46</v>
      </c>
      <c r="B486" s="1" t="s">
        <v>1096</v>
      </c>
      <c r="C486" s="1" t="s">
        <v>1096</v>
      </c>
      <c r="E486" s="4" t="s">
        <v>1097</v>
      </c>
      <c r="G486" s="16"/>
      <c r="M486">
        <v>1</v>
      </c>
      <c r="N486">
        <v>600</v>
      </c>
      <c r="O486">
        <v>0</v>
      </c>
      <c r="P486">
        <v>1.5</v>
      </c>
      <c r="Q486">
        <v>900</v>
      </c>
      <c r="R486">
        <v>0</v>
      </c>
      <c r="S486">
        <v>0</v>
      </c>
      <c r="T486" t="s">
        <v>52</v>
      </c>
      <c r="U486">
        <v>0</v>
      </c>
      <c r="V486">
        <v>0</v>
      </c>
      <c r="W486">
        <v>400119</v>
      </c>
      <c r="AE486">
        <v>0</v>
      </c>
      <c r="AP486" t="s">
        <v>53</v>
      </c>
    </row>
    <row r="487" spans="1:42">
      <c r="A487" s="1" t="s">
        <v>46</v>
      </c>
      <c r="B487" s="1" t="s">
        <v>1098</v>
      </c>
      <c r="C487" s="1" t="s">
        <v>1098</v>
      </c>
      <c r="E487" s="4" t="s">
        <v>1099</v>
      </c>
      <c r="G487" s="16"/>
      <c r="M487">
        <v>1</v>
      </c>
      <c r="N487">
        <v>83</v>
      </c>
      <c r="O487">
        <v>0</v>
      </c>
      <c r="P487">
        <v>2.75</v>
      </c>
      <c r="Q487">
        <v>228.25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400112</v>
      </c>
      <c r="AE487">
        <v>0</v>
      </c>
      <c r="AP487" t="s">
        <v>220</v>
      </c>
    </row>
    <row r="488" spans="1:42">
      <c r="A488" s="1" t="s">
        <v>46</v>
      </c>
      <c r="B488" s="1" t="s">
        <v>1100</v>
      </c>
      <c r="C488" s="1" t="s">
        <v>1100</v>
      </c>
      <c r="E488" s="4" t="s">
        <v>1101</v>
      </c>
      <c r="G488" s="16"/>
      <c r="M488">
        <v>1</v>
      </c>
      <c r="N488">
        <v>2035</v>
      </c>
      <c r="O488">
        <v>0</v>
      </c>
      <c r="P488">
        <v>10</v>
      </c>
      <c r="Q488">
        <v>20350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400045</v>
      </c>
      <c r="AE488">
        <v>0</v>
      </c>
      <c r="AP488" t="s">
        <v>217</v>
      </c>
    </row>
    <row r="489" spans="1:42">
      <c r="A489" s="1" t="s">
        <v>46</v>
      </c>
      <c r="B489" s="1" t="s">
        <v>1102</v>
      </c>
      <c r="C489" s="1" t="s">
        <v>1102</v>
      </c>
      <c r="E489" s="4" t="s">
        <v>1103</v>
      </c>
      <c r="G489" s="16"/>
      <c r="I489">
        <v>4.2</v>
      </c>
      <c r="M489">
        <v>1</v>
      </c>
      <c r="N489">
        <v>9</v>
      </c>
      <c r="O489">
        <v>0</v>
      </c>
      <c r="P489">
        <v>2.61</v>
      </c>
      <c r="Q489">
        <v>23.48</v>
      </c>
      <c r="R489" t="s">
        <v>1050</v>
      </c>
      <c r="S489">
        <v>0</v>
      </c>
      <c r="T489" t="s">
        <v>52</v>
      </c>
      <c r="U489">
        <v>0</v>
      </c>
      <c r="V489">
        <v>0</v>
      </c>
      <c r="W489">
        <v>400026</v>
      </c>
      <c r="AE489">
        <v>0</v>
      </c>
      <c r="AH489">
        <v>4.2</v>
      </c>
      <c r="AP489" t="s">
        <v>187</v>
      </c>
    </row>
    <row r="490" spans="1:42">
      <c r="A490" s="1" t="s">
        <v>46</v>
      </c>
      <c r="B490" s="1" t="s">
        <v>1104</v>
      </c>
      <c r="C490" s="1" t="s">
        <v>1104</v>
      </c>
      <c r="E490" s="4" t="s">
        <v>1105</v>
      </c>
      <c r="G490" s="16"/>
      <c r="M490">
        <v>1</v>
      </c>
      <c r="N490">
        <v>1096</v>
      </c>
      <c r="O490">
        <v>0</v>
      </c>
      <c r="P490">
        <v>0.9</v>
      </c>
      <c r="Q490">
        <v>986.4</v>
      </c>
      <c r="R490" t="s">
        <v>783</v>
      </c>
      <c r="S490">
        <v>0</v>
      </c>
      <c r="T490">
        <v>0</v>
      </c>
      <c r="U490">
        <v>0</v>
      </c>
      <c r="V490">
        <v>0</v>
      </c>
      <c r="W490">
        <v>400033</v>
      </c>
      <c r="AE490">
        <v>0</v>
      </c>
      <c r="AP490" t="s">
        <v>126</v>
      </c>
    </row>
    <row r="491" spans="1:42">
      <c r="A491" s="1" t="s">
        <v>46</v>
      </c>
      <c r="B491" s="1" t="s">
        <v>1106</v>
      </c>
      <c r="C491" s="1" t="s">
        <v>1106</v>
      </c>
      <c r="E491" s="4" t="s">
        <v>1107</v>
      </c>
      <c r="G491" s="16"/>
      <c r="M491">
        <v>1</v>
      </c>
      <c r="N491">
        <v>2887</v>
      </c>
      <c r="O491">
        <v>0</v>
      </c>
      <c r="P491">
        <v>1</v>
      </c>
      <c r="Q491">
        <v>2887</v>
      </c>
      <c r="R491" t="s">
        <v>783</v>
      </c>
      <c r="S491">
        <v>0</v>
      </c>
      <c r="T491">
        <v>0</v>
      </c>
      <c r="U491">
        <v>0</v>
      </c>
      <c r="V491">
        <v>0</v>
      </c>
      <c r="W491">
        <v>410120</v>
      </c>
      <c r="X491" t="s">
        <v>56</v>
      </c>
      <c r="Y491" t="s">
        <v>57</v>
      </c>
      <c r="AE491">
        <v>0</v>
      </c>
      <c r="AP491" t="s">
        <v>112</v>
      </c>
    </row>
    <row r="492" spans="1:42">
      <c r="A492" s="1" t="s">
        <v>46</v>
      </c>
      <c r="B492" s="1" t="s">
        <v>1108</v>
      </c>
      <c r="C492" s="1" t="s">
        <v>1108</v>
      </c>
      <c r="E492" s="4" t="s">
        <v>1109</v>
      </c>
      <c r="G492" s="16"/>
      <c r="M492">
        <v>1</v>
      </c>
      <c r="N492">
        <v>1232</v>
      </c>
      <c r="O492">
        <v>0</v>
      </c>
      <c r="P492">
        <v>0.75</v>
      </c>
      <c r="Q492">
        <v>924</v>
      </c>
      <c r="R492" t="s">
        <v>176</v>
      </c>
      <c r="S492">
        <v>0</v>
      </c>
      <c r="T492" t="s">
        <v>52</v>
      </c>
      <c r="U492">
        <v>0</v>
      </c>
      <c r="V492">
        <v>0</v>
      </c>
      <c r="W492">
        <v>400061</v>
      </c>
      <c r="X492" t="s">
        <v>56</v>
      </c>
      <c r="Y492" t="s">
        <v>57</v>
      </c>
      <c r="AE492">
        <v>0</v>
      </c>
      <c r="AP492" t="s">
        <v>169</v>
      </c>
    </row>
    <row r="493" spans="1:42">
      <c r="A493" s="1" t="s">
        <v>46</v>
      </c>
      <c r="B493" s="1" t="s">
        <v>1110</v>
      </c>
      <c r="C493" s="1" t="s">
        <v>1110</v>
      </c>
      <c r="E493" s="4" t="s">
        <v>1111</v>
      </c>
      <c r="G493" s="16"/>
      <c r="I493">
        <v>15</v>
      </c>
      <c r="M493">
        <v>1</v>
      </c>
      <c r="N493">
        <v>1</v>
      </c>
      <c r="O493">
        <v>0</v>
      </c>
      <c r="P493">
        <v>10.07</v>
      </c>
      <c r="Q493">
        <v>10.07</v>
      </c>
      <c r="R493" t="s">
        <v>1050</v>
      </c>
      <c r="S493">
        <v>0</v>
      </c>
      <c r="T493" t="s">
        <v>52</v>
      </c>
      <c r="U493">
        <v>0</v>
      </c>
      <c r="V493">
        <v>0</v>
      </c>
      <c r="W493">
        <v>400026</v>
      </c>
      <c r="AE493">
        <v>0</v>
      </c>
      <c r="AH493">
        <v>15</v>
      </c>
      <c r="AP493" t="s">
        <v>187</v>
      </c>
    </row>
    <row r="494" spans="1:42">
      <c r="A494" s="1" t="s">
        <v>46</v>
      </c>
      <c r="B494" s="1" t="s">
        <v>1112</v>
      </c>
      <c r="C494" s="1" t="s">
        <v>1112</v>
      </c>
      <c r="E494" s="4" t="s">
        <v>1113</v>
      </c>
      <c r="G494" s="16">
        <v>14</v>
      </c>
      <c r="M494">
        <v>1</v>
      </c>
      <c r="N494">
        <v>365</v>
      </c>
      <c r="O494">
        <v>0</v>
      </c>
      <c r="P494">
        <v>2.15</v>
      </c>
      <c r="Q494">
        <v>784.75</v>
      </c>
      <c r="R494">
        <v>0</v>
      </c>
      <c r="S494">
        <v>0</v>
      </c>
      <c r="T494" t="s">
        <v>52</v>
      </c>
      <c r="U494">
        <v>0</v>
      </c>
      <c r="V494">
        <v>0</v>
      </c>
      <c r="W494">
        <v>400033</v>
      </c>
      <c r="X494" t="s">
        <v>56</v>
      </c>
      <c r="Y494" t="s">
        <v>57</v>
      </c>
      <c r="AE494">
        <v>0</v>
      </c>
      <c r="AP494" t="s">
        <v>126</v>
      </c>
    </row>
    <row r="495" spans="1:42">
      <c r="A495" s="1" t="s">
        <v>46</v>
      </c>
      <c r="B495" s="1" t="s">
        <v>1114</v>
      </c>
      <c r="C495" s="1" t="s">
        <v>1114</v>
      </c>
      <c r="E495" s="4" t="s">
        <v>1115</v>
      </c>
      <c r="G495" s="16">
        <v>15</v>
      </c>
      <c r="M495">
        <v>1</v>
      </c>
      <c r="N495">
        <v>210</v>
      </c>
      <c r="O495">
        <v>0</v>
      </c>
      <c r="P495">
        <v>6.82</v>
      </c>
      <c r="Q495">
        <v>1432.2</v>
      </c>
      <c r="R495">
        <v>0</v>
      </c>
      <c r="S495">
        <v>0</v>
      </c>
      <c r="T495" t="s">
        <v>52</v>
      </c>
      <c r="U495">
        <v>0</v>
      </c>
      <c r="V495">
        <v>0</v>
      </c>
      <c r="W495">
        <v>400120</v>
      </c>
      <c r="AE495">
        <v>0</v>
      </c>
      <c r="AP495" t="s">
        <v>468</v>
      </c>
    </row>
    <row r="496" spans="1:42">
      <c r="A496" s="1" t="s">
        <v>46</v>
      </c>
      <c r="B496" s="1" t="s">
        <v>1116</v>
      </c>
      <c r="C496" s="1" t="s">
        <v>1116</v>
      </c>
      <c r="E496" s="4" t="s">
        <v>1117</v>
      </c>
      <c r="G496" s="16">
        <v>35</v>
      </c>
      <c r="I496">
        <v>3.23</v>
      </c>
      <c r="M496">
        <v>1</v>
      </c>
      <c r="N496">
        <v>11</v>
      </c>
      <c r="O496">
        <v>0</v>
      </c>
      <c r="P496">
        <v>2.27</v>
      </c>
      <c r="Q496">
        <v>24.93</v>
      </c>
      <c r="R496" t="s">
        <v>1050</v>
      </c>
      <c r="S496">
        <v>0</v>
      </c>
      <c r="T496" t="s">
        <v>52</v>
      </c>
      <c r="U496">
        <v>0</v>
      </c>
      <c r="V496">
        <v>0</v>
      </c>
      <c r="W496">
        <v>400026</v>
      </c>
      <c r="AE496">
        <v>0</v>
      </c>
      <c r="AH496">
        <v>3.23</v>
      </c>
      <c r="AP496" t="s">
        <v>187</v>
      </c>
    </row>
    <row r="497" spans="1:42">
      <c r="A497" s="1" t="s">
        <v>46</v>
      </c>
      <c r="B497" s="1" t="s">
        <v>1118</v>
      </c>
      <c r="C497" s="1" t="s">
        <v>1118</v>
      </c>
      <c r="E497" s="4" t="s">
        <v>1119</v>
      </c>
      <c r="G497" s="16"/>
      <c r="M497">
        <v>1</v>
      </c>
      <c r="N497">
        <v>46</v>
      </c>
      <c r="O497">
        <v>0</v>
      </c>
      <c r="P497">
        <v>20</v>
      </c>
      <c r="Q497">
        <v>920</v>
      </c>
      <c r="R497" t="s">
        <v>176</v>
      </c>
      <c r="S497">
        <v>0</v>
      </c>
      <c r="T497" t="s">
        <v>227</v>
      </c>
      <c r="U497">
        <v>0</v>
      </c>
      <c r="V497">
        <v>0</v>
      </c>
      <c r="W497">
        <v>400061</v>
      </c>
      <c r="X497" t="s">
        <v>56</v>
      </c>
      <c r="Y497" t="s">
        <v>57</v>
      </c>
      <c r="AE497">
        <v>0</v>
      </c>
      <c r="AF497">
        <v>0.55000000000000004</v>
      </c>
      <c r="AP497" t="s">
        <v>169</v>
      </c>
    </row>
    <row r="498" spans="1:42">
      <c r="A498" s="1" t="s">
        <v>46</v>
      </c>
      <c r="B498" s="1" t="s">
        <v>1120</v>
      </c>
      <c r="C498" s="1" t="s">
        <v>1120</v>
      </c>
      <c r="E498" s="4" t="s">
        <v>1121</v>
      </c>
      <c r="G498" s="16">
        <v>30</v>
      </c>
      <c r="I498">
        <v>3.5</v>
      </c>
      <c r="M498">
        <v>1</v>
      </c>
      <c r="N498">
        <v>-3</v>
      </c>
      <c r="O498">
        <v>0</v>
      </c>
      <c r="P498">
        <v>1.97</v>
      </c>
      <c r="Q498">
        <v>-5.91</v>
      </c>
      <c r="R498" t="s">
        <v>1050</v>
      </c>
      <c r="S498">
        <v>0</v>
      </c>
      <c r="T498" t="s">
        <v>52</v>
      </c>
      <c r="U498">
        <v>0</v>
      </c>
      <c r="V498">
        <v>0</v>
      </c>
      <c r="W498">
        <v>400026</v>
      </c>
      <c r="AE498">
        <v>0</v>
      </c>
      <c r="AH498">
        <v>3.5</v>
      </c>
      <c r="AP498" t="s">
        <v>187</v>
      </c>
    </row>
    <row r="499" spans="1:42">
      <c r="A499" s="1" t="s">
        <v>46</v>
      </c>
      <c r="B499" s="1" t="s">
        <v>1122</v>
      </c>
      <c r="C499" s="1" t="s">
        <v>1122</v>
      </c>
      <c r="E499" s="4" t="s">
        <v>1123</v>
      </c>
      <c r="G499" s="16">
        <v>30</v>
      </c>
      <c r="M499">
        <v>1</v>
      </c>
      <c r="N499">
        <v>22</v>
      </c>
      <c r="O499">
        <v>0</v>
      </c>
      <c r="P499">
        <v>56</v>
      </c>
      <c r="Q499">
        <v>1232</v>
      </c>
      <c r="R499" t="s">
        <v>176</v>
      </c>
      <c r="S499">
        <v>0</v>
      </c>
      <c r="T499" t="s">
        <v>227</v>
      </c>
      <c r="U499">
        <v>0</v>
      </c>
      <c r="V499">
        <v>0</v>
      </c>
      <c r="W499">
        <v>400061</v>
      </c>
      <c r="X499" t="s">
        <v>56</v>
      </c>
      <c r="Y499" t="s">
        <v>57</v>
      </c>
      <c r="AE499">
        <v>0</v>
      </c>
      <c r="AP499" t="s">
        <v>169</v>
      </c>
    </row>
    <row r="500" spans="1:42">
      <c r="A500" s="1" t="s">
        <v>46</v>
      </c>
      <c r="B500" s="1" t="s">
        <v>1124</v>
      </c>
      <c r="C500" s="1" t="s">
        <v>1124</v>
      </c>
      <c r="E500" s="4" t="s">
        <v>1125</v>
      </c>
      <c r="G500" s="16">
        <v>85</v>
      </c>
      <c r="I500">
        <v>4.78</v>
      </c>
      <c r="M500">
        <v>1</v>
      </c>
      <c r="N500">
        <v>20</v>
      </c>
      <c r="O500">
        <v>0</v>
      </c>
      <c r="P500">
        <v>2.17</v>
      </c>
      <c r="Q500">
        <v>43.34</v>
      </c>
      <c r="R500" t="s">
        <v>1050</v>
      </c>
      <c r="S500">
        <v>0</v>
      </c>
      <c r="T500" t="s">
        <v>52</v>
      </c>
      <c r="U500">
        <v>0</v>
      </c>
      <c r="V500">
        <v>0</v>
      </c>
      <c r="W500">
        <v>400026</v>
      </c>
      <c r="AE500">
        <v>0</v>
      </c>
      <c r="AH500">
        <v>4.78</v>
      </c>
      <c r="AP500" t="s">
        <v>187</v>
      </c>
    </row>
    <row r="501" spans="1:42">
      <c r="A501" s="1" t="s">
        <v>46</v>
      </c>
      <c r="B501" s="1" t="s">
        <v>1126</v>
      </c>
      <c r="C501" s="1" t="s">
        <v>1126</v>
      </c>
      <c r="E501" s="4" t="s">
        <v>1127</v>
      </c>
      <c r="G501" s="16"/>
      <c r="M501">
        <v>1</v>
      </c>
      <c r="N501">
        <v>-29</v>
      </c>
      <c r="O501">
        <v>0</v>
      </c>
      <c r="P501">
        <v>0.9</v>
      </c>
      <c r="Q501">
        <v>-26.1</v>
      </c>
      <c r="R501" t="s">
        <v>783</v>
      </c>
      <c r="S501">
        <v>0</v>
      </c>
      <c r="T501" t="s">
        <v>52</v>
      </c>
      <c r="U501">
        <v>0</v>
      </c>
      <c r="V501">
        <v>0</v>
      </c>
      <c r="W501">
        <v>400042</v>
      </c>
      <c r="X501" t="s">
        <v>56</v>
      </c>
      <c r="Y501" t="s">
        <v>57</v>
      </c>
      <c r="AE501">
        <v>0</v>
      </c>
      <c r="AP501" t="s">
        <v>154</v>
      </c>
    </row>
    <row r="502" spans="1:42">
      <c r="A502" s="1" t="s">
        <v>46</v>
      </c>
      <c r="B502" s="1" t="s">
        <v>1128</v>
      </c>
      <c r="C502" s="1" t="s">
        <v>1128</v>
      </c>
      <c r="E502" s="4" t="s">
        <v>1129</v>
      </c>
      <c r="G502" s="16">
        <v>15</v>
      </c>
      <c r="M502">
        <v>1</v>
      </c>
      <c r="N502">
        <v>-34</v>
      </c>
      <c r="O502">
        <v>0</v>
      </c>
      <c r="P502">
        <v>0.73</v>
      </c>
      <c r="Q502">
        <v>-24.82</v>
      </c>
      <c r="R502" t="s">
        <v>241</v>
      </c>
      <c r="S502">
        <v>0</v>
      </c>
      <c r="T502" t="s">
        <v>52</v>
      </c>
      <c r="U502">
        <v>0</v>
      </c>
      <c r="V502">
        <v>0</v>
      </c>
      <c r="W502">
        <v>400200</v>
      </c>
      <c r="AE502">
        <v>0</v>
      </c>
      <c r="AP502" t="s">
        <v>771</v>
      </c>
    </row>
    <row r="503" spans="1:42">
      <c r="A503" s="1" t="s">
        <v>46</v>
      </c>
      <c r="B503" s="1" t="s">
        <v>1130</v>
      </c>
      <c r="C503" s="1" t="s">
        <v>1130</v>
      </c>
      <c r="E503" s="4" t="s">
        <v>1131</v>
      </c>
      <c r="G503" s="16">
        <v>30</v>
      </c>
      <c r="I503">
        <v>3.4</v>
      </c>
      <c r="M503">
        <v>1</v>
      </c>
      <c r="N503">
        <v>8</v>
      </c>
      <c r="O503">
        <v>0</v>
      </c>
      <c r="P503">
        <v>1.82</v>
      </c>
      <c r="Q503">
        <v>14.59</v>
      </c>
      <c r="R503" t="s">
        <v>1050</v>
      </c>
      <c r="S503">
        <v>0</v>
      </c>
      <c r="T503" t="s">
        <v>52</v>
      </c>
      <c r="U503">
        <v>0</v>
      </c>
      <c r="V503">
        <v>0</v>
      </c>
      <c r="W503">
        <v>400026</v>
      </c>
      <c r="AE503">
        <v>0</v>
      </c>
      <c r="AH503">
        <v>3.4</v>
      </c>
      <c r="AP503" t="s">
        <v>187</v>
      </c>
    </row>
    <row r="504" spans="1:42">
      <c r="A504" s="1" t="s">
        <v>46</v>
      </c>
      <c r="B504" s="1" t="s">
        <v>1132</v>
      </c>
      <c r="C504" s="1" t="s">
        <v>1132</v>
      </c>
      <c r="E504" s="4" t="s">
        <v>1133</v>
      </c>
      <c r="G504" s="16"/>
      <c r="I504">
        <v>3.78</v>
      </c>
      <c r="M504">
        <v>1</v>
      </c>
      <c r="N504">
        <v>24</v>
      </c>
      <c r="O504">
        <v>0</v>
      </c>
      <c r="P504">
        <v>2.66</v>
      </c>
      <c r="Q504">
        <v>63.73</v>
      </c>
      <c r="R504" t="s">
        <v>1050</v>
      </c>
      <c r="S504">
        <v>0</v>
      </c>
      <c r="T504" t="s">
        <v>52</v>
      </c>
      <c r="U504">
        <v>0</v>
      </c>
      <c r="V504">
        <v>0</v>
      </c>
      <c r="W504">
        <v>400026</v>
      </c>
      <c r="AE504">
        <v>0</v>
      </c>
      <c r="AH504">
        <v>3.78</v>
      </c>
      <c r="AP504" t="s">
        <v>187</v>
      </c>
    </row>
    <row r="505" spans="1:42">
      <c r="A505" s="1" t="s">
        <v>46</v>
      </c>
      <c r="B505" s="1" t="s">
        <v>1134</v>
      </c>
      <c r="C505" s="1" t="s">
        <v>1134</v>
      </c>
      <c r="E505" s="4" t="s">
        <v>1135</v>
      </c>
      <c r="G505" s="16">
        <v>22</v>
      </c>
      <c r="M505">
        <v>1</v>
      </c>
      <c r="N505">
        <v>2148</v>
      </c>
      <c r="O505">
        <v>0</v>
      </c>
      <c r="P505">
        <v>0.25</v>
      </c>
      <c r="Q505">
        <v>537</v>
      </c>
      <c r="R505">
        <v>0</v>
      </c>
      <c r="S505">
        <v>0</v>
      </c>
      <c r="T505" t="s">
        <v>52</v>
      </c>
      <c r="U505">
        <v>0</v>
      </c>
      <c r="V505">
        <v>0</v>
      </c>
      <c r="W505">
        <v>400061</v>
      </c>
      <c r="X505" t="s">
        <v>56</v>
      </c>
      <c r="Y505" t="s">
        <v>57</v>
      </c>
      <c r="AE505">
        <v>0</v>
      </c>
      <c r="AP505" t="s">
        <v>169</v>
      </c>
    </row>
    <row r="506" spans="1:42">
      <c r="A506" s="1" t="s">
        <v>46</v>
      </c>
      <c r="B506" s="1" t="s">
        <v>1136</v>
      </c>
      <c r="C506" s="1" t="s">
        <v>1136</v>
      </c>
      <c r="E506" s="4" t="s">
        <v>1137</v>
      </c>
      <c r="G506" s="16"/>
      <c r="M506">
        <v>1</v>
      </c>
      <c r="N506">
        <v>8</v>
      </c>
      <c r="O506">
        <v>0</v>
      </c>
      <c r="P506">
        <v>0.66</v>
      </c>
      <c r="Q506">
        <v>5.24</v>
      </c>
      <c r="R506" t="s">
        <v>556</v>
      </c>
      <c r="S506">
        <v>0</v>
      </c>
      <c r="T506" t="s">
        <v>52</v>
      </c>
      <c r="U506">
        <v>0</v>
      </c>
      <c r="V506">
        <v>0</v>
      </c>
      <c r="W506">
        <v>400013</v>
      </c>
      <c r="AE506">
        <v>0</v>
      </c>
      <c r="AP506" t="s">
        <v>232</v>
      </c>
    </row>
    <row r="507" spans="1:42">
      <c r="A507" s="1" t="s">
        <v>46</v>
      </c>
      <c r="B507" s="1" t="s">
        <v>1138</v>
      </c>
      <c r="C507" s="1" t="s">
        <v>1138</v>
      </c>
      <c r="E507" s="4" t="s">
        <v>1139</v>
      </c>
      <c r="G507" s="16"/>
      <c r="M507">
        <v>1</v>
      </c>
      <c r="N507">
        <v>5</v>
      </c>
      <c r="O507">
        <v>0</v>
      </c>
      <c r="P507">
        <v>0.54</v>
      </c>
      <c r="Q507">
        <v>2.7</v>
      </c>
      <c r="R507" t="s">
        <v>556</v>
      </c>
      <c r="S507">
        <v>0</v>
      </c>
      <c r="T507" t="s">
        <v>52</v>
      </c>
      <c r="U507">
        <v>0</v>
      </c>
      <c r="V507">
        <v>0</v>
      </c>
      <c r="W507">
        <v>400013</v>
      </c>
      <c r="AE507">
        <v>0</v>
      </c>
      <c r="AP507" t="s">
        <v>232</v>
      </c>
    </row>
    <row r="508" spans="1:42">
      <c r="A508" s="1" t="s">
        <v>46</v>
      </c>
      <c r="B508" s="1" t="s">
        <v>1140</v>
      </c>
      <c r="C508" s="1" t="s">
        <v>1140</v>
      </c>
      <c r="E508" s="4" t="s">
        <v>1141</v>
      </c>
      <c r="G508" s="16">
        <v>30</v>
      </c>
      <c r="M508">
        <v>1</v>
      </c>
      <c r="N508">
        <v>197</v>
      </c>
      <c r="O508">
        <v>0</v>
      </c>
      <c r="P508">
        <v>92.5</v>
      </c>
      <c r="Q508">
        <v>18222.5</v>
      </c>
      <c r="R508" t="s">
        <v>1142</v>
      </c>
      <c r="S508">
        <v>0</v>
      </c>
      <c r="T508" t="s">
        <v>52</v>
      </c>
      <c r="U508">
        <v>0</v>
      </c>
      <c r="V508">
        <v>0</v>
      </c>
      <c r="W508">
        <v>400045</v>
      </c>
      <c r="AE508">
        <v>0</v>
      </c>
      <c r="AP508" t="s">
        <v>217</v>
      </c>
    </row>
    <row r="509" spans="1:42">
      <c r="A509" s="1" t="s">
        <v>46</v>
      </c>
      <c r="B509" s="1" t="s">
        <v>1143</v>
      </c>
      <c r="C509" s="1" t="s">
        <v>1143</v>
      </c>
      <c r="E509" s="4" t="s">
        <v>1144</v>
      </c>
      <c r="G509" s="16">
        <v>14</v>
      </c>
      <c r="M509">
        <v>1</v>
      </c>
      <c r="N509">
        <v>202</v>
      </c>
      <c r="O509">
        <v>0</v>
      </c>
      <c r="P509">
        <v>1.3</v>
      </c>
      <c r="Q509">
        <v>262.60000000000002</v>
      </c>
      <c r="R509" t="s">
        <v>783</v>
      </c>
      <c r="S509">
        <v>0</v>
      </c>
      <c r="T509">
        <v>0</v>
      </c>
      <c r="U509">
        <v>0</v>
      </c>
      <c r="V509">
        <v>0</v>
      </c>
      <c r="W509">
        <v>400130</v>
      </c>
      <c r="AE509">
        <v>0</v>
      </c>
      <c r="AP509" t="s">
        <v>139</v>
      </c>
    </row>
    <row r="510" spans="1:42">
      <c r="A510" s="1" t="s">
        <v>46</v>
      </c>
      <c r="B510" s="1" t="s">
        <v>1145</v>
      </c>
      <c r="C510" s="1" t="s">
        <v>1145</v>
      </c>
      <c r="E510" s="4" t="s">
        <v>1146</v>
      </c>
      <c r="G510" s="16">
        <v>8</v>
      </c>
      <c r="I510">
        <v>30</v>
      </c>
      <c r="M510">
        <v>1</v>
      </c>
      <c r="N510">
        <v>1976</v>
      </c>
      <c r="O510">
        <v>0</v>
      </c>
      <c r="P510">
        <v>31.01</v>
      </c>
      <c r="Q510">
        <v>61275.76</v>
      </c>
      <c r="R510" t="s">
        <v>1147</v>
      </c>
      <c r="S510">
        <v>0</v>
      </c>
      <c r="T510" t="s">
        <v>52</v>
      </c>
      <c r="U510">
        <v>0</v>
      </c>
      <c r="V510">
        <v>0</v>
      </c>
      <c r="W510">
        <v>400046</v>
      </c>
      <c r="X510" t="s">
        <v>56</v>
      </c>
      <c r="Y510" t="s">
        <v>57</v>
      </c>
      <c r="AE510">
        <v>0</v>
      </c>
      <c r="AH510">
        <v>30</v>
      </c>
      <c r="AP510" t="s">
        <v>407</v>
      </c>
    </row>
    <row r="511" spans="1:42">
      <c r="A511" s="1" t="s">
        <v>46</v>
      </c>
      <c r="B511" s="1" t="s">
        <v>1148</v>
      </c>
      <c r="C511" s="1" t="s">
        <v>1148</v>
      </c>
      <c r="E511" s="4" t="s">
        <v>1149</v>
      </c>
      <c r="G511" s="16">
        <v>14</v>
      </c>
      <c r="I511">
        <v>48</v>
      </c>
      <c r="M511">
        <v>1</v>
      </c>
      <c r="N511">
        <v>847</v>
      </c>
      <c r="O511">
        <v>0</v>
      </c>
      <c r="P511">
        <v>50</v>
      </c>
      <c r="Q511">
        <v>42350</v>
      </c>
      <c r="R511" t="s">
        <v>1147</v>
      </c>
      <c r="S511">
        <v>0</v>
      </c>
      <c r="T511" t="s">
        <v>52</v>
      </c>
      <c r="U511">
        <v>0</v>
      </c>
      <c r="V511">
        <v>0</v>
      </c>
      <c r="W511">
        <v>400046</v>
      </c>
      <c r="AE511">
        <v>0</v>
      </c>
      <c r="AH511">
        <v>48</v>
      </c>
      <c r="AP511" t="s">
        <v>407</v>
      </c>
    </row>
    <row r="512" spans="1:42">
      <c r="A512" s="1" t="s">
        <v>46</v>
      </c>
      <c r="B512" s="1" t="s">
        <v>1150</v>
      </c>
      <c r="C512" s="1" t="s">
        <v>1150</v>
      </c>
      <c r="E512" s="4" t="s">
        <v>1151</v>
      </c>
      <c r="G512" s="16"/>
      <c r="M512">
        <v>1</v>
      </c>
      <c r="N512">
        <v>1159</v>
      </c>
      <c r="O512">
        <v>0</v>
      </c>
      <c r="P512">
        <v>4.5</v>
      </c>
      <c r="Q512">
        <v>5215.5</v>
      </c>
      <c r="R512">
        <v>0</v>
      </c>
      <c r="S512">
        <v>0</v>
      </c>
      <c r="T512" t="s">
        <v>52</v>
      </c>
      <c r="U512">
        <v>0</v>
      </c>
      <c r="V512">
        <v>0</v>
      </c>
      <c r="W512">
        <v>400080</v>
      </c>
      <c r="X512" t="s">
        <v>56</v>
      </c>
      <c r="Y512" t="s">
        <v>57</v>
      </c>
      <c r="AE512">
        <v>0</v>
      </c>
      <c r="AP512" t="s">
        <v>696</v>
      </c>
    </row>
    <row r="513" spans="1:42">
      <c r="A513" s="1" t="s">
        <v>46</v>
      </c>
      <c r="B513" s="1" t="s">
        <v>1152</v>
      </c>
      <c r="C513" s="1" t="s">
        <v>1152</v>
      </c>
      <c r="E513" s="4" t="s">
        <v>1153</v>
      </c>
      <c r="G513" s="16"/>
      <c r="M513">
        <v>1</v>
      </c>
      <c r="N513">
        <v>43</v>
      </c>
      <c r="O513">
        <v>0</v>
      </c>
      <c r="P513">
        <v>2</v>
      </c>
      <c r="Q513">
        <v>86</v>
      </c>
      <c r="R513" t="s">
        <v>783</v>
      </c>
      <c r="S513">
        <v>0</v>
      </c>
      <c r="T513" t="s">
        <v>52</v>
      </c>
      <c r="U513">
        <v>0</v>
      </c>
      <c r="V513">
        <v>0</v>
      </c>
      <c r="W513">
        <v>410120</v>
      </c>
      <c r="X513" t="s">
        <v>56</v>
      </c>
      <c r="Y513" t="s">
        <v>57</v>
      </c>
      <c r="AE513">
        <v>0</v>
      </c>
      <c r="AP513" t="s">
        <v>112</v>
      </c>
    </row>
    <row r="514" spans="1:42">
      <c r="A514" s="1" t="s">
        <v>46</v>
      </c>
      <c r="B514" s="1" t="s">
        <v>1154</v>
      </c>
      <c r="C514" s="1" t="s">
        <v>1154</v>
      </c>
      <c r="E514" s="4" t="s">
        <v>1155</v>
      </c>
      <c r="G514" s="16">
        <v>35</v>
      </c>
      <c r="I514">
        <v>57</v>
      </c>
      <c r="M514">
        <v>1</v>
      </c>
      <c r="N514">
        <v>2036</v>
      </c>
      <c r="O514">
        <v>0</v>
      </c>
      <c r="P514">
        <v>58</v>
      </c>
      <c r="Q514">
        <v>118088</v>
      </c>
      <c r="R514" t="s">
        <v>1147</v>
      </c>
      <c r="S514">
        <v>0</v>
      </c>
      <c r="T514" t="s">
        <v>52</v>
      </c>
      <c r="U514">
        <v>0</v>
      </c>
      <c r="V514">
        <v>0</v>
      </c>
      <c r="W514">
        <v>400046</v>
      </c>
      <c r="AE514">
        <v>0</v>
      </c>
      <c r="AH514">
        <v>57</v>
      </c>
      <c r="AP514" t="s">
        <v>407</v>
      </c>
    </row>
    <row r="515" spans="1:42">
      <c r="A515" s="1" t="s">
        <v>46</v>
      </c>
      <c r="B515" s="1" t="s">
        <v>1156</v>
      </c>
      <c r="C515" s="1" t="s">
        <v>1156</v>
      </c>
      <c r="E515" s="4" t="s">
        <v>1157</v>
      </c>
      <c r="G515" s="16"/>
      <c r="M515">
        <v>1</v>
      </c>
      <c r="N515">
        <v>20</v>
      </c>
      <c r="O515">
        <v>0</v>
      </c>
      <c r="P515">
        <v>1.75</v>
      </c>
      <c r="Q515">
        <v>35</v>
      </c>
      <c r="W515">
        <v>400194</v>
      </c>
      <c r="AE515">
        <v>0</v>
      </c>
      <c r="AP515" t="s">
        <v>173</v>
      </c>
    </row>
    <row r="516" spans="1:42">
      <c r="A516" s="1" t="s">
        <v>46</v>
      </c>
      <c r="B516" s="1" t="s">
        <v>1158</v>
      </c>
      <c r="C516" s="1" t="s">
        <v>1158</v>
      </c>
      <c r="E516" s="4" t="s">
        <v>1159</v>
      </c>
      <c r="G516" s="16"/>
      <c r="I516">
        <v>10500</v>
      </c>
      <c r="M516">
        <v>1</v>
      </c>
      <c r="N516">
        <v>401</v>
      </c>
      <c r="O516">
        <v>0</v>
      </c>
      <c r="P516">
        <v>4.25</v>
      </c>
      <c r="Q516">
        <v>1704.25</v>
      </c>
      <c r="R516">
        <v>0</v>
      </c>
      <c r="S516">
        <v>0</v>
      </c>
      <c r="T516" t="s">
        <v>52</v>
      </c>
      <c r="U516">
        <v>0</v>
      </c>
      <c r="V516">
        <v>0</v>
      </c>
      <c r="W516">
        <v>400042</v>
      </c>
      <c r="AE516">
        <v>0</v>
      </c>
      <c r="AH516">
        <v>10500</v>
      </c>
      <c r="AP516" t="s">
        <v>154</v>
      </c>
    </row>
    <row r="517" spans="1:42">
      <c r="A517" s="1" t="s">
        <v>46</v>
      </c>
      <c r="B517" s="1" t="s">
        <v>1160</v>
      </c>
      <c r="C517" s="1" t="s">
        <v>1160</v>
      </c>
      <c r="E517" s="4" t="s">
        <v>1161</v>
      </c>
      <c r="G517" s="16"/>
      <c r="I517">
        <v>0.7</v>
      </c>
      <c r="M517">
        <v>1</v>
      </c>
      <c r="N517">
        <v>-14</v>
      </c>
      <c r="O517">
        <v>0</v>
      </c>
      <c r="P517">
        <v>0.18</v>
      </c>
      <c r="Q517">
        <v>-2.46</v>
      </c>
      <c r="R517" t="s">
        <v>172</v>
      </c>
      <c r="S517">
        <v>0</v>
      </c>
      <c r="T517" t="s">
        <v>52</v>
      </c>
      <c r="U517">
        <v>0</v>
      </c>
      <c r="V517">
        <v>0</v>
      </c>
      <c r="W517">
        <v>400013</v>
      </c>
      <c r="AE517">
        <v>0</v>
      </c>
      <c r="AH517">
        <v>0.7</v>
      </c>
      <c r="AP517" t="s">
        <v>232</v>
      </c>
    </row>
    <row r="518" spans="1:42">
      <c r="A518" s="1" t="s">
        <v>46</v>
      </c>
      <c r="B518" s="1" t="s">
        <v>1162</v>
      </c>
      <c r="C518" s="1" t="s">
        <v>1162</v>
      </c>
      <c r="E518" s="4" t="s">
        <v>1163</v>
      </c>
      <c r="G518" s="16">
        <v>18</v>
      </c>
      <c r="M518">
        <v>1</v>
      </c>
      <c r="N518">
        <v>241</v>
      </c>
      <c r="O518">
        <v>0</v>
      </c>
      <c r="P518">
        <v>2.5</v>
      </c>
      <c r="Q518">
        <v>602.5</v>
      </c>
      <c r="R518" t="s">
        <v>783</v>
      </c>
      <c r="S518">
        <v>0</v>
      </c>
      <c r="T518">
        <v>0</v>
      </c>
      <c r="U518">
        <v>0</v>
      </c>
      <c r="V518">
        <v>0</v>
      </c>
      <c r="W518">
        <v>410120</v>
      </c>
      <c r="X518" t="s">
        <v>56</v>
      </c>
      <c r="Y518" t="s">
        <v>57</v>
      </c>
      <c r="AE518">
        <v>0</v>
      </c>
      <c r="AP518" t="s">
        <v>112</v>
      </c>
    </row>
    <row r="519" spans="1:42">
      <c r="A519" s="1" t="s">
        <v>46</v>
      </c>
      <c r="B519" s="1" t="s">
        <v>1164</v>
      </c>
      <c r="C519" s="1" t="s">
        <v>1164</v>
      </c>
      <c r="E519" s="4" t="s">
        <v>1165</v>
      </c>
      <c r="G519" s="16"/>
      <c r="M519">
        <v>1</v>
      </c>
      <c r="N519">
        <v>976</v>
      </c>
      <c r="O519">
        <v>0</v>
      </c>
      <c r="P519">
        <v>5.35</v>
      </c>
      <c r="Q519">
        <v>5221.6000000000004</v>
      </c>
      <c r="R519">
        <v>0</v>
      </c>
      <c r="S519">
        <v>0</v>
      </c>
      <c r="T519" t="s">
        <v>52</v>
      </c>
      <c r="U519">
        <v>0</v>
      </c>
      <c r="V519">
        <v>0</v>
      </c>
      <c r="W519">
        <v>400189</v>
      </c>
      <c r="AE519">
        <v>0</v>
      </c>
      <c r="AP519" t="s">
        <v>451</v>
      </c>
    </row>
    <row r="520" spans="1:42">
      <c r="A520" s="1" t="s">
        <v>46</v>
      </c>
      <c r="B520" s="1" t="s">
        <v>1166</v>
      </c>
      <c r="C520" s="1" t="s">
        <v>1166</v>
      </c>
      <c r="E520" s="4" t="s">
        <v>1167</v>
      </c>
      <c r="G520" s="16"/>
      <c r="M520">
        <v>1</v>
      </c>
      <c r="N520">
        <v>10</v>
      </c>
      <c r="O520">
        <v>0</v>
      </c>
      <c r="P520">
        <v>0.75</v>
      </c>
      <c r="Q520">
        <v>7.5</v>
      </c>
      <c r="R520" t="s">
        <v>176</v>
      </c>
      <c r="S520">
        <v>0</v>
      </c>
      <c r="T520" t="s">
        <v>52</v>
      </c>
      <c r="U520">
        <v>0</v>
      </c>
      <c r="V520">
        <v>0</v>
      </c>
      <c r="W520">
        <v>400061</v>
      </c>
      <c r="AE520">
        <v>0</v>
      </c>
      <c r="AP520" t="s">
        <v>169</v>
      </c>
    </row>
    <row r="521" spans="1:42">
      <c r="A521" s="1" t="s">
        <v>46</v>
      </c>
      <c r="B521" s="1" t="s">
        <v>1168</v>
      </c>
      <c r="C521" s="1" t="s">
        <v>1168</v>
      </c>
      <c r="E521" s="4" t="s">
        <v>1169</v>
      </c>
      <c r="G521" s="16">
        <v>8</v>
      </c>
      <c r="M521">
        <v>1</v>
      </c>
      <c r="N521">
        <v>273</v>
      </c>
      <c r="O521">
        <v>0</v>
      </c>
      <c r="P521">
        <v>1.05</v>
      </c>
      <c r="Q521">
        <v>286.64999999999998</v>
      </c>
      <c r="R521" t="s">
        <v>783</v>
      </c>
      <c r="S521">
        <v>0</v>
      </c>
      <c r="T521">
        <v>0</v>
      </c>
      <c r="U521">
        <v>0</v>
      </c>
      <c r="V521">
        <v>0</v>
      </c>
      <c r="W521">
        <v>400194</v>
      </c>
      <c r="AE521">
        <v>0</v>
      </c>
      <c r="AP521" t="s">
        <v>173</v>
      </c>
    </row>
    <row r="522" spans="1:42">
      <c r="A522" s="1" t="s">
        <v>46</v>
      </c>
      <c r="B522" s="1" t="s">
        <v>1170</v>
      </c>
      <c r="C522" s="1" t="s">
        <v>1170</v>
      </c>
      <c r="E522" s="4" t="s">
        <v>1171</v>
      </c>
      <c r="G522" s="16"/>
      <c r="M522">
        <v>1</v>
      </c>
      <c r="N522">
        <v>2073</v>
      </c>
      <c r="O522">
        <v>0</v>
      </c>
      <c r="P522">
        <v>0.95</v>
      </c>
      <c r="Q522">
        <v>1969.35</v>
      </c>
      <c r="R522" t="s">
        <v>783</v>
      </c>
      <c r="S522">
        <v>0</v>
      </c>
      <c r="T522">
        <v>0</v>
      </c>
      <c r="U522">
        <v>0</v>
      </c>
      <c r="V522">
        <v>0</v>
      </c>
      <c r="W522">
        <v>400035</v>
      </c>
      <c r="AE522">
        <v>0</v>
      </c>
      <c r="AP522" t="s">
        <v>784</v>
      </c>
    </row>
    <row r="523" spans="1:42">
      <c r="A523" s="1" t="s">
        <v>46</v>
      </c>
      <c r="B523" s="1" t="s">
        <v>1172</v>
      </c>
      <c r="C523" s="1" t="s">
        <v>1172</v>
      </c>
      <c r="E523" s="4" t="s">
        <v>1173</v>
      </c>
      <c r="G523" s="16"/>
      <c r="M523">
        <v>1</v>
      </c>
      <c r="N523">
        <v>-1</v>
      </c>
      <c r="O523">
        <v>0</v>
      </c>
      <c r="P523">
        <v>1.35</v>
      </c>
      <c r="Q523">
        <v>-1.35</v>
      </c>
      <c r="R523" t="s">
        <v>783</v>
      </c>
      <c r="S523">
        <v>0</v>
      </c>
      <c r="T523" t="s">
        <v>52</v>
      </c>
      <c r="U523">
        <v>0</v>
      </c>
      <c r="V523">
        <v>0</v>
      </c>
      <c r="W523">
        <v>400004</v>
      </c>
      <c r="AE523">
        <v>0</v>
      </c>
      <c r="AP523" t="s">
        <v>352</v>
      </c>
    </row>
    <row r="524" spans="1:42">
      <c r="A524" s="1" t="s">
        <v>46</v>
      </c>
      <c r="B524" s="1" t="s">
        <v>1174</v>
      </c>
      <c r="C524" s="1" t="s">
        <v>1174</v>
      </c>
      <c r="E524" s="4" t="s">
        <v>1175</v>
      </c>
      <c r="G524" s="16"/>
      <c r="M524">
        <v>1</v>
      </c>
      <c r="N524">
        <v>7</v>
      </c>
      <c r="O524">
        <v>0</v>
      </c>
      <c r="P524">
        <v>3</v>
      </c>
      <c r="Q524">
        <v>21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400017</v>
      </c>
      <c r="AE524">
        <v>0</v>
      </c>
      <c r="AP524" t="s">
        <v>49</v>
      </c>
    </row>
    <row r="525" spans="1:42">
      <c r="A525" s="1" t="s">
        <v>46</v>
      </c>
      <c r="B525" s="1" t="s">
        <v>1176</v>
      </c>
      <c r="C525" s="1" t="s">
        <v>1176</v>
      </c>
      <c r="E525" s="4" t="s">
        <v>1177</v>
      </c>
      <c r="G525" s="16">
        <v>14</v>
      </c>
      <c r="I525">
        <v>69.3</v>
      </c>
      <c r="M525">
        <v>1</v>
      </c>
      <c r="N525">
        <v>12</v>
      </c>
      <c r="O525">
        <v>0</v>
      </c>
      <c r="P525">
        <v>71.709999999999994</v>
      </c>
      <c r="Q525">
        <v>860.47</v>
      </c>
      <c r="R525" t="s">
        <v>574</v>
      </c>
      <c r="S525">
        <v>0</v>
      </c>
      <c r="T525" t="s">
        <v>52</v>
      </c>
      <c r="U525">
        <v>0</v>
      </c>
      <c r="V525">
        <v>0</v>
      </c>
      <c r="W525">
        <v>400013</v>
      </c>
      <c r="X525" t="s">
        <v>56</v>
      </c>
      <c r="Y525" t="s">
        <v>57</v>
      </c>
      <c r="AE525">
        <v>0</v>
      </c>
      <c r="AH525">
        <v>69.3</v>
      </c>
      <c r="AP525" t="s">
        <v>232</v>
      </c>
    </row>
    <row r="526" spans="1:42">
      <c r="A526" s="1" t="s">
        <v>46</v>
      </c>
      <c r="B526" s="1" t="s">
        <v>1178</v>
      </c>
      <c r="C526" s="1" t="s">
        <v>1178</v>
      </c>
      <c r="E526" s="4" t="s">
        <v>1179</v>
      </c>
      <c r="G526" s="16">
        <v>30</v>
      </c>
      <c r="M526">
        <v>1</v>
      </c>
      <c r="N526">
        <v>100</v>
      </c>
      <c r="O526">
        <v>0</v>
      </c>
      <c r="P526">
        <v>1.1299999999999999</v>
      </c>
      <c r="Q526">
        <v>113.22</v>
      </c>
      <c r="R526">
        <v>0</v>
      </c>
      <c r="S526">
        <v>0</v>
      </c>
      <c r="T526" t="s">
        <v>17</v>
      </c>
      <c r="U526">
        <v>0</v>
      </c>
      <c r="V526">
        <v>0</v>
      </c>
      <c r="W526">
        <v>400128</v>
      </c>
      <c r="AE526">
        <v>0</v>
      </c>
      <c r="AP526" t="s">
        <v>1180</v>
      </c>
    </row>
    <row r="527" spans="1:42">
      <c r="A527" s="1" t="s">
        <v>46</v>
      </c>
      <c r="B527" s="1" t="s">
        <v>1181</v>
      </c>
      <c r="C527" s="1" t="s">
        <v>1181</v>
      </c>
      <c r="E527" s="4" t="s">
        <v>1182</v>
      </c>
      <c r="G527" s="16">
        <v>95</v>
      </c>
      <c r="M527">
        <v>1</v>
      </c>
      <c r="N527">
        <v>-1</v>
      </c>
      <c r="O527">
        <v>0</v>
      </c>
      <c r="R527" t="s">
        <v>579</v>
      </c>
      <c r="S527">
        <v>0</v>
      </c>
      <c r="T527">
        <v>0</v>
      </c>
      <c r="U527">
        <v>0</v>
      </c>
      <c r="V527">
        <v>0</v>
      </c>
      <c r="AE527">
        <v>0</v>
      </c>
    </row>
    <row r="528" spans="1:42">
      <c r="A528" s="1" t="s">
        <v>46</v>
      </c>
      <c r="B528" s="1" t="s">
        <v>1183</v>
      </c>
      <c r="C528" s="1" t="s">
        <v>1183</v>
      </c>
      <c r="E528" s="4" t="s">
        <v>1184</v>
      </c>
      <c r="G528" s="16"/>
      <c r="M528">
        <v>1</v>
      </c>
      <c r="N528">
        <v>1</v>
      </c>
      <c r="O528">
        <v>0</v>
      </c>
      <c r="P528">
        <v>50</v>
      </c>
      <c r="Q528">
        <v>50</v>
      </c>
      <c r="R528">
        <v>0</v>
      </c>
      <c r="S528">
        <v>0</v>
      </c>
      <c r="T528" t="s">
        <v>52</v>
      </c>
      <c r="W528">
        <v>400002</v>
      </c>
      <c r="AE528">
        <v>0</v>
      </c>
      <c r="AP528" t="s">
        <v>116</v>
      </c>
    </row>
    <row r="529" spans="1:42">
      <c r="A529" s="1" t="s">
        <v>46</v>
      </c>
      <c r="B529" s="1" t="s">
        <v>1185</v>
      </c>
      <c r="C529" s="1" t="s">
        <v>1185</v>
      </c>
      <c r="E529" s="4" t="s">
        <v>1186</v>
      </c>
      <c r="G529" s="16">
        <v>25</v>
      </c>
      <c r="I529">
        <v>12.5</v>
      </c>
      <c r="M529">
        <v>1</v>
      </c>
      <c r="N529">
        <v>-7</v>
      </c>
      <c r="O529">
        <v>0</v>
      </c>
      <c r="P529">
        <v>79.959999999999994</v>
      </c>
      <c r="Q529">
        <v>-559.72</v>
      </c>
      <c r="R529" t="s">
        <v>579</v>
      </c>
      <c r="S529">
        <v>0</v>
      </c>
      <c r="T529" t="s">
        <v>209</v>
      </c>
      <c r="U529">
        <v>0</v>
      </c>
      <c r="V529">
        <v>0</v>
      </c>
      <c r="W529">
        <v>400136</v>
      </c>
      <c r="AE529">
        <v>0</v>
      </c>
      <c r="AH529">
        <v>12.5</v>
      </c>
      <c r="AP529" t="s">
        <v>732</v>
      </c>
    </row>
    <row r="530" spans="1:42">
      <c r="A530" s="1" t="s">
        <v>46</v>
      </c>
      <c r="B530" s="1" t="s">
        <v>1187</v>
      </c>
      <c r="C530" s="1" t="s">
        <v>1187</v>
      </c>
      <c r="E530" s="4" t="s">
        <v>1188</v>
      </c>
      <c r="G530" s="16"/>
      <c r="M530">
        <v>1</v>
      </c>
      <c r="N530">
        <v>4</v>
      </c>
      <c r="O530">
        <v>0</v>
      </c>
      <c r="P530">
        <v>399.6</v>
      </c>
      <c r="Q530">
        <v>1598.4</v>
      </c>
      <c r="R530">
        <v>0</v>
      </c>
      <c r="S530">
        <v>0</v>
      </c>
      <c r="T530" t="s">
        <v>52</v>
      </c>
      <c r="W530">
        <v>400044</v>
      </c>
      <c r="AE530">
        <v>0</v>
      </c>
      <c r="AP530" t="s">
        <v>628</v>
      </c>
    </row>
    <row r="531" spans="1:42">
      <c r="A531" s="1" t="s">
        <v>46</v>
      </c>
      <c r="B531" s="1" t="s">
        <v>1189</v>
      </c>
      <c r="C531" s="1" t="s">
        <v>1189</v>
      </c>
      <c r="E531" s="4" t="s">
        <v>1190</v>
      </c>
      <c r="G531" s="16">
        <v>18</v>
      </c>
      <c r="M531">
        <v>1</v>
      </c>
      <c r="N531">
        <v>19</v>
      </c>
      <c r="O531">
        <v>0</v>
      </c>
      <c r="P531">
        <v>120</v>
      </c>
      <c r="Q531">
        <v>2280</v>
      </c>
      <c r="R531">
        <v>0</v>
      </c>
      <c r="S531">
        <v>0</v>
      </c>
      <c r="T531" t="s">
        <v>52</v>
      </c>
      <c r="U531">
        <v>0</v>
      </c>
      <c r="V531">
        <v>0</v>
      </c>
      <c r="W531">
        <v>400130</v>
      </c>
      <c r="X531" t="s">
        <v>56</v>
      </c>
      <c r="Y531" t="s">
        <v>57</v>
      </c>
      <c r="AE531">
        <v>0</v>
      </c>
      <c r="AP531" t="s">
        <v>139</v>
      </c>
    </row>
    <row r="532" spans="1:42">
      <c r="A532" s="1" t="s">
        <v>46</v>
      </c>
      <c r="B532" s="1" t="s">
        <v>1191</v>
      </c>
      <c r="C532" s="1" t="s">
        <v>1191</v>
      </c>
      <c r="E532" s="4" t="s">
        <v>1192</v>
      </c>
      <c r="G532" s="16"/>
      <c r="M532">
        <v>1</v>
      </c>
      <c r="N532">
        <v>4</v>
      </c>
      <c r="O532">
        <v>0</v>
      </c>
      <c r="P532">
        <v>14.7</v>
      </c>
      <c r="Q532">
        <v>58.8</v>
      </c>
      <c r="R532" t="s">
        <v>579</v>
      </c>
      <c r="S532">
        <v>0</v>
      </c>
      <c r="T532">
        <v>0</v>
      </c>
      <c r="U532">
        <v>0</v>
      </c>
      <c r="V532">
        <v>0</v>
      </c>
      <c r="W532">
        <v>400002</v>
      </c>
      <c r="AE532">
        <v>0</v>
      </c>
      <c r="AP532" t="s">
        <v>116</v>
      </c>
    </row>
    <row r="533" spans="1:42">
      <c r="A533" s="1" t="s">
        <v>46</v>
      </c>
      <c r="B533" s="1" t="s">
        <v>1193</v>
      </c>
      <c r="C533" s="1" t="s">
        <v>1193</v>
      </c>
      <c r="E533" s="4" t="s">
        <v>1194</v>
      </c>
      <c r="G533" s="16"/>
      <c r="M533">
        <v>1</v>
      </c>
      <c r="N533">
        <v>46</v>
      </c>
      <c r="O533">
        <v>0</v>
      </c>
      <c r="P533">
        <v>20</v>
      </c>
      <c r="Q533">
        <v>920</v>
      </c>
      <c r="R533">
        <v>0</v>
      </c>
      <c r="S533">
        <v>0</v>
      </c>
      <c r="T533" t="s">
        <v>52</v>
      </c>
      <c r="U533">
        <v>0</v>
      </c>
      <c r="V533">
        <v>0</v>
      </c>
      <c r="W533">
        <v>400110</v>
      </c>
      <c r="AE533">
        <v>0</v>
      </c>
      <c r="AP533" t="s">
        <v>344</v>
      </c>
    </row>
    <row r="534" spans="1:42">
      <c r="A534" s="1" t="s">
        <v>46</v>
      </c>
      <c r="B534" s="1" t="s">
        <v>1195</v>
      </c>
      <c r="C534" s="1" t="s">
        <v>1195</v>
      </c>
      <c r="E534" s="4" t="s">
        <v>1196</v>
      </c>
      <c r="G534" s="16"/>
      <c r="I534">
        <v>12000</v>
      </c>
      <c r="M534">
        <v>1</v>
      </c>
      <c r="N534">
        <v>260</v>
      </c>
      <c r="O534">
        <v>0</v>
      </c>
      <c r="P534">
        <v>4</v>
      </c>
      <c r="Q534">
        <v>1040</v>
      </c>
      <c r="R534">
        <v>0</v>
      </c>
      <c r="S534">
        <v>0</v>
      </c>
      <c r="T534" t="s">
        <v>52</v>
      </c>
      <c r="U534">
        <v>0</v>
      </c>
      <c r="V534">
        <v>0</v>
      </c>
      <c r="W534">
        <v>400028</v>
      </c>
      <c r="X534" t="s">
        <v>56</v>
      </c>
      <c r="Y534" t="s">
        <v>57</v>
      </c>
      <c r="AE534">
        <v>0</v>
      </c>
      <c r="AH534">
        <v>12000</v>
      </c>
      <c r="AP534" t="s">
        <v>246</v>
      </c>
    </row>
    <row r="535" spans="1:42">
      <c r="A535" s="1" t="s">
        <v>46</v>
      </c>
      <c r="B535" s="1" t="s">
        <v>1197</v>
      </c>
      <c r="C535" s="1" t="s">
        <v>1197</v>
      </c>
      <c r="E535" s="4" t="s">
        <v>1198</v>
      </c>
      <c r="G535" s="16">
        <v>8</v>
      </c>
      <c r="M535">
        <v>1</v>
      </c>
      <c r="N535">
        <v>4</v>
      </c>
      <c r="O535">
        <v>0</v>
      </c>
      <c r="P535">
        <v>6.3</v>
      </c>
      <c r="Q535">
        <v>25.2</v>
      </c>
      <c r="R535" t="s">
        <v>579</v>
      </c>
      <c r="S535">
        <v>0</v>
      </c>
      <c r="T535" t="s">
        <v>52</v>
      </c>
      <c r="U535">
        <v>0</v>
      </c>
      <c r="V535">
        <v>0</v>
      </c>
      <c r="W535">
        <v>400002</v>
      </c>
      <c r="AE535">
        <v>0</v>
      </c>
      <c r="AP535" t="s">
        <v>116</v>
      </c>
    </row>
    <row r="536" spans="1:42">
      <c r="A536" s="1" t="s">
        <v>46</v>
      </c>
      <c r="B536" s="1" t="s">
        <v>1199</v>
      </c>
      <c r="C536" s="1" t="s">
        <v>1199</v>
      </c>
      <c r="E536" s="4" t="s">
        <v>1200</v>
      </c>
      <c r="G536" s="16">
        <v>17</v>
      </c>
      <c r="M536">
        <v>1</v>
      </c>
      <c r="N536">
        <v>-2</v>
      </c>
      <c r="O536">
        <v>0</v>
      </c>
      <c r="W536">
        <v>400046</v>
      </c>
      <c r="AE536">
        <v>0</v>
      </c>
      <c r="AP536" t="s">
        <v>407</v>
      </c>
    </row>
    <row r="537" spans="1:42">
      <c r="A537" s="1" t="s">
        <v>46</v>
      </c>
      <c r="B537" s="1" t="s">
        <v>1201</v>
      </c>
      <c r="C537" s="1" t="s">
        <v>1201</v>
      </c>
      <c r="E537" s="4" t="s">
        <v>1202</v>
      </c>
      <c r="G537" s="16"/>
      <c r="M537">
        <v>1</v>
      </c>
      <c r="N537">
        <v>2</v>
      </c>
      <c r="O537">
        <v>0</v>
      </c>
      <c r="P537">
        <v>9.31</v>
      </c>
      <c r="Q537">
        <v>18.62</v>
      </c>
      <c r="R537" t="s">
        <v>579</v>
      </c>
      <c r="S537">
        <v>0</v>
      </c>
      <c r="T537" t="s">
        <v>52</v>
      </c>
      <c r="U537">
        <v>0</v>
      </c>
      <c r="V537">
        <v>0</v>
      </c>
      <c r="W537">
        <v>400013</v>
      </c>
      <c r="AE537">
        <v>0</v>
      </c>
      <c r="AP537" t="s">
        <v>232</v>
      </c>
    </row>
    <row r="538" spans="1:42">
      <c r="A538" s="1" t="s">
        <v>46</v>
      </c>
      <c r="B538" s="1" t="s">
        <v>1203</v>
      </c>
      <c r="C538" s="1" t="s">
        <v>1203</v>
      </c>
      <c r="E538" s="4" t="s">
        <v>1204</v>
      </c>
      <c r="G538" s="16">
        <v>15</v>
      </c>
      <c r="I538">
        <v>445.5</v>
      </c>
      <c r="M538">
        <v>1</v>
      </c>
      <c r="N538">
        <v>9</v>
      </c>
      <c r="O538">
        <v>0</v>
      </c>
      <c r="P538">
        <v>316.35000000000002</v>
      </c>
      <c r="Q538">
        <v>2847.15</v>
      </c>
      <c r="R538" t="s">
        <v>574</v>
      </c>
      <c r="S538">
        <v>0</v>
      </c>
      <c r="T538" t="s">
        <v>52</v>
      </c>
      <c r="U538">
        <v>0</v>
      </c>
      <c r="V538">
        <v>0</v>
      </c>
      <c r="W538">
        <v>400013</v>
      </c>
      <c r="X538" t="s">
        <v>56</v>
      </c>
      <c r="Y538" t="s">
        <v>57</v>
      </c>
      <c r="AE538">
        <v>0</v>
      </c>
      <c r="AH538">
        <v>445.5</v>
      </c>
      <c r="AP538" t="s">
        <v>232</v>
      </c>
    </row>
    <row r="539" spans="1:42">
      <c r="A539" s="1" t="s">
        <v>46</v>
      </c>
      <c r="B539" s="1" t="s">
        <v>1205</v>
      </c>
      <c r="C539" s="1" t="s">
        <v>1205</v>
      </c>
      <c r="E539" s="4" t="s">
        <v>1206</v>
      </c>
      <c r="G539" s="16">
        <v>30</v>
      </c>
      <c r="M539">
        <v>1</v>
      </c>
      <c r="N539">
        <v>-1</v>
      </c>
      <c r="O539">
        <v>0</v>
      </c>
      <c r="R539">
        <v>0</v>
      </c>
      <c r="S539">
        <v>0</v>
      </c>
      <c r="T539" t="s">
        <v>52</v>
      </c>
      <c r="U539">
        <v>0</v>
      </c>
      <c r="V539">
        <v>0</v>
      </c>
      <c r="W539">
        <v>400011</v>
      </c>
      <c r="AE539">
        <v>0</v>
      </c>
      <c r="AP539" t="s">
        <v>617</v>
      </c>
    </row>
    <row r="540" spans="1:42">
      <c r="A540" s="1" t="s">
        <v>46</v>
      </c>
      <c r="B540" s="1" t="s">
        <v>1207</v>
      </c>
      <c r="C540" s="1" t="s">
        <v>1207</v>
      </c>
      <c r="E540" s="4" t="s">
        <v>1208</v>
      </c>
      <c r="G540" s="16">
        <v>35</v>
      </c>
      <c r="I540">
        <v>225</v>
      </c>
      <c r="M540">
        <v>1</v>
      </c>
      <c r="N540">
        <v>-24</v>
      </c>
      <c r="O540">
        <v>0</v>
      </c>
      <c r="P540">
        <v>531</v>
      </c>
      <c r="Q540">
        <v>-12744</v>
      </c>
      <c r="R540" t="s">
        <v>589</v>
      </c>
      <c r="S540">
        <v>0</v>
      </c>
      <c r="T540" t="s">
        <v>52</v>
      </c>
      <c r="U540">
        <v>0</v>
      </c>
      <c r="V540">
        <v>0</v>
      </c>
      <c r="W540">
        <v>400011</v>
      </c>
      <c r="AE540">
        <v>0</v>
      </c>
      <c r="AH540">
        <v>225</v>
      </c>
      <c r="AP540" t="s">
        <v>617</v>
      </c>
    </row>
    <row r="541" spans="1:42">
      <c r="A541" s="1" t="s">
        <v>46</v>
      </c>
      <c r="B541" s="1" t="s">
        <v>1209</v>
      </c>
      <c r="C541" s="1" t="s">
        <v>1209</v>
      </c>
      <c r="E541" s="4" t="s">
        <v>1210</v>
      </c>
      <c r="G541" s="16">
        <v>30</v>
      </c>
      <c r="M541">
        <v>1</v>
      </c>
      <c r="N541">
        <v>1</v>
      </c>
      <c r="O541">
        <v>0</v>
      </c>
      <c r="P541">
        <v>170</v>
      </c>
      <c r="Q541">
        <v>170</v>
      </c>
      <c r="R541" t="s">
        <v>589</v>
      </c>
      <c r="S541">
        <v>0</v>
      </c>
      <c r="T541" t="s">
        <v>52</v>
      </c>
      <c r="W541">
        <v>400011</v>
      </c>
      <c r="AE541">
        <v>0</v>
      </c>
      <c r="AP541" t="s">
        <v>617</v>
      </c>
    </row>
    <row r="542" spans="1:42">
      <c r="A542" s="1" t="s">
        <v>46</v>
      </c>
      <c r="B542" s="1" t="s">
        <v>1211</v>
      </c>
      <c r="C542" s="1" t="s">
        <v>1211</v>
      </c>
      <c r="E542" s="4" t="s">
        <v>1212</v>
      </c>
      <c r="G542" s="16">
        <v>75</v>
      </c>
      <c r="I542">
        <v>147</v>
      </c>
      <c r="M542">
        <v>1</v>
      </c>
      <c r="N542">
        <v>48</v>
      </c>
      <c r="O542">
        <v>0</v>
      </c>
      <c r="P542">
        <v>100</v>
      </c>
      <c r="Q542">
        <v>4800</v>
      </c>
      <c r="R542" t="s">
        <v>589</v>
      </c>
      <c r="S542">
        <v>0</v>
      </c>
      <c r="T542" t="s">
        <v>52</v>
      </c>
      <c r="U542">
        <v>0</v>
      </c>
      <c r="V542">
        <v>0</v>
      </c>
      <c r="W542">
        <v>410120</v>
      </c>
      <c r="AE542">
        <v>0</v>
      </c>
      <c r="AH542">
        <v>147</v>
      </c>
      <c r="AP542" t="s">
        <v>112</v>
      </c>
    </row>
    <row r="543" spans="1:42">
      <c r="A543" s="1" t="s">
        <v>46</v>
      </c>
      <c r="B543" s="1" t="s">
        <v>1213</v>
      </c>
      <c r="C543" s="1" t="s">
        <v>1213</v>
      </c>
      <c r="E543" s="4" t="s">
        <v>1214</v>
      </c>
      <c r="G543" s="16"/>
      <c r="M543">
        <v>1</v>
      </c>
      <c r="N543">
        <v>8</v>
      </c>
      <c r="O543">
        <v>0</v>
      </c>
      <c r="P543">
        <v>150</v>
      </c>
      <c r="Q543">
        <v>1200</v>
      </c>
      <c r="R543" t="s">
        <v>589</v>
      </c>
      <c r="S543">
        <v>0</v>
      </c>
      <c r="T543" t="s">
        <v>52</v>
      </c>
      <c r="U543">
        <v>0</v>
      </c>
      <c r="V543">
        <v>0</v>
      </c>
      <c r="W543">
        <v>400011</v>
      </c>
      <c r="AE543">
        <v>0</v>
      </c>
      <c r="AP543" t="s">
        <v>617</v>
      </c>
    </row>
    <row r="544" spans="1:42">
      <c r="A544" s="1" t="s">
        <v>46</v>
      </c>
      <c r="B544" s="1" t="s">
        <v>1215</v>
      </c>
      <c r="C544" s="1" t="s">
        <v>1215</v>
      </c>
      <c r="E544" s="4" t="s">
        <v>1216</v>
      </c>
      <c r="G544" s="16">
        <v>25</v>
      </c>
      <c r="M544">
        <v>1</v>
      </c>
      <c r="N544">
        <v>14</v>
      </c>
      <c r="O544">
        <v>0</v>
      </c>
      <c r="P544">
        <v>188</v>
      </c>
      <c r="Q544">
        <v>2632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400011</v>
      </c>
      <c r="AE544">
        <v>0</v>
      </c>
      <c r="AP544" t="s">
        <v>617</v>
      </c>
    </row>
    <row r="545" spans="1:42">
      <c r="A545" s="1" t="s">
        <v>46</v>
      </c>
      <c r="B545" s="1" t="s">
        <v>1217</v>
      </c>
      <c r="C545" s="1" t="s">
        <v>1217</v>
      </c>
      <c r="E545" s="4" t="s">
        <v>1218</v>
      </c>
      <c r="G545" s="16"/>
      <c r="I545">
        <v>193.6</v>
      </c>
      <c r="M545">
        <v>1</v>
      </c>
      <c r="N545">
        <v>117</v>
      </c>
      <c r="O545">
        <v>0</v>
      </c>
      <c r="P545">
        <v>168.87</v>
      </c>
      <c r="Q545">
        <v>19758.02</v>
      </c>
      <c r="R545" t="s">
        <v>574</v>
      </c>
      <c r="S545">
        <v>0</v>
      </c>
      <c r="T545" t="s">
        <v>52</v>
      </c>
      <c r="U545">
        <v>0</v>
      </c>
      <c r="V545">
        <v>0</v>
      </c>
      <c r="W545">
        <v>400214</v>
      </c>
      <c r="X545" t="s">
        <v>56</v>
      </c>
      <c r="Y545" t="s">
        <v>57</v>
      </c>
      <c r="AE545">
        <v>0</v>
      </c>
      <c r="AH545">
        <v>193.6</v>
      </c>
      <c r="AP545" t="s">
        <v>689</v>
      </c>
    </row>
    <row r="546" spans="1:42">
      <c r="A546" s="1" t="s">
        <v>46</v>
      </c>
      <c r="B546" s="1" t="s">
        <v>1219</v>
      </c>
      <c r="C546" s="1" t="s">
        <v>1219</v>
      </c>
      <c r="E546" s="4" t="s">
        <v>1220</v>
      </c>
      <c r="G546" s="16">
        <v>18</v>
      </c>
      <c r="I546">
        <v>323.39999999999998</v>
      </c>
      <c r="M546">
        <v>1</v>
      </c>
      <c r="N546">
        <v>20</v>
      </c>
      <c r="O546">
        <v>0</v>
      </c>
      <c r="P546">
        <v>312.13</v>
      </c>
      <c r="Q546">
        <v>6242.64</v>
      </c>
      <c r="R546" t="s">
        <v>574</v>
      </c>
      <c r="S546">
        <v>0</v>
      </c>
      <c r="T546" t="s">
        <v>52</v>
      </c>
      <c r="U546">
        <v>0</v>
      </c>
      <c r="V546">
        <v>0</v>
      </c>
      <c r="W546">
        <v>400013</v>
      </c>
      <c r="X546" t="s">
        <v>56</v>
      </c>
      <c r="Y546" t="s">
        <v>57</v>
      </c>
      <c r="AE546">
        <v>0</v>
      </c>
      <c r="AH546">
        <v>323.39999999999998</v>
      </c>
      <c r="AP546" t="s">
        <v>232</v>
      </c>
    </row>
    <row r="547" spans="1:42">
      <c r="A547" s="1" t="s">
        <v>46</v>
      </c>
      <c r="B547" s="1" t="s">
        <v>1221</v>
      </c>
      <c r="C547" s="1" t="s">
        <v>1221</v>
      </c>
      <c r="E547" s="4" t="s">
        <v>1222</v>
      </c>
      <c r="G547" s="16"/>
      <c r="M547">
        <v>1</v>
      </c>
      <c r="N547">
        <v>-13</v>
      </c>
      <c r="O547">
        <v>0</v>
      </c>
      <c r="P547">
        <v>8.5</v>
      </c>
      <c r="Q547">
        <v>-110.5</v>
      </c>
      <c r="R547">
        <v>0</v>
      </c>
      <c r="S547">
        <v>0</v>
      </c>
      <c r="T547" t="s">
        <v>52</v>
      </c>
      <c r="U547">
        <v>0</v>
      </c>
      <c r="V547">
        <v>0</v>
      </c>
      <c r="W547">
        <v>400190</v>
      </c>
      <c r="AE547">
        <v>0</v>
      </c>
      <c r="AP547" t="s">
        <v>286</v>
      </c>
    </row>
    <row r="548" spans="1:42">
      <c r="A548" s="1" t="s">
        <v>46</v>
      </c>
      <c r="B548" s="1" t="s">
        <v>1223</v>
      </c>
      <c r="C548" s="1" t="s">
        <v>1223</v>
      </c>
      <c r="E548" s="4" t="s">
        <v>1224</v>
      </c>
      <c r="G548" s="16"/>
      <c r="I548">
        <v>2651</v>
      </c>
      <c r="M548">
        <v>1</v>
      </c>
      <c r="N548">
        <v>1</v>
      </c>
      <c r="O548">
        <v>0</v>
      </c>
      <c r="P548">
        <v>155.84</v>
      </c>
      <c r="Q548">
        <v>155.84</v>
      </c>
      <c r="R548" t="s">
        <v>574</v>
      </c>
      <c r="S548">
        <v>0</v>
      </c>
      <c r="T548" t="s">
        <v>52</v>
      </c>
      <c r="U548">
        <v>0</v>
      </c>
      <c r="V548">
        <v>0</v>
      </c>
      <c r="W548">
        <v>400013</v>
      </c>
      <c r="AE548">
        <v>0</v>
      </c>
      <c r="AH548">
        <v>2651</v>
      </c>
      <c r="AP548" t="s">
        <v>232</v>
      </c>
    </row>
    <row r="549" spans="1:42">
      <c r="A549" s="1" t="s">
        <v>46</v>
      </c>
      <c r="B549" s="1" t="s">
        <v>1225</v>
      </c>
      <c r="C549" s="1" t="s">
        <v>1225</v>
      </c>
      <c r="E549" s="4" t="s">
        <v>1226</v>
      </c>
      <c r="G549" s="16"/>
      <c r="M549">
        <v>1</v>
      </c>
      <c r="N549">
        <v>10</v>
      </c>
      <c r="O549">
        <v>0</v>
      </c>
      <c r="P549">
        <v>1.35</v>
      </c>
      <c r="Q549">
        <v>13.5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400017</v>
      </c>
      <c r="X549" t="s">
        <v>56</v>
      </c>
      <c r="Y549" t="s">
        <v>57</v>
      </c>
      <c r="AE549">
        <v>0</v>
      </c>
      <c r="AP549" t="s">
        <v>49</v>
      </c>
    </row>
    <row r="550" spans="1:42">
      <c r="A550" s="1" t="s">
        <v>46</v>
      </c>
      <c r="B550" s="1" t="s">
        <v>1227</v>
      </c>
      <c r="C550" s="1" t="s">
        <v>1227</v>
      </c>
      <c r="E550" s="4" t="s">
        <v>1228</v>
      </c>
      <c r="G550" s="16"/>
      <c r="M550">
        <v>1</v>
      </c>
      <c r="N550">
        <v>6</v>
      </c>
      <c r="O550">
        <v>0</v>
      </c>
      <c r="P550">
        <v>2</v>
      </c>
      <c r="Q550">
        <v>12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400017</v>
      </c>
      <c r="X550" t="s">
        <v>56</v>
      </c>
      <c r="Y550" t="s">
        <v>57</v>
      </c>
      <c r="AE550">
        <v>0</v>
      </c>
      <c r="AP550" t="s">
        <v>49</v>
      </c>
    </row>
    <row r="551" spans="1:42">
      <c r="A551" s="1" t="s">
        <v>46</v>
      </c>
      <c r="B551" s="1" t="s">
        <v>1229</v>
      </c>
      <c r="C551" s="1" t="s">
        <v>1229</v>
      </c>
      <c r="E551" s="4" t="s">
        <v>1230</v>
      </c>
      <c r="G551" s="16">
        <v>18</v>
      </c>
      <c r="M551">
        <v>1</v>
      </c>
      <c r="N551">
        <v>6</v>
      </c>
      <c r="O551">
        <v>0</v>
      </c>
      <c r="P551">
        <v>2.25</v>
      </c>
      <c r="Q551">
        <v>13.5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400017</v>
      </c>
      <c r="X551" t="s">
        <v>56</v>
      </c>
      <c r="Y551" t="s">
        <v>57</v>
      </c>
      <c r="AE551">
        <v>0</v>
      </c>
      <c r="AP551" t="s">
        <v>49</v>
      </c>
    </row>
    <row r="552" spans="1:42">
      <c r="A552" s="1" t="s">
        <v>46</v>
      </c>
      <c r="B552" s="1" t="s">
        <v>1231</v>
      </c>
      <c r="C552" s="1" t="s">
        <v>1231</v>
      </c>
      <c r="E552" s="4" t="s">
        <v>1232</v>
      </c>
      <c r="G552" s="16"/>
      <c r="M552">
        <v>1</v>
      </c>
      <c r="N552">
        <v>4</v>
      </c>
      <c r="O552">
        <v>0</v>
      </c>
      <c r="P552">
        <v>60</v>
      </c>
      <c r="Q552">
        <v>240</v>
      </c>
      <c r="W552">
        <v>400139</v>
      </c>
      <c r="AE552">
        <v>0</v>
      </c>
      <c r="AP552" t="s">
        <v>1233</v>
      </c>
    </row>
    <row r="553" spans="1:42">
      <c r="A553" s="1" t="s">
        <v>46</v>
      </c>
      <c r="B553" s="1" t="s">
        <v>1234</v>
      </c>
      <c r="C553" s="1" t="s">
        <v>1234</v>
      </c>
      <c r="E553" s="4" t="s">
        <v>1235</v>
      </c>
      <c r="G553" s="16">
        <v>14</v>
      </c>
      <c r="M553">
        <v>1</v>
      </c>
      <c r="N553">
        <v>-3</v>
      </c>
      <c r="O553">
        <v>0</v>
      </c>
      <c r="P553">
        <v>0.01</v>
      </c>
      <c r="Q553">
        <v>-0.04</v>
      </c>
      <c r="R553">
        <v>0</v>
      </c>
      <c r="S553">
        <v>0</v>
      </c>
      <c r="T553" t="s">
        <v>52</v>
      </c>
      <c r="W553">
        <v>400055</v>
      </c>
      <c r="AE553">
        <v>0</v>
      </c>
      <c r="AP553" t="s">
        <v>1236</v>
      </c>
    </row>
    <row r="554" spans="1:42">
      <c r="A554" s="1" t="s">
        <v>46</v>
      </c>
      <c r="B554" s="1" t="s">
        <v>1237</v>
      </c>
      <c r="C554" s="1" t="s">
        <v>1237</v>
      </c>
      <c r="E554" s="4" t="s">
        <v>1238</v>
      </c>
      <c r="G554" s="16">
        <v>20</v>
      </c>
      <c r="M554">
        <v>1</v>
      </c>
      <c r="N554">
        <v>75</v>
      </c>
      <c r="O554">
        <v>0</v>
      </c>
      <c r="P554">
        <v>0.35</v>
      </c>
      <c r="Q554">
        <v>26.16</v>
      </c>
      <c r="R554">
        <v>0</v>
      </c>
      <c r="S554">
        <v>0</v>
      </c>
      <c r="T554" t="s">
        <v>209</v>
      </c>
      <c r="W554">
        <v>400055</v>
      </c>
      <c r="AE554">
        <v>0</v>
      </c>
      <c r="AP554" t="s">
        <v>1236</v>
      </c>
    </row>
    <row r="555" spans="1:42">
      <c r="A555" s="1" t="s">
        <v>46</v>
      </c>
      <c r="B555" s="1" t="s">
        <v>1239</v>
      </c>
      <c r="C555" s="1" t="s">
        <v>1239</v>
      </c>
      <c r="E555" s="4" t="s">
        <v>1240</v>
      </c>
      <c r="G555" s="16">
        <v>6</v>
      </c>
      <c r="M555">
        <v>1</v>
      </c>
      <c r="N555">
        <v>18</v>
      </c>
      <c r="O555">
        <v>0</v>
      </c>
      <c r="P555">
        <v>29</v>
      </c>
      <c r="Q555">
        <v>522</v>
      </c>
      <c r="W555">
        <v>400111</v>
      </c>
      <c r="AE555">
        <v>0</v>
      </c>
      <c r="AP555" t="s">
        <v>646</v>
      </c>
    </row>
    <row r="556" spans="1:42">
      <c r="A556" s="1" t="s">
        <v>46</v>
      </c>
      <c r="B556" s="1" t="s">
        <v>1241</v>
      </c>
      <c r="C556" s="1" t="s">
        <v>1241</v>
      </c>
      <c r="E556" s="4" t="s">
        <v>1242</v>
      </c>
      <c r="G556" s="16">
        <v>12</v>
      </c>
      <c r="M556">
        <v>1</v>
      </c>
      <c r="N556">
        <v>4</v>
      </c>
      <c r="O556">
        <v>0</v>
      </c>
      <c r="P556">
        <v>30</v>
      </c>
      <c r="Q556">
        <v>120</v>
      </c>
      <c r="R556">
        <v>0</v>
      </c>
      <c r="S556">
        <v>0</v>
      </c>
      <c r="T556">
        <v>0</v>
      </c>
      <c r="W556">
        <v>410120</v>
      </c>
      <c r="AE556">
        <v>0</v>
      </c>
      <c r="AP556" t="s">
        <v>112</v>
      </c>
    </row>
    <row r="557" spans="1:42">
      <c r="A557" s="1" t="s">
        <v>46</v>
      </c>
      <c r="B557" s="1" t="s">
        <v>1243</v>
      </c>
      <c r="C557" s="1" t="s">
        <v>1243</v>
      </c>
      <c r="E557" s="4" t="s">
        <v>1244</v>
      </c>
      <c r="G557" s="16">
        <v>4</v>
      </c>
      <c r="M557">
        <v>1</v>
      </c>
      <c r="N557">
        <v>-13</v>
      </c>
      <c r="O557">
        <v>0</v>
      </c>
      <c r="AE557">
        <v>0</v>
      </c>
    </row>
    <row r="558" spans="1:42">
      <c r="A558" s="1" t="s">
        <v>46</v>
      </c>
      <c r="B558" s="1" t="s">
        <v>1245</v>
      </c>
      <c r="C558" s="1" t="s">
        <v>1245</v>
      </c>
      <c r="E558" s="4" t="s">
        <v>1246</v>
      </c>
      <c r="G558" s="16">
        <v>4</v>
      </c>
      <c r="M558">
        <v>1</v>
      </c>
      <c r="N558">
        <v>3</v>
      </c>
      <c r="O558">
        <v>0</v>
      </c>
      <c r="P558">
        <v>83.2</v>
      </c>
      <c r="Q558">
        <v>249.6</v>
      </c>
      <c r="W558">
        <v>400159</v>
      </c>
      <c r="AE558">
        <v>0</v>
      </c>
      <c r="AP558" t="s">
        <v>190</v>
      </c>
    </row>
    <row r="559" spans="1:42">
      <c r="A559" s="1" t="s">
        <v>46</v>
      </c>
      <c r="B559" s="1" t="s">
        <v>1247</v>
      </c>
      <c r="C559" s="1" t="s">
        <v>1247</v>
      </c>
      <c r="E559" s="4" t="s">
        <v>1248</v>
      </c>
      <c r="G559" s="16"/>
      <c r="M559">
        <v>1</v>
      </c>
      <c r="N559">
        <v>1</v>
      </c>
      <c r="O559">
        <v>0</v>
      </c>
      <c r="P559">
        <v>55.5</v>
      </c>
      <c r="Q559">
        <v>55.5</v>
      </c>
      <c r="R559">
        <v>0</v>
      </c>
      <c r="S559">
        <v>0</v>
      </c>
      <c r="T559">
        <v>0</v>
      </c>
      <c r="W559">
        <v>400120</v>
      </c>
      <c r="AE559">
        <v>0</v>
      </c>
      <c r="AP559" t="s">
        <v>468</v>
      </c>
    </row>
    <row r="560" spans="1:42">
      <c r="A560" s="1" t="s">
        <v>46</v>
      </c>
      <c r="B560" s="1" t="s">
        <v>1249</v>
      </c>
      <c r="C560" s="1" t="s">
        <v>1249</v>
      </c>
      <c r="E560" s="4" t="s">
        <v>1250</v>
      </c>
      <c r="G560" s="16"/>
      <c r="M560">
        <v>1</v>
      </c>
      <c r="N560">
        <v>8</v>
      </c>
      <c r="O560">
        <v>0</v>
      </c>
      <c r="P560">
        <v>4</v>
      </c>
      <c r="Q560">
        <v>32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400017</v>
      </c>
      <c r="X560" t="s">
        <v>56</v>
      </c>
      <c r="Y560" t="s">
        <v>57</v>
      </c>
      <c r="AE560">
        <v>0</v>
      </c>
      <c r="AP560" t="s">
        <v>49</v>
      </c>
    </row>
    <row r="561" spans="1:42">
      <c r="A561" s="1" t="s">
        <v>46</v>
      </c>
      <c r="B561" s="1" t="s">
        <v>1251</v>
      </c>
      <c r="C561" s="1" t="s">
        <v>1251</v>
      </c>
      <c r="E561" s="4" t="s">
        <v>1252</v>
      </c>
      <c r="G561" s="16"/>
      <c r="M561">
        <v>1</v>
      </c>
      <c r="N561">
        <v>24</v>
      </c>
      <c r="O561">
        <v>0</v>
      </c>
      <c r="P561">
        <v>0.8</v>
      </c>
      <c r="Q561">
        <v>19.2</v>
      </c>
      <c r="R561" t="s">
        <v>783</v>
      </c>
      <c r="S561">
        <v>0</v>
      </c>
      <c r="T561" t="s">
        <v>52</v>
      </c>
      <c r="U561">
        <v>0</v>
      </c>
      <c r="V561">
        <v>0</v>
      </c>
      <c r="W561">
        <v>400079</v>
      </c>
      <c r="AE561">
        <v>0</v>
      </c>
      <c r="AP561" t="s">
        <v>1253</v>
      </c>
    </row>
    <row r="562" spans="1:42">
      <c r="A562" s="1" t="s">
        <v>46</v>
      </c>
      <c r="B562" s="1" t="s">
        <v>1254</v>
      </c>
      <c r="C562" s="1" t="s">
        <v>1254</v>
      </c>
      <c r="E562" s="4" t="s">
        <v>1255</v>
      </c>
      <c r="G562" s="16">
        <v>11</v>
      </c>
      <c r="M562">
        <v>1</v>
      </c>
      <c r="N562">
        <v>18</v>
      </c>
      <c r="O562">
        <v>0</v>
      </c>
      <c r="P562">
        <v>0.62</v>
      </c>
      <c r="Q562">
        <v>11.23</v>
      </c>
      <c r="R562" t="s">
        <v>556</v>
      </c>
      <c r="S562">
        <v>0</v>
      </c>
      <c r="T562" t="s">
        <v>52</v>
      </c>
      <c r="U562">
        <v>0</v>
      </c>
      <c r="V562">
        <v>0</v>
      </c>
      <c r="W562">
        <v>400013</v>
      </c>
      <c r="X562" t="s">
        <v>56</v>
      </c>
      <c r="Y562" t="s">
        <v>57</v>
      </c>
      <c r="AE562">
        <v>0</v>
      </c>
      <c r="AP562" t="s">
        <v>232</v>
      </c>
    </row>
    <row r="563" spans="1:42">
      <c r="A563" s="1" t="s">
        <v>46</v>
      </c>
      <c r="B563" s="1" t="s">
        <v>1256</v>
      </c>
      <c r="C563" s="1" t="s">
        <v>1256</v>
      </c>
      <c r="E563" s="4" t="s">
        <v>1257</v>
      </c>
      <c r="G563" s="16"/>
      <c r="I563">
        <v>0.5</v>
      </c>
      <c r="M563">
        <v>1</v>
      </c>
      <c r="N563">
        <v>-272</v>
      </c>
      <c r="O563">
        <v>0</v>
      </c>
      <c r="P563">
        <v>0.15</v>
      </c>
      <c r="Q563">
        <v>-40.799999999999997</v>
      </c>
      <c r="R563" t="s">
        <v>241</v>
      </c>
      <c r="S563">
        <v>0</v>
      </c>
      <c r="T563" t="s">
        <v>52</v>
      </c>
      <c r="U563">
        <v>0</v>
      </c>
      <c r="V563">
        <v>0</v>
      </c>
      <c r="W563">
        <v>410302</v>
      </c>
      <c r="AE563">
        <v>0</v>
      </c>
      <c r="AH563">
        <v>0.5</v>
      </c>
      <c r="AP563" t="s">
        <v>177</v>
      </c>
    </row>
    <row r="564" spans="1:42">
      <c r="A564" s="1" t="s">
        <v>46</v>
      </c>
      <c r="B564" s="1" t="s">
        <v>1258</v>
      </c>
      <c r="C564" s="1" t="s">
        <v>1258</v>
      </c>
      <c r="E564" s="4" t="s">
        <v>1259</v>
      </c>
      <c r="G564" s="16"/>
      <c r="I564">
        <v>0.78</v>
      </c>
      <c r="M564">
        <v>1</v>
      </c>
      <c r="N564">
        <v>803</v>
      </c>
      <c r="O564">
        <v>0</v>
      </c>
      <c r="P564">
        <v>0.56000000000000005</v>
      </c>
      <c r="Q564">
        <v>450.92</v>
      </c>
      <c r="R564" t="s">
        <v>1050</v>
      </c>
      <c r="S564">
        <v>0</v>
      </c>
      <c r="T564" t="s">
        <v>52</v>
      </c>
      <c r="U564">
        <v>0</v>
      </c>
      <c r="V564">
        <v>0</v>
      </c>
      <c r="W564">
        <v>400026</v>
      </c>
      <c r="AE564">
        <v>0</v>
      </c>
      <c r="AH564">
        <v>0.78</v>
      </c>
      <c r="AP564" t="s">
        <v>187</v>
      </c>
    </row>
    <row r="565" spans="1:42">
      <c r="A565" s="1" t="s">
        <v>46</v>
      </c>
      <c r="B565" s="1" t="s">
        <v>1260</v>
      </c>
      <c r="C565" s="1" t="s">
        <v>1260</v>
      </c>
      <c r="E565" s="4" t="s">
        <v>1261</v>
      </c>
      <c r="G565" s="16"/>
      <c r="M565">
        <v>1</v>
      </c>
      <c r="N565">
        <v>277</v>
      </c>
      <c r="O565">
        <v>0</v>
      </c>
      <c r="P565">
        <v>5.5</v>
      </c>
      <c r="Q565">
        <v>1523.5</v>
      </c>
      <c r="R565" t="s">
        <v>241</v>
      </c>
      <c r="S565">
        <v>0</v>
      </c>
      <c r="T565" t="s">
        <v>52</v>
      </c>
      <c r="U565">
        <v>0</v>
      </c>
      <c r="V565">
        <v>0</v>
      </c>
      <c r="W565">
        <v>410302</v>
      </c>
      <c r="AE565">
        <v>0</v>
      </c>
      <c r="AP565" t="s">
        <v>177</v>
      </c>
    </row>
    <row r="566" spans="1:42">
      <c r="A566" s="1" t="s">
        <v>46</v>
      </c>
      <c r="B566" s="1" t="s">
        <v>1262</v>
      </c>
      <c r="C566" s="1" t="s">
        <v>1262</v>
      </c>
      <c r="E566" s="4" t="s">
        <v>1263</v>
      </c>
      <c r="G566" s="16">
        <v>11</v>
      </c>
      <c r="M566">
        <v>1</v>
      </c>
      <c r="N566">
        <v>65</v>
      </c>
      <c r="O566">
        <v>0</v>
      </c>
      <c r="P566">
        <v>3.3</v>
      </c>
      <c r="Q566">
        <v>214.21</v>
      </c>
      <c r="R566" t="s">
        <v>241</v>
      </c>
      <c r="S566">
        <v>0</v>
      </c>
      <c r="T566" t="s">
        <v>52</v>
      </c>
      <c r="U566">
        <v>0</v>
      </c>
      <c r="V566">
        <v>0</v>
      </c>
      <c r="W566">
        <v>400013</v>
      </c>
      <c r="X566" t="s">
        <v>56</v>
      </c>
      <c r="Y566" t="s">
        <v>57</v>
      </c>
      <c r="AE566">
        <v>0</v>
      </c>
      <c r="AP566" t="s">
        <v>232</v>
      </c>
    </row>
    <row r="567" spans="1:42">
      <c r="A567" s="1" t="s">
        <v>46</v>
      </c>
      <c r="B567" s="1" t="s">
        <v>1264</v>
      </c>
      <c r="C567" s="1" t="s">
        <v>1264</v>
      </c>
      <c r="E567" s="4" t="s">
        <v>1265</v>
      </c>
      <c r="G567" s="16"/>
      <c r="M567">
        <v>1</v>
      </c>
      <c r="N567">
        <v>718</v>
      </c>
      <c r="O567">
        <v>0</v>
      </c>
      <c r="P567">
        <v>5.65</v>
      </c>
      <c r="Q567">
        <v>4056.7</v>
      </c>
      <c r="R567" t="s">
        <v>241</v>
      </c>
      <c r="S567">
        <v>0</v>
      </c>
      <c r="T567" t="s">
        <v>52</v>
      </c>
      <c r="U567">
        <v>0</v>
      </c>
      <c r="V567">
        <v>0</v>
      </c>
      <c r="W567">
        <v>400028</v>
      </c>
      <c r="AE567">
        <v>0</v>
      </c>
      <c r="AP567" t="s">
        <v>246</v>
      </c>
    </row>
    <row r="568" spans="1:42">
      <c r="A568" s="1" t="s">
        <v>46</v>
      </c>
      <c r="B568" s="1" t="s">
        <v>1266</v>
      </c>
      <c r="C568" s="1" t="s">
        <v>1266</v>
      </c>
      <c r="E568" s="4" t="s">
        <v>1267</v>
      </c>
      <c r="G568" s="16"/>
      <c r="I568">
        <v>14.2</v>
      </c>
      <c r="M568">
        <v>1</v>
      </c>
      <c r="N568">
        <v>8</v>
      </c>
      <c r="O568">
        <v>0</v>
      </c>
      <c r="P568">
        <v>15.48</v>
      </c>
      <c r="Q568">
        <v>123.88</v>
      </c>
      <c r="R568" t="s">
        <v>1050</v>
      </c>
      <c r="S568">
        <v>0</v>
      </c>
      <c r="T568" t="s">
        <v>52</v>
      </c>
      <c r="U568">
        <v>0</v>
      </c>
      <c r="V568">
        <v>0</v>
      </c>
      <c r="W568">
        <v>400030</v>
      </c>
      <c r="AE568">
        <v>0</v>
      </c>
      <c r="AH568">
        <v>14.2</v>
      </c>
      <c r="AP568" t="s">
        <v>92</v>
      </c>
    </row>
    <row r="569" spans="1:42">
      <c r="A569" s="1" t="s">
        <v>46</v>
      </c>
      <c r="B569" s="1" t="s">
        <v>1268</v>
      </c>
      <c r="C569" s="1" t="s">
        <v>1268</v>
      </c>
      <c r="E569" s="4" t="s">
        <v>1269</v>
      </c>
      <c r="G569" s="16"/>
      <c r="M569">
        <v>1</v>
      </c>
      <c r="N569">
        <v>248</v>
      </c>
      <c r="O569">
        <v>0</v>
      </c>
      <c r="P569">
        <v>3</v>
      </c>
      <c r="Q569">
        <v>744</v>
      </c>
      <c r="R569" t="s">
        <v>176</v>
      </c>
      <c r="S569">
        <v>0</v>
      </c>
      <c r="T569" t="s">
        <v>227</v>
      </c>
      <c r="U569">
        <v>0</v>
      </c>
      <c r="V569">
        <v>0</v>
      </c>
      <c r="W569">
        <v>400061</v>
      </c>
      <c r="X569" t="s">
        <v>56</v>
      </c>
      <c r="Y569" t="s">
        <v>57</v>
      </c>
      <c r="AE569">
        <v>0</v>
      </c>
      <c r="AP569" t="s">
        <v>169</v>
      </c>
    </row>
    <row r="570" spans="1:42">
      <c r="A570" s="1" t="s">
        <v>46</v>
      </c>
      <c r="B570" s="1" t="s">
        <v>1270</v>
      </c>
      <c r="C570" s="1" t="s">
        <v>1270</v>
      </c>
      <c r="E570" s="4" t="s">
        <v>1271</v>
      </c>
      <c r="G570" s="16"/>
      <c r="I570">
        <v>1</v>
      </c>
      <c r="M570">
        <v>1</v>
      </c>
      <c r="N570">
        <v>1230</v>
      </c>
      <c r="O570">
        <v>0</v>
      </c>
      <c r="P570">
        <v>0.45</v>
      </c>
      <c r="Q570">
        <v>553.5</v>
      </c>
      <c r="R570" t="s">
        <v>241</v>
      </c>
      <c r="S570">
        <v>0</v>
      </c>
      <c r="T570" t="s">
        <v>52</v>
      </c>
      <c r="U570">
        <v>0</v>
      </c>
      <c r="V570">
        <v>0</v>
      </c>
      <c r="W570">
        <v>400061</v>
      </c>
      <c r="X570" t="s">
        <v>56</v>
      </c>
      <c r="Y570" t="s">
        <v>57</v>
      </c>
      <c r="AE570">
        <v>0</v>
      </c>
      <c r="AH570">
        <v>1</v>
      </c>
      <c r="AP570" t="s">
        <v>169</v>
      </c>
    </row>
    <row r="571" spans="1:42">
      <c r="A571" s="1" t="s">
        <v>46</v>
      </c>
      <c r="B571" s="1" t="s">
        <v>1272</v>
      </c>
      <c r="C571" s="1" t="s">
        <v>1272</v>
      </c>
      <c r="E571" s="4" t="s">
        <v>1273</v>
      </c>
      <c r="G571" s="16"/>
      <c r="I571">
        <v>2.4</v>
      </c>
      <c r="M571">
        <v>1</v>
      </c>
      <c r="N571">
        <v>40</v>
      </c>
      <c r="O571">
        <v>0</v>
      </c>
      <c r="P571">
        <v>1.88</v>
      </c>
      <c r="Q571">
        <v>75.010000000000005</v>
      </c>
      <c r="R571" t="s">
        <v>1050</v>
      </c>
      <c r="S571">
        <v>0</v>
      </c>
      <c r="T571" t="s">
        <v>52</v>
      </c>
      <c r="U571">
        <v>0</v>
      </c>
      <c r="V571">
        <v>0</v>
      </c>
      <c r="W571">
        <v>400013</v>
      </c>
      <c r="AE571">
        <v>0</v>
      </c>
      <c r="AH571">
        <v>2.4</v>
      </c>
      <c r="AP571" t="s">
        <v>232</v>
      </c>
    </row>
    <row r="572" spans="1:42">
      <c r="A572" s="1" t="s">
        <v>46</v>
      </c>
      <c r="B572" s="1" t="s">
        <v>1274</v>
      </c>
      <c r="C572" s="1" t="s">
        <v>1274</v>
      </c>
      <c r="E572" s="4" t="s">
        <v>1275</v>
      </c>
      <c r="G572" s="16"/>
      <c r="I572">
        <v>16.399999999999999</v>
      </c>
      <c r="M572">
        <v>1</v>
      </c>
      <c r="N572">
        <v>92</v>
      </c>
      <c r="O572">
        <v>0</v>
      </c>
      <c r="P572">
        <v>5.64</v>
      </c>
      <c r="Q572">
        <v>518.65</v>
      </c>
      <c r="R572" t="s">
        <v>1050</v>
      </c>
      <c r="S572">
        <v>0</v>
      </c>
      <c r="T572" t="s">
        <v>209</v>
      </c>
      <c r="U572">
        <v>0</v>
      </c>
      <c r="V572">
        <v>0</v>
      </c>
      <c r="W572">
        <v>410302</v>
      </c>
      <c r="AE572">
        <v>0</v>
      </c>
      <c r="AH572">
        <v>16.399999999999999</v>
      </c>
      <c r="AP572" t="s">
        <v>177</v>
      </c>
    </row>
    <row r="573" spans="1:42">
      <c r="A573" s="1" t="s">
        <v>46</v>
      </c>
      <c r="B573" s="1" t="s">
        <v>1276</v>
      </c>
      <c r="C573" s="1" t="s">
        <v>1276</v>
      </c>
      <c r="E573" s="4" t="s">
        <v>1277</v>
      </c>
      <c r="G573" s="16"/>
      <c r="M573">
        <v>1</v>
      </c>
      <c r="N573">
        <v>15.5</v>
      </c>
      <c r="O573">
        <v>0</v>
      </c>
      <c r="P573">
        <v>11.65</v>
      </c>
      <c r="Q573">
        <v>180.52</v>
      </c>
      <c r="R573" t="s">
        <v>556</v>
      </c>
      <c r="S573">
        <v>0</v>
      </c>
      <c r="T573" t="s">
        <v>209</v>
      </c>
      <c r="U573">
        <v>0</v>
      </c>
      <c r="V573">
        <v>0</v>
      </c>
      <c r="W573">
        <v>400214</v>
      </c>
      <c r="X573" t="s">
        <v>56</v>
      </c>
      <c r="Y573" t="s">
        <v>57</v>
      </c>
      <c r="AE573">
        <v>0</v>
      </c>
      <c r="AP573" t="s">
        <v>689</v>
      </c>
    </row>
    <row r="574" spans="1:42">
      <c r="A574" s="1" t="s">
        <v>46</v>
      </c>
      <c r="B574" s="1" t="s">
        <v>1278</v>
      </c>
      <c r="C574" s="1" t="s">
        <v>1278</v>
      </c>
      <c r="E574" s="4" t="s">
        <v>1279</v>
      </c>
      <c r="G574" s="16">
        <v>5.5</v>
      </c>
      <c r="I574">
        <v>8.8000000000000007</v>
      </c>
      <c r="M574">
        <v>1</v>
      </c>
      <c r="N574">
        <v>903</v>
      </c>
      <c r="O574">
        <v>0</v>
      </c>
      <c r="P574">
        <v>6.8</v>
      </c>
      <c r="Q574">
        <v>6137.51</v>
      </c>
      <c r="R574" t="s">
        <v>1050</v>
      </c>
      <c r="S574">
        <v>0</v>
      </c>
      <c r="T574" t="s">
        <v>209</v>
      </c>
      <c r="U574">
        <v>0</v>
      </c>
      <c r="V574">
        <v>0</v>
      </c>
      <c r="W574">
        <v>400214</v>
      </c>
      <c r="X574" t="s">
        <v>56</v>
      </c>
      <c r="Y574" t="s">
        <v>57</v>
      </c>
      <c r="AE574">
        <v>0</v>
      </c>
      <c r="AH574">
        <v>8.8000000000000007</v>
      </c>
      <c r="AP574" t="s">
        <v>689</v>
      </c>
    </row>
    <row r="575" spans="1:42">
      <c r="A575" s="1" t="s">
        <v>46</v>
      </c>
      <c r="B575" s="1" t="s">
        <v>1280</v>
      </c>
      <c r="C575" s="1" t="s">
        <v>1280</v>
      </c>
      <c r="E575" s="4" t="s">
        <v>1281</v>
      </c>
      <c r="G575" s="16">
        <v>0.75</v>
      </c>
      <c r="M575">
        <v>1</v>
      </c>
      <c r="N575">
        <v>5</v>
      </c>
      <c r="O575">
        <v>0</v>
      </c>
      <c r="P575">
        <v>1.61</v>
      </c>
      <c r="Q575">
        <v>8.06</v>
      </c>
      <c r="R575" t="s">
        <v>556</v>
      </c>
      <c r="S575">
        <v>0</v>
      </c>
      <c r="T575" t="s">
        <v>52</v>
      </c>
      <c r="U575">
        <v>0</v>
      </c>
      <c r="V575">
        <v>0</v>
      </c>
      <c r="W575">
        <v>400013</v>
      </c>
      <c r="AE575">
        <v>0</v>
      </c>
      <c r="AP575" t="s">
        <v>232</v>
      </c>
    </row>
    <row r="576" spans="1:42">
      <c r="A576" s="1" t="s">
        <v>46</v>
      </c>
      <c r="B576" s="1" t="s">
        <v>1282</v>
      </c>
      <c r="C576" s="1" t="s">
        <v>1282</v>
      </c>
      <c r="E576" s="4" t="s">
        <v>1283</v>
      </c>
      <c r="G576" s="16">
        <v>1</v>
      </c>
      <c r="M576">
        <v>1</v>
      </c>
      <c r="N576">
        <v>249</v>
      </c>
      <c r="O576">
        <v>0</v>
      </c>
      <c r="P576">
        <v>0.8</v>
      </c>
      <c r="Q576">
        <v>199.2</v>
      </c>
      <c r="R576" t="s">
        <v>241</v>
      </c>
      <c r="S576">
        <v>0</v>
      </c>
      <c r="T576" t="s">
        <v>52</v>
      </c>
      <c r="U576">
        <v>0</v>
      </c>
      <c r="V576">
        <v>0</v>
      </c>
      <c r="W576">
        <v>410302</v>
      </c>
      <c r="AE576">
        <v>0</v>
      </c>
      <c r="AP576" t="s">
        <v>177</v>
      </c>
    </row>
    <row r="577" spans="1:42">
      <c r="A577" s="1" t="s">
        <v>46</v>
      </c>
      <c r="B577" s="1" t="s">
        <v>1284</v>
      </c>
      <c r="C577" s="1" t="s">
        <v>1284</v>
      </c>
      <c r="E577" s="4" t="s">
        <v>1285</v>
      </c>
      <c r="G577" s="16">
        <v>2</v>
      </c>
      <c r="I577">
        <v>13</v>
      </c>
      <c r="M577">
        <v>1</v>
      </c>
      <c r="N577">
        <v>2</v>
      </c>
      <c r="O577">
        <v>0</v>
      </c>
      <c r="P577">
        <v>7.6</v>
      </c>
      <c r="Q577">
        <v>15.19</v>
      </c>
      <c r="R577" t="s">
        <v>1050</v>
      </c>
      <c r="S577">
        <v>0</v>
      </c>
      <c r="T577" t="s">
        <v>52</v>
      </c>
      <c r="U577">
        <v>0</v>
      </c>
      <c r="V577">
        <v>0</v>
      </c>
      <c r="W577">
        <v>400026</v>
      </c>
      <c r="AE577">
        <v>0</v>
      </c>
      <c r="AH577">
        <v>13</v>
      </c>
      <c r="AP577" t="s">
        <v>187</v>
      </c>
    </row>
    <row r="578" spans="1:42">
      <c r="A578" s="1" t="s">
        <v>46</v>
      </c>
      <c r="B578" s="1" t="s">
        <v>1286</v>
      </c>
      <c r="C578" s="1" t="s">
        <v>1286</v>
      </c>
      <c r="E578" s="4" t="s">
        <v>1287</v>
      </c>
      <c r="G578" s="16">
        <v>2.75</v>
      </c>
      <c r="M578">
        <v>1</v>
      </c>
      <c r="N578">
        <v>-4</v>
      </c>
      <c r="O578">
        <v>0</v>
      </c>
      <c r="W578">
        <v>400203</v>
      </c>
      <c r="AE578">
        <v>0</v>
      </c>
      <c r="AP578" t="s">
        <v>837</v>
      </c>
    </row>
    <row r="579" spans="1:42">
      <c r="A579" s="1" t="s">
        <v>46</v>
      </c>
      <c r="B579" s="1" t="s">
        <v>1288</v>
      </c>
      <c r="C579" s="1" t="s">
        <v>1288</v>
      </c>
      <c r="E579" s="4" t="s">
        <v>1289</v>
      </c>
      <c r="G579" s="16"/>
      <c r="M579">
        <v>1</v>
      </c>
      <c r="N579">
        <v>74</v>
      </c>
      <c r="O579">
        <v>0</v>
      </c>
      <c r="P579">
        <v>0.52</v>
      </c>
      <c r="Q579">
        <v>38.11</v>
      </c>
      <c r="R579" t="s">
        <v>556</v>
      </c>
      <c r="S579">
        <v>0</v>
      </c>
      <c r="T579" t="s">
        <v>52</v>
      </c>
      <c r="U579">
        <v>0</v>
      </c>
      <c r="V579">
        <v>0</v>
      </c>
      <c r="W579">
        <v>400013</v>
      </c>
      <c r="X579" t="s">
        <v>56</v>
      </c>
      <c r="Y579" t="s">
        <v>57</v>
      </c>
      <c r="AE579">
        <v>0</v>
      </c>
      <c r="AP579" t="s">
        <v>232</v>
      </c>
    </row>
    <row r="580" spans="1:42">
      <c r="A580" s="1" t="s">
        <v>46</v>
      </c>
      <c r="B580" s="1" t="s">
        <v>1290</v>
      </c>
      <c r="C580" s="1" t="s">
        <v>1290</v>
      </c>
      <c r="E580" s="4" t="s">
        <v>1291</v>
      </c>
      <c r="G580" s="16"/>
      <c r="M580">
        <v>1</v>
      </c>
      <c r="N580">
        <v>21</v>
      </c>
      <c r="O580">
        <v>0</v>
      </c>
      <c r="P580">
        <v>0.82</v>
      </c>
      <c r="Q580">
        <v>17.16</v>
      </c>
      <c r="R580" t="s">
        <v>556</v>
      </c>
      <c r="S580">
        <v>0</v>
      </c>
      <c r="T580" t="s">
        <v>52</v>
      </c>
      <c r="U580">
        <v>0</v>
      </c>
      <c r="V580">
        <v>0</v>
      </c>
      <c r="W580">
        <v>400013</v>
      </c>
      <c r="X580" t="s">
        <v>56</v>
      </c>
      <c r="Y580" t="s">
        <v>57</v>
      </c>
      <c r="AE580">
        <v>0</v>
      </c>
      <c r="AP580" t="s">
        <v>232</v>
      </c>
    </row>
    <row r="581" spans="1:42">
      <c r="A581" s="1" t="s">
        <v>46</v>
      </c>
      <c r="B581" s="1" t="s">
        <v>1292</v>
      </c>
      <c r="C581" s="1" t="s">
        <v>1292</v>
      </c>
      <c r="E581" s="4" t="s">
        <v>1293</v>
      </c>
      <c r="G581" s="16">
        <v>1</v>
      </c>
      <c r="I581">
        <v>0.3</v>
      </c>
      <c r="M581">
        <v>1</v>
      </c>
      <c r="N581">
        <v>2247</v>
      </c>
      <c r="O581">
        <v>0</v>
      </c>
      <c r="P581">
        <v>0.1</v>
      </c>
      <c r="Q581">
        <v>224.7</v>
      </c>
      <c r="R581" t="s">
        <v>241</v>
      </c>
      <c r="S581">
        <v>0</v>
      </c>
      <c r="T581" t="s">
        <v>52</v>
      </c>
      <c r="U581">
        <v>0</v>
      </c>
      <c r="V581">
        <v>0</v>
      </c>
      <c r="W581">
        <v>400061</v>
      </c>
      <c r="X581" t="s">
        <v>56</v>
      </c>
      <c r="Y581" t="s">
        <v>57</v>
      </c>
      <c r="AE581">
        <v>0</v>
      </c>
      <c r="AH581">
        <v>0.3</v>
      </c>
      <c r="AP581" t="s">
        <v>169</v>
      </c>
    </row>
    <row r="582" spans="1:42">
      <c r="A582" s="1" t="s">
        <v>46</v>
      </c>
      <c r="B582" s="1" t="s">
        <v>1294</v>
      </c>
      <c r="C582" s="1" t="s">
        <v>1294</v>
      </c>
      <c r="E582" s="4" t="s">
        <v>1295</v>
      </c>
      <c r="G582" s="16">
        <v>1.35</v>
      </c>
      <c r="I582">
        <v>0.69</v>
      </c>
      <c r="M582">
        <v>1</v>
      </c>
      <c r="N582">
        <v>2905</v>
      </c>
      <c r="O582">
        <v>0</v>
      </c>
      <c r="P582">
        <v>0.36</v>
      </c>
      <c r="Q582">
        <v>1057.42</v>
      </c>
      <c r="R582" t="s">
        <v>1050</v>
      </c>
      <c r="S582">
        <v>0</v>
      </c>
      <c r="T582" t="s">
        <v>52</v>
      </c>
      <c r="U582">
        <v>0</v>
      </c>
      <c r="V582">
        <v>0</v>
      </c>
      <c r="W582">
        <v>400214</v>
      </c>
      <c r="X582" t="s">
        <v>56</v>
      </c>
      <c r="Y582" t="s">
        <v>57</v>
      </c>
      <c r="AE582">
        <v>0</v>
      </c>
      <c r="AH582">
        <v>0.69</v>
      </c>
      <c r="AP582" t="s">
        <v>689</v>
      </c>
    </row>
    <row r="583" spans="1:42">
      <c r="A583" s="1" t="s">
        <v>46</v>
      </c>
      <c r="B583" s="1" t="s">
        <v>1296</v>
      </c>
      <c r="C583" s="1" t="s">
        <v>1296</v>
      </c>
      <c r="E583" s="4" t="s">
        <v>1297</v>
      </c>
      <c r="G583" s="16">
        <v>1.75</v>
      </c>
      <c r="M583">
        <v>1</v>
      </c>
      <c r="N583">
        <v>771</v>
      </c>
      <c r="O583">
        <v>0</v>
      </c>
      <c r="P583">
        <v>0.12</v>
      </c>
      <c r="Q583">
        <v>92.52</v>
      </c>
      <c r="R583" t="s">
        <v>241</v>
      </c>
      <c r="S583">
        <v>0</v>
      </c>
      <c r="T583" t="s">
        <v>52</v>
      </c>
      <c r="U583">
        <v>0</v>
      </c>
      <c r="V583">
        <v>0</v>
      </c>
      <c r="W583">
        <v>410302</v>
      </c>
      <c r="AE583">
        <v>0</v>
      </c>
      <c r="AP583" t="s">
        <v>177</v>
      </c>
    </row>
    <row r="584" spans="1:42">
      <c r="A584" s="1" t="s">
        <v>46</v>
      </c>
      <c r="B584" s="1" t="s">
        <v>1298</v>
      </c>
      <c r="C584" s="1" t="s">
        <v>1298</v>
      </c>
      <c r="E584" s="4" t="s">
        <v>1299</v>
      </c>
      <c r="G584" s="16">
        <v>1.75</v>
      </c>
      <c r="I584">
        <v>1.36</v>
      </c>
      <c r="M584">
        <v>1</v>
      </c>
      <c r="N584">
        <v>348</v>
      </c>
      <c r="O584">
        <v>0</v>
      </c>
      <c r="P584">
        <v>0.45</v>
      </c>
      <c r="Q584">
        <v>157.02000000000001</v>
      </c>
      <c r="R584" t="s">
        <v>1050</v>
      </c>
      <c r="S584">
        <v>0</v>
      </c>
      <c r="T584" t="s">
        <v>52</v>
      </c>
      <c r="U584">
        <v>0</v>
      </c>
      <c r="V584">
        <v>0</v>
      </c>
      <c r="W584">
        <v>400013</v>
      </c>
      <c r="AE584">
        <v>0</v>
      </c>
      <c r="AH584">
        <v>1.36</v>
      </c>
      <c r="AP584" t="s">
        <v>232</v>
      </c>
    </row>
    <row r="585" spans="1:42">
      <c r="A585" s="1" t="s">
        <v>46</v>
      </c>
      <c r="B585" s="1" t="s">
        <v>1300</v>
      </c>
      <c r="C585" s="1" t="s">
        <v>1300</v>
      </c>
      <c r="E585" s="4" t="s">
        <v>1301</v>
      </c>
      <c r="G585" s="16">
        <v>2</v>
      </c>
      <c r="M585">
        <v>1</v>
      </c>
      <c r="N585">
        <v>53</v>
      </c>
      <c r="O585">
        <v>0</v>
      </c>
      <c r="P585">
        <v>0.37</v>
      </c>
      <c r="Q585">
        <v>19.670000000000002</v>
      </c>
      <c r="R585" t="s">
        <v>556</v>
      </c>
      <c r="S585">
        <v>0</v>
      </c>
      <c r="T585" t="s">
        <v>52</v>
      </c>
      <c r="U585">
        <v>0</v>
      </c>
      <c r="V585">
        <v>0</v>
      </c>
      <c r="W585">
        <v>400013</v>
      </c>
      <c r="X585" t="s">
        <v>56</v>
      </c>
      <c r="Y585" t="s">
        <v>57</v>
      </c>
      <c r="AE585">
        <v>0</v>
      </c>
      <c r="AP585" t="s">
        <v>232</v>
      </c>
    </row>
    <row r="586" spans="1:42">
      <c r="A586" s="1" t="s">
        <v>46</v>
      </c>
      <c r="B586" s="1" t="s">
        <v>1302</v>
      </c>
      <c r="C586" s="1" t="s">
        <v>1302</v>
      </c>
      <c r="E586" s="4" t="s">
        <v>1303</v>
      </c>
      <c r="G586" s="16"/>
      <c r="I586">
        <v>0.3</v>
      </c>
      <c r="M586">
        <v>1</v>
      </c>
      <c r="N586">
        <v>-116</v>
      </c>
      <c r="O586">
        <v>0</v>
      </c>
      <c r="P586">
        <v>0.08</v>
      </c>
      <c r="Q586">
        <v>-9.4</v>
      </c>
      <c r="R586" t="s">
        <v>241</v>
      </c>
      <c r="S586">
        <v>0</v>
      </c>
      <c r="T586" t="s">
        <v>52</v>
      </c>
      <c r="U586">
        <v>0</v>
      </c>
      <c r="V586">
        <v>0</v>
      </c>
      <c r="W586">
        <v>400112</v>
      </c>
      <c r="AE586">
        <v>0</v>
      </c>
      <c r="AH586">
        <v>0.3</v>
      </c>
      <c r="AP586" t="s">
        <v>220</v>
      </c>
    </row>
    <row r="587" spans="1:42">
      <c r="A587" s="1" t="s">
        <v>46</v>
      </c>
      <c r="B587" s="1" t="s">
        <v>1304</v>
      </c>
      <c r="C587" s="1" t="s">
        <v>1304</v>
      </c>
      <c r="E587" s="4" t="s">
        <v>1305</v>
      </c>
      <c r="G587" s="16"/>
      <c r="I587">
        <v>0.6</v>
      </c>
      <c r="M587">
        <v>1</v>
      </c>
      <c r="N587">
        <v>685</v>
      </c>
      <c r="O587">
        <v>0</v>
      </c>
      <c r="P587">
        <v>0.28999999999999998</v>
      </c>
      <c r="Q587">
        <v>200.57</v>
      </c>
      <c r="R587" t="s">
        <v>1050</v>
      </c>
      <c r="S587">
        <v>0</v>
      </c>
      <c r="T587" t="s">
        <v>52</v>
      </c>
      <c r="U587">
        <v>0</v>
      </c>
      <c r="V587">
        <v>0</v>
      </c>
      <c r="W587">
        <v>400013</v>
      </c>
      <c r="AE587">
        <v>0</v>
      </c>
      <c r="AH587">
        <v>0.6</v>
      </c>
      <c r="AP587" t="s">
        <v>232</v>
      </c>
    </row>
    <row r="588" spans="1:42">
      <c r="A588" s="1" t="s">
        <v>46</v>
      </c>
      <c r="B588" s="1" t="s">
        <v>1306</v>
      </c>
      <c r="C588" s="1" t="s">
        <v>1306</v>
      </c>
      <c r="E588" s="4" t="s">
        <v>1307</v>
      </c>
      <c r="G588" s="16"/>
      <c r="I588">
        <v>2</v>
      </c>
      <c r="M588">
        <v>1</v>
      </c>
      <c r="N588">
        <v>165</v>
      </c>
      <c r="O588">
        <v>0</v>
      </c>
      <c r="P588">
        <v>0.6</v>
      </c>
      <c r="Q588">
        <v>99</v>
      </c>
      <c r="R588" t="s">
        <v>241</v>
      </c>
      <c r="S588">
        <v>0</v>
      </c>
      <c r="T588" t="s">
        <v>52</v>
      </c>
      <c r="U588">
        <v>0</v>
      </c>
      <c r="V588">
        <v>0</v>
      </c>
      <c r="W588">
        <v>410302</v>
      </c>
      <c r="AE588">
        <v>0</v>
      </c>
      <c r="AH588">
        <v>2</v>
      </c>
      <c r="AP588" t="s">
        <v>177</v>
      </c>
    </row>
    <row r="589" spans="1:42">
      <c r="A589" s="1" t="s">
        <v>46</v>
      </c>
      <c r="B589" s="1" t="s">
        <v>1308</v>
      </c>
      <c r="C589" s="1" t="s">
        <v>1308</v>
      </c>
      <c r="E589" s="4" t="s">
        <v>1309</v>
      </c>
      <c r="G589" s="16"/>
      <c r="I589">
        <v>5.03</v>
      </c>
      <c r="M589">
        <v>1</v>
      </c>
      <c r="N589">
        <v>81</v>
      </c>
      <c r="O589">
        <v>0</v>
      </c>
      <c r="P589">
        <v>3.62</v>
      </c>
      <c r="Q589">
        <v>293.58</v>
      </c>
      <c r="R589" t="s">
        <v>1050</v>
      </c>
      <c r="S589">
        <v>0</v>
      </c>
      <c r="T589" t="s">
        <v>52</v>
      </c>
      <c r="U589">
        <v>0</v>
      </c>
      <c r="V589">
        <v>0</v>
      </c>
      <c r="W589">
        <v>400026</v>
      </c>
      <c r="AE589">
        <v>0</v>
      </c>
      <c r="AH589">
        <v>5.03</v>
      </c>
      <c r="AP589" t="s">
        <v>187</v>
      </c>
    </row>
    <row r="590" spans="1:42">
      <c r="A590" s="1" t="s">
        <v>46</v>
      </c>
      <c r="B590" s="1" t="s">
        <v>1310</v>
      </c>
      <c r="C590" s="1" t="s">
        <v>1310</v>
      </c>
      <c r="E590" s="4" t="s">
        <v>1311</v>
      </c>
      <c r="G590" s="16">
        <v>1.5</v>
      </c>
      <c r="M590">
        <v>1</v>
      </c>
      <c r="N590">
        <v>-75</v>
      </c>
      <c r="O590">
        <v>0</v>
      </c>
      <c r="P590">
        <v>0.7</v>
      </c>
      <c r="Q590">
        <v>-52.5</v>
      </c>
      <c r="R590" t="s">
        <v>241</v>
      </c>
      <c r="S590">
        <v>0</v>
      </c>
      <c r="T590" t="s">
        <v>52</v>
      </c>
      <c r="U590">
        <v>0</v>
      </c>
      <c r="V590">
        <v>0</v>
      </c>
      <c r="W590">
        <v>400119</v>
      </c>
      <c r="AE590">
        <v>0</v>
      </c>
      <c r="AP590" t="s">
        <v>53</v>
      </c>
    </row>
    <row r="591" spans="1:42">
      <c r="A591" s="1" t="s">
        <v>46</v>
      </c>
      <c r="B591" s="1" t="s">
        <v>1312</v>
      </c>
      <c r="C591" s="1" t="s">
        <v>1312</v>
      </c>
      <c r="E591" s="4" t="s">
        <v>1313</v>
      </c>
      <c r="G591" s="16">
        <v>2</v>
      </c>
      <c r="I591">
        <v>3.73</v>
      </c>
      <c r="M591">
        <v>1</v>
      </c>
      <c r="N591">
        <v>-277</v>
      </c>
      <c r="O591">
        <v>0</v>
      </c>
      <c r="P591">
        <v>0.65</v>
      </c>
      <c r="Q591">
        <v>-180.05</v>
      </c>
      <c r="R591" t="s">
        <v>241</v>
      </c>
      <c r="S591">
        <v>0</v>
      </c>
      <c r="T591" t="s">
        <v>52</v>
      </c>
      <c r="U591">
        <v>0</v>
      </c>
      <c r="V591">
        <v>0</v>
      </c>
      <c r="W591">
        <v>410302</v>
      </c>
      <c r="AE591">
        <v>0</v>
      </c>
      <c r="AH591">
        <v>3.73</v>
      </c>
      <c r="AP591" t="s">
        <v>177</v>
      </c>
    </row>
    <row r="592" spans="1:42">
      <c r="A592" s="1" t="s">
        <v>46</v>
      </c>
      <c r="B592" s="1" t="s">
        <v>1314</v>
      </c>
      <c r="C592" s="1" t="s">
        <v>1314</v>
      </c>
      <c r="E592" s="4" t="s">
        <v>1315</v>
      </c>
      <c r="G592" s="16">
        <v>2.75</v>
      </c>
      <c r="I592">
        <v>3.73</v>
      </c>
      <c r="M592">
        <v>1</v>
      </c>
      <c r="N592">
        <v>815</v>
      </c>
      <c r="O592">
        <v>0</v>
      </c>
      <c r="P592">
        <v>2.4</v>
      </c>
      <c r="Q592">
        <v>1952.09</v>
      </c>
      <c r="R592" t="s">
        <v>1050</v>
      </c>
      <c r="S592">
        <v>0</v>
      </c>
      <c r="T592" t="s">
        <v>52</v>
      </c>
      <c r="U592">
        <v>0</v>
      </c>
      <c r="V592">
        <v>0</v>
      </c>
      <c r="W592">
        <v>400013</v>
      </c>
      <c r="X592" t="s">
        <v>56</v>
      </c>
      <c r="Y592" t="s">
        <v>57</v>
      </c>
      <c r="AE592">
        <v>0</v>
      </c>
      <c r="AH592">
        <v>3.73</v>
      </c>
      <c r="AP592" t="s">
        <v>232</v>
      </c>
    </row>
    <row r="593" spans="1:42">
      <c r="A593" s="1" t="s">
        <v>46</v>
      </c>
      <c r="B593" s="1" t="s">
        <v>1316</v>
      </c>
      <c r="C593" s="1" t="s">
        <v>1316</v>
      </c>
      <c r="E593" s="4" t="s">
        <v>1317</v>
      </c>
      <c r="G593" s="16"/>
      <c r="M593">
        <v>1</v>
      </c>
      <c r="N593">
        <v>562</v>
      </c>
      <c r="O593">
        <v>0</v>
      </c>
      <c r="P593">
        <v>0.85</v>
      </c>
      <c r="Q593">
        <v>477.7</v>
      </c>
      <c r="R593" t="s">
        <v>241</v>
      </c>
      <c r="S593">
        <v>0</v>
      </c>
      <c r="T593" t="s">
        <v>52</v>
      </c>
      <c r="U593">
        <v>0</v>
      </c>
      <c r="V593">
        <v>0</v>
      </c>
      <c r="W593">
        <v>410302</v>
      </c>
      <c r="AE593">
        <v>0</v>
      </c>
      <c r="AP593" t="s">
        <v>177</v>
      </c>
    </row>
    <row r="594" spans="1:42">
      <c r="A594" s="1" t="s">
        <v>46</v>
      </c>
      <c r="B594" s="1" t="s">
        <v>1318</v>
      </c>
      <c r="C594" s="1" t="s">
        <v>1318</v>
      </c>
      <c r="E594" s="4" t="s">
        <v>1319</v>
      </c>
      <c r="G594" s="16"/>
      <c r="I594">
        <v>3.86</v>
      </c>
      <c r="M594">
        <v>1</v>
      </c>
      <c r="N594">
        <v>25</v>
      </c>
      <c r="O594">
        <v>0</v>
      </c>
      <c r="P594">
        <v>2.59</v>
      </c>
      <c r="Q594">
        <v>64.86</v>
      </c>
      <c r="R594" t="s">
        <v>1050</v>
      </c>
      <c r="S594">
        <v>0</v>
      </c>
      <c r="T594" t="s">
        <v>52</v>
      </c>
      <c r="U594">
        <v>0</v>
      </c>
      <c r="V594">
        <v>0</v>
      </c>
      <c r="W594">
        <v>400026</v>
      </c>
      <c r="AE594">
        <v>0</v>
      </c>
      <c r="AH594">
        <v>3.86</v>
      </c>
      <c r="AP594" t="s">
        <v>187</v>
      </c>
    </row>
    <row r="595" spans="1:42">
      <c r="A595" s="1" t="s">
        <v>46</v>
      </c>
      <c r="B595" s="1" t="s">
        <v>1320</v>
      </c>
      <c r="C595" s="1" t="s">
        <v>1320</v>
      </c>
      <c r="E595" s="4" t="s">
        <v>1321</v>
      </c>
      <c r="G595" s="16"/>
      <c r="M595">
        <v>1</v>
      </c>
      <c r="N595">
        <v>-275</v>
      </c>
      <c r="O595">
        <v>0</v>
      </c>
      <c r="P595">
        <v>0.8</v>
      </c>
      <c r="Q595">
        <v>-220</v>
      </c>
      <c r="R595" t="s">
        <v>241</v>
      </c>
      <c r="S595">
        <v>0</v>
      </c>
      <c r="T595" t="s">
        <v>52</v>
      </c>
      <c r="U595">
        <v>0</v>
      </c>
      <c r="V595">
        <v>0</v>
      </c>
      <c r="W595">
        <v>410302</v>
      </c>
      <c r="AE595">
        <v>0</v>
      </c>
      <c r="AP595" t="s">
        <v>177</v>
      </c>
    </row>
    <row r="596" spans="1:42">
      <c r="A596" s="1" t="s">
        <v>46</v>
      </c>
      <c r="B596" s="1" t="s">
        <v>1322</v>
      </c>
      <c r="C596" s="1" t="s">
        <v>1322</v>
      </c>
      <c r="E596" s="4" t="s">
        <v>1323</v>
      </c>
      <c r="G596" s="16">
        <v>1.65</v>
      </c>
      <c r="I596">
        <v>5.82</v>
      </c>
      <c r="M596">
        <v>1</v>
      </c>
      <c r="N596">
        <v>-40</v>
      </c>
      <c r="O596">
        <v>0</v>
      </c>
      <c r="P596">
        <v>4.1900000000000004</v>
      </c>
      <c r="Q596">
        <v>-167.62</v>
      </c>
      <c r="R596" t="s">
        <v>1050</v>
      </c>
      <c r="S596">
        <v>0</v>
      </c>
      <c r="T596" t="s">
        <v>52</v>
      </c>
      <c r="U596">
        <v>0</v>
      </c>
      <c r="V596">
        <v>0</v>
      </c>
      <c r="W596">
        <v>400013</v>
      </c>
      <c r="AE596">
        <v>0</v>
      </c>
      <c r="AH596">
        <v>5.82</v>
      </c>
      <c r="AP596" t="s">
        <v>232</v>
      </c>
    </row>
    <row r="597" spans="1:42">
      <c r="A597" s="1" t="s">
        <v>46</v>
      </c>
      <c r="B597" s="1" t="s">
        <v>1324</v>
      </c>
      <c r="C597" s="1" t="s">
        <v>1324</v>
      </c>
      <c r="E597" s="4" t="s">
        <v>1325</v>
      </c>
      <c r="G597" s="16">
        <v>2.5</v>
      </c>
      <c r="M597">
        <v>1</v>
      </c>
      <c r="N597">
        <v>569</v>
      </c>
      <c r="O597">
        <v>0</v>
      </c>
      <c r="P597">
        <v>0.85</v>
      </c>
      <c r="Q597">
        <v>483.65</v>
      </c>
      <c r="R597" t="s">
        <v>241</v>
      </c>
      <c r="S597">
        <v>0</v>
      </c>
      <c r="T597" t="s">
        <v>52</v>
      </c>
      <c r="U597">
        <v>0</v>
      </c>
      <c r="V597">
        <v>0</v>
      </c>
      <c r="W597">
        <v>410302</v>
      </c>
      <c r="X597" t="s">
        <v>56</v>
      </c>
      <c r="Y597" t="s">
        <v>57</v>
      </c>
      <c r="AE597">
        <v>0</v>
      </c>
      <c r="AP597" t="s">
        <v>177</v>
      </c>
    </row>
    <row r="598" spans="1:42">
      <c r="A598" s="1" t="s">
        <v>46</v>
      </c>
      <c r="B598" s="1" t="s">
        <v>1326</v>
      </c>
      <c r="C598" s="1" t="s">
        <v>1326</v>
      </c>
      <c r="E598" s="4" t="s">
        <v>1327</v>
      </c>
      <c r="G598" s="16">
        <v>2.75</v>
      </c>
      <c r="I598">
        <v>1.5</v>
      </c>
      <c r="M598">
        <v>1</v>
      </c>
      <c r="N598">
        <v>1180</v>
      </c>
      <c r="O598">
        <v>0</v>
      </c>
      <c r="P598">
        <v>0.65</v>
      </c>
      <c r="Q598">
        <v>767</v>
      </c>
      <c r="R598" t="s">
        <v>241</v>
      </c>
      <c r="S598">
        <v>0</v>
      </c>
      <c r="T598" t="s">
        <v>52</v>
      </c>
      <c r="U598">
        <v>0</v>
      </c>
      <c r="V598">
        <v>0</v>
      </c>
      <c r="W598">
        <v>400061</v>
      </c>
      <c r="AE598">
        <v>0</v>
      </c>
      <c r="AH598">
        <v>1.5</v>
      </c>
      <c r="AP598" t="s">
        <v>169</v>
      </c>
    </row>
    <row r="599" spans="1:42">
      <c r="A599" s="1" t="s">
        <v>46</v>
      </c>
      <c r="B599" s="1" t="s">
        <v>1328</v>
      </c>
      <c r="C599" s="1" t="s">
        <v>1328</v>
      </c>
      <c r="E599" s="4" t="s">
        <v>1329</v>
      </c>
      <c r="G599" s="16"/>
      <c r="I599">
        <v>3.4</v>
      </c>
      <c r="M599">
        <v>1</v>
      </c>
      <c r="N599">
        <v>88</v>
      </c>
      <c r="O599">
        <v>0</v>
      </c>
      <c r="P599">
        <v>2.91</v>
      </c>
      <c r="Q599">
        <v>256.39999999999998</v>
      </c>
      <c r="R599" t="s">
        <v>1050</v>
      </c>
      <c r="S599">
        <v>0</v>
      </c>
      <c r="T599" t="s">
        <v>52</v>
      </c>
      <c r="U599">
        <v>0</v>
      </c>
      <c r="V599">
        <v>0</v>
      </c>
      <c r="W599">
        <v>400013</v>
      </c>
      <c r="AE599">
        <v>0</v>
      </c>
      <c r="AH599">
        <v>3.4</v>
      </c>
      <c r="AP599" t="s">
        <v>232</v>
      </c>
    </row>
    <row r="600" spans="1:42">
      <c r="A600" s="1" t="s">
        <v>46</v>
      </c>
      <c r="B600" s="1" t="s">
        <v>1330</v>
      </c>
      <c r="C600" s="1" t="s">
        <v>1330</v>
      </c>
      <c r="E600" s="4" t="s">
        <v>1331</v>
      </c>
      <c r="G600" s="16">
        <v>0.75</v>
      </c>
      <c r="I600">
        <v>1.65</v>
      </c>
      <c r="M600">
        <v>1</v>
      </c>
      <c r="N600">
        <v>899</v>
      </c>
      <c r="O600">
        <v>0</v>
      </c>
      <c r="P600">
        <v>0.75</v>
      </c>
      <c r="Q600">
        <v>674.25</v>
      </c>
      <c r="R600" t="s">
        <v>241</v>
      </c>
      <c r="S600">
        <v>0</v>
      </c>
      <c r="T600" t="s">
        <v>52</v>
      </c>
      <c r="U600">
        <v>0</v>
      </c>
      <c r="V600">
        <v>0</v>
      </c>
      <c r="W600">
        <v>410302</v>
      </c>
      <c r="X600" t="s">
        <v>56</v>
      </c>
      <c r="Y600" t="s">
        <v>57</v>
      </c>
      <c r="AE600">
        <v>0</v>
      </c>
      <c r="AH600">
        <v>1.65</v>
      </c>
      <c r="AP600" t="s">
        <v>177</v>
      </c>
    </row>
    <row r="601" spans="1:42">
      <c r="A601" s="1" t="s">
        <v>46</v>
      </c>
      <c r="B601" s="1" t="s">
        <v>1332</v>
      </c>
      <c r="C601" s="1" t="s">
        <v>1332</v>
      </c>
      <c r="E601" s="4" t="s">
        <v>1333</v>
      </c>
      <c r="G601" s="16">
        <v>1</v>
      </c>
      <c r="I601">
        <v>3.78</v>
      </c>
      <c r="M601">
        <v>1</v>
      </c>
      <c r="N601">
        <v>143</v>
      </c>
      <c r="O601">
        <v>0</v>
      </c>
      <c r="P601">
        <v>2.72</v>
      </c>
      <c r="Q601">
        <v>389.32</v>
      </c>
      <c r="R601" t="s">
        <v>1050</v>
      </c>
      <c r="S601">
        <v>0</v>
      </c>
      <c r="T601" t="s">
        <v>52</v>
      </c>
      <c r="U601">
        <v>0</v>
      </c>
      <c r="V601">
        <v>0</v>
      </c>
      <c r="W601">
        <v>400026</v>
      </c>
      <c r="AE601">
        <v>0</v>
      </c>
      <c r="AH601">
        <v>3.78</v>
      </c>
      <c r="AP601" t="s">
        <v>187</v>
      </c>
    </row>
    <row r="602" spans="1:42">
      <c r="A602" s="1" t="s">
        <v>46</v>
      </c>
      <c r="B602" s="1" t="s">
        <v>1334</v>
      </c>
      <c r="C602" s="1" t="s">
        <v>1334</v>
      </c>
      <c r="E602" s="4" t="s">
        <v>1335</v>
      </c>
      <c r="G602" s="16">
        <v>2</v>
      </c>
      <c r="M602">
        <v>1</v>
      </c>
      <c r="N602">
        <v>-99</v>
      </c>
      <c r="O602">
        <v>0</v>
      </c>
      <c r="P602">
        <v>0.08</v>
      </c>
      <c r="Q602">
        <v>-7.92</v>
      </c>
      <c r="R602" t="s">
        <v>241</v>
      </c>
      <c r="S602">
        <v>0</v>
      </c>
      <c r="T602" t="s">
        <v>52</v>
      </c>
      <c r="U602">
        <v>0</v>
      </c>
      <c r="V602">
        <v>0</v>
      </c>
      <c r="W602">
        <v>410302</v>
      </c>
      <c r="AE602">
        <v>0</v>
      </c>
      <c r="AP602" t="s">
        <v>177</v>
      </c>
    </row>
    <row r="603" spans="1:42">
      <c r="A603" s="1" t="s">
        <v>46</v>
      </c>
      <c r="B603" s="1" t="s">
        <v>1336</v>
      </c>
      <c r="C603" s="1" t="s">
        <v>1336</v>
      </c>
      <c r="E603" s="4" t="s">
        <v>1337</v>
      </c>
      <c r="G603" s="16">
        <v>2.75</v>
      </c>
      <c r="I603">
        <v>0.56000000000000005</v>
      </c>
      <c r="M603">
        <v>1</v>
      </c>
      <c r="N603">
        <v>24</v>
      </c>
      <c r="O603">
        <v>0</v>
      </c>
      <c r="P603">
        <v>0.4</v>
      </c>
      <c r="Q603">
        <v>9.64</v>
      </c>
      <c r="R603" t="s">
        <v>1050</v>
      </c>
      <c r="S603">
        <v>0</v>
      </c>
      <c r="T603" t="s">
        <v>52</v>
      </c>
      <c r="U603">
        <v>0</v>
      </c>
      <c r="V603">
        <v>0</v>
      </c>
      <c r="W603">
        <v>400026</v>
      </c>
      <c r="AE603">
        <v>0</v>
      </c>
      <c r="AH603">
        <v>0.56000000000000005</v>
      </c>
      <c r="AP603" t="s">
        <v>187</v>
      </c>
    </row>
    <row r="604" spans="1:42">
      <c r="A604" s="1" t="s">
        <v>46</v>
      </c>
      <c r="B604" s="1" t="s">
        <v>1338</v>
      </c>
      <c r="C604" s="1" t="s">
        <v>1338</v>
      </c>
      <c r="E604" s="4" t="s">
        <v>1339</v>
      </c>
      <c r="G604" s="16"/>
      <c r="M604">
        <v>1</v>
      </c>
      <c r="N604">
        <v>-15</v>
      </c>
      <c r="O604">
        <v>0</v>
      </c>
      <c r="P604">
        <v>0.19</v>
      </c>
      <c r="Q604">
        <v>-2.92</v>
      </c>
      <c r="R604" t="s">
        <v>241</v>
      </c>
      <c r="S604">
        <v>0</v>
      </c>
      <c r="T604" t="s">
        <v>52</v>
      </c>
      <c r="U604">
        <v>0</v>
      </c>
      <c r="V604">
        <v>0</v>
      </c>
      <c r="W604">
        <v>400121</v>
      </c>
      <c r="AE604">
        <v>0</v>
      </c>
      <c r="AP604" t="s">
        <v>123</v>
      </c>
    </row>
    <row r="605" spans="1:42">
      <c r="A605" s="1" t="s">
        <v>46</v>
      </c>
      <c r="B605" s="1" t="s">
        <v>1340</v>
      </c>
      <c r="C605" s="1" t="s">
        <v>1340</v>
      </c>
      <c r="E605" s="4" t="s">
        <v>1341</v>
      </c>
      <c r="G605" s="16"/>
      <c r="I605">
        <v>1.8</v>
      </c>
      <c r="M605">
        <v>1</v>
      </c>
      <c r="N605">
        <v>-2</v>
      </c>
      <c r="O605">
        <v>0</v>
      </c>
      <c r="R605" t="s">
        <v>1050</v>
      </c>
      <c r="S605">
        <v>0</v>
      </c>
      <c r="T605" t="s">
        <v>52</v>
      </c>
      <c r="U605">
        <v>0</v>
      </c>
      <c r="V605">
        <v>0</v>
      </c>
      <c r="W605">
        <v>400078</v>
      </c>
      <c r="AE605">
        <v>0</v>
      </c>
      <c r="AH605">
        <v>1.8</v>
      </c>
      <c r="AP605" t="s">
        <v>1342</v>
      </c>
    </row>
    <row r="606" spans="1:42">
      <c r="A606" s="1" t="s">
        <v>46</v>
      </c>
      <c r="B606" s="1" t="s">
        <v>1343</v>
      </c>
      <c r="C606" s="1" t="s">
        <v>1343</v>
      </c>
      <c r="E606" s="4" t="s">
        <v>1344</v>
      </c>
      <c r="G606" s="16">
        <v>1</v>
      </c>
      <c r="M606">
        <v>1</v>
      </c>
      <c r="N606">
        <v>-3</v>
      </c>
      <c r="O606">
        <v>0</v>
      </c>
      <c r="P606">
        <v>2.75</v>
      </c>
      <c r="Q606">
        <v>-8.25</v>
      </c>
      <c r="R606" t="s">
        <v>783</v>
      </c>
      <c r="S606">
        <v>0</v>
      </c>
      <c r="T606" t="s">
        <v>52</v>
      </c>
      <c r="W606">
        <v>400036</v>
      </c>
      <c r="AE606">
        <v>0</v>
      </c>
      <c r="AP606" t="s">
        <v>315</v>
      </c>
    </row>
    <row r="607" spans="1:42">
      <c r="A607" s="1" t="s">
        <v>46</v>
      </c>
      <c r="B607" s="1" t="s">
        <v>1345</v>
      </c>
      <c r="C607" s="1" t="s">
        <v>1345</v>
      </c>
      <c r="E607" s="4" t="s">
        <v>1346</v>
      </c>
      <c r="G607" s="16">
        <v>1.35</v>
      </c>
      <c r="M607">
        <v>1</v>
      </c>
      <c r="N607">
        <v>382</v>
      </c>
      <c r="O607">
        <v>0</v>
      </c>
      <c r="P607">
        <v>0.65</v>
      </c>
      <c r="Q607">
        <v>248.3</v>
      </c>
      <c r="R607" t="s">
        <v>176</v>
      </c>
      <c r="S607">
        <v>0</v>
      </c>
      <c r="T607" t="s">
        <v>52</v>
      </c>
      <c r="U607">
        <v>0</v>
      </c>
      <c r="V607">
        <v>0</v>
      </c>
      <c r="W607">
        <v>400061</v>
      </c>
      <c r="X607" t="s">
        <v>56</v>
      </c>
      <c r="Y607" t="s">
        <v>57</v>
      </c>
      <c r="AE607">
        <v>0</v>
      </c>
      <c r="AP607" t="s">
        <v>169</v>
      </c>
    </row>
    <row r="608" spans="1:42">
      <c r="A608" s="1" t="s">
        <v>46</v>
      </c>
      <c r="B608" s="1" t="s">
        <v>1347</v>
      </c>
      <c r="C608" s="1" t="s">
        <v>1347</v>
      </c>
      <c r="E608" s="4" t="s">
        <v>1348</v>
      </c>
      <c r="G608" s="16">
        <v>1.75</v>
      </c>
      <c r="M608">
        <v>1</v>
      </c>
      <c r="N608">
        <v>-61</v>
      </c>
      <c r="O608">
        <v>0</v>
      </c>
      <c r="P608">
        <v>0.31</v>
      </c>
      <c r="Q608">
        <v>-19.149999999999999</v>
      </c>
      <c r="R608" t="s">
        <v>241</v>
      </c>
      <c r="S608">
        <v>0</v>
      </c>
      <c r="T608" t="s">
        <v>52</v>
      </c>
      <c r="U608">
        <v>0</v>
      </c>
      <c r="V608">
        <v>0</v>
      </c>
      <c r="W608">
        <v>400004</v>
      </c>
      <c r="AE608">
        <v>0</v>
      </c>
      <c r="AP608" t="s">
        <v>352</v>
      </c>
    </row>
    <row r="609" spans="1:42">
      <c r="A609" s="1" t="s">
        <v>46</v>
      </c>
      <c r="B609" s="1" t="s">
        <v>1349</v>
      </c>
      <c r="C609" s="1" t="s">
        <v>1349</v>
      </c>
      <c r="E609" s="4" t="s">
        <v>1350</v>
      </c>
      <c r="G609" s="16">
        <v>1.65</v>
      </c>
      <c r="M609">
        <v>1</v>
      </c>
      <c r="N609">
        <v>-2</v>
      </c>
      <c r="O609">
        <v>0</v>
      </c>
      <c r="P609">
        <v>3</v>
      </c>
      <c r="Q609">
        <v>-6</v>
      </c>
      <c r="R609" t="s">
        <v>783</v>
      </c>
      <c r="S609">
        <v>0</v>
      </c>
      <c r="T609">
        <v>0</v>
      </c>
      <c r="U609">
        <v>0</v>
      </c>
      <c r="V609">
        <v>0</v>
      </c>
      <c r="W609">
        <v>400036</v>
      </c>
      <c r="AE609">
        <v>0</v>
      </c>
      <c r="AP609" t="s">
        <v>315</v>
      </c>
    </row>
    <row r="610" spans="1:42">
      <c r="A610" s="1" t="s">
        <v>46</v>
      </c>
      <c r="B610" s="1" t="s">
        <v>1351</v>
      </c>
      <c r="C610" s="1" t="s">
        <v>1351</v>
      </c>
      <c r="E610" s="4" t="s">
        <v>1352</v>
      </c>
      <c r="G610" s="16">
        <v>2</v>
      </c>
      <c r="M610">
        <v>1</v>
      </c>
      <c r="N610">
        <v>-1</v>
      </c>
      <c r="O610">
        <v>0</v>
      </c>
      <c r="P610">
        <v>0.9</v>
      </c>
      <c r="Q610">
        <v>-0.9</v>
      </c>
      <c r="R610" t="s">
        <v>241</v>
      </c>
      <c r="S610">
        <v>0</v>
      </c>
      <c r="T610" t="s">
        <v>52</v>
      </c>
      <c r="U610">
        <v>0</v>
      </c>
      <c r="V610">
        <v>0</v>
      </c>
      <c r="W610">
        <v>400119</v>
      </c>
      <c r="AE610">
        <v>0</v>
      </c>
      <c r="AP610" t="s">
        <v>53</v>
      </c>
    </row>
    <row r="611" spans="1:42">
      <c r="A611" s="1" t="s">
        <v>46</v>
      </c>
      <c r="B611" s="1" t="s">
        <v>1353</v>
      </c>
      <c r="C611" s="1" t="s">
        <v>1353</v>
      </c>
      <c r="E611" s="4" t="s">
        <v>1354</v>
      </c>
      <c r="G611" s="16"/>
      <c r="M611">
        <v>1</v>
      </c>
      <c r="N611">
        <v>60</v>
      </c>
      <c r="O611">
        <v>0</v>
      </c>
      <c r="P611">
        <v>2.5099999999999998</v>
      </c>
      <c r="Q611">
        <v>150.5</v>
      </c>
      <c r="R611" t="s">
        <v>241</v>
      </c>
      <c r="S611">
        <v>0</v>
      </c>
      <c r="T611" t="s">
        <v>52</v>
      </c>
      <c r="U611">
        <v>0</v>
      </c>
      <c r="V611">
        <v>0</v>
      </c>
      <c r="W611">
        <v>400160</v>
      </c>
      <c r="AE611">
        <v>0</v>
      </c>
      <c r="AP611" t="s">
        <v>201</v>
      </c>
    </row>
    <row r="612" spans="1:42">
      <c r="A612" s="1" t="s">
        <v>46</v>
      </c>
      <c r="B612" s="1" t="s">
        <v>1355</v>
      </c>
      <c r="C612" s="1" t="s">
        <v>1355</v>
      </c>
      <c r="E612" s="4" t="s">
        <v>1356</v>
      </c>
      <c r="G612" s="16"/>
      <c r="M612">
        <v>1</v>
      </c>
      <c r="N612">
        <v>1043</v>
      </c>
      <c r="O612">
        <v>0</v>
      </c>
      <c r="P612">
        <v>0.34</v>
      </c>
      <c r="Q612">
        <v>354.62</v>
      </c>
      <c r="R612" t="s">
        <v>176</v>
      </c>
      <c r="S612">
        <v>0</v>
      </c>
      <c r="T612" t="s">
        <v>52</v>
      </c>
      <c r="U612">
        <v>0</v>
      </c>
      <c r="V612">
        <v>0</v>
      </c>
      <c r="W612">
        <v>400061</v>
      </c>
      <c r="X612" t="s">
        <v>56</v>
      </c>
      <c r="Y612" t="s">
        <v>57</v>
      </c>
      <c r="AE612">
        <v>0</v>
      </c>
      <c r="AP612" t="s">
        <v>169</v>
      </c>
    </row>
    <row r="613" spans="1:42">
      <c r="A613" s="1" t="s">
        <v>46</v>
      </c>
      <c r="B613" s="1" t="s">
        <v>1357</v>
      </c>
      <c r="C613" s="1" t="s">
        <v>1357</v>
      </c>
      <c r="E613" s="4" t="s">
        <v>1358</v>
      </c>
      <c r="G613" s="16"/>
      <c r="M613">
        <v>1</v>
      </c>
      <c r="N613">
        <v>-3</v>
      </c>
      <c r="O613">
        <v>0</v>
      </c>
      <c r="P613">
        <v>1.85</v>
      </c>
      <c r="Q613">
        <v>-5.55</v>
      </c>
      <c r="R613" t="s">
        <v>783</v>
      </c>
      <c r="S613">
        <v>0</v>
      </c>
      <c r="T613">
        <v>0</v>
      </c>
      <c r="U613">
        <v>0</v>
      </c>
      <c r="V613">
        <v>0</v>
      </c>
      <c r="W613">
        <v>400110</v>
      </c>
      <c r="AE613">
        <v>0</v>
      </c>
      <c r="AP613" t="s">
        <v>344</v>
      </c>
    </row>
    <row r="614" spans="1:42">
      <c r="A614" s="1" t="s">
        <v>46</v>
      </c>
      <c r="B614" s="1" t="s">
        <v>1359</v>
      </c>
      <c r="C614" s="1" t="s">
        <v>1359</v>
      </c>
      <c r="E614" s="4" t="s">
        <v>1360</v>
      </c>
      <c r="G614" s="16">
        <v>1.35</v>
      </c>
      <c r="M614">
        <v>1</v>
      </c>
      <c r="N614">
        <v>275</v>
      </c>
      <c r="O614">
        <v>0</v>
      </c>
      <c r="P614">
        <v>1</v>
      </c>
      <c r="Q614">
        <v>275</v>
      </c>
      <c r="R614" t="s">
        <v>241</v>
      </c>
      <c r="S614">
        <v>0</v>
      </c>
      <c r="T614" t="s">
        <v>52</v>
      </c>
      <c r="U614">
        <v>0</v>
      </c>
      <c r="V614">
        <v>0</v>
      </c>
      <c r="W614">
        <v>400061</v>
      </c>
      <c r="X614" t="s">
        <v>56</v>
      </c>
      <c r="Y614" t="s">
        <v>57</v>
      </c>
      <c r="AE614">
        <v>0</v>
      </c>
      <c r="AP614" t="s">
        <v>169</v>
      </c>
    </row>
    <row r="615" spans="1:42">
      <c r="A615" s="1" t="s">
        <v>46</v>
      </c>
      <c r="B615" s="1" t="s">
        <v>1361</v>
      </c>
      <c r="C615" s="1" t="s">
        <v>1361</v>
      </c>
      <c r="E615" s="4" t="s">
        <v>1362</v>
      </c>
      <c r="G615" s="16">
        <v>4</v>
      </c>
      <c r="M615">
        <v>1</v>
      </c>
      <c r="N615">
        <v>3740</v>
      </c>
      <c r="O615">
        <v>0</v>
      </c>
      <c r="P615">
        <v>0.34</v>
      </c>
      <c r="Q615">
        <v>1271.5999999999999</v>
      </c>
      <c r="R615" t="s">
        <v>176</v>
      </c>
      <c r="S615">
        <v>0</v>
      </c>
      <c r="T615" t="s">
        <v>52</v>
      </c>
      <c r="U615">
        <v>0</v>
      </c>
      <c r="V615">
        <v>0</v>
      </c>
      <c r="W615">
        <v>400061</v>
      </c>
      <c r="X615" t="s">
        <v>56</v>
      </c>
      <c r="Y615" t="s">
        <v>57</v>
      </c>
      <c r="AE615">
        <v>0</v>
      </c>
      <c r="AP615" t="s">
        <v>169</v>
      </c>
    </row>
    <row r="616" spans="1:42">
      <c r="A616" s="1" t="s">
        <v>46</v>
      </c>
      <c r="B616" s="1" t="s">
        <v>1363</v>
      </c>
      <c r="C616" s="1" t="s">
        <v>1363</v>
      </c>
      <c r="E616" s="4" t="s">
        <v>1364</v>
      </c>
      <c r="G616" s="16"/>
      <c r="M616">
        <v>1</v>
      </c>
      <c r="N616">
        <v>-4</v>
      </c>
      <c r="O616">
        <v>0</v>
      </c>
      <c r="P616">
        <v>0.9</v>
      </c>
      <c r="Q616">
        <v>-3.6</v>
      </c>
      <c r="R616" t="s">
        <v>783</v>
      </c>
      <c r="S616">
        <v>0</v>
      </c>
      <c r="T616">
        <v>0</v>
      </c>
      <c r="U616">
        <v>0</v>
      </c>
      <c r="V616">
        <v>0</v>
      </c>
      <c r="W616">
        <v>400061</v>
      </c>
      <c r="X616" t="s">
        <v>56</v>
      </c>
      <c r="Y616" t="s">
        <v>57</v>
      </c>
      <c r="AE616">
        <v>0</v>
      </c>
      <c r="AP616" t="s">
        <v>169</v>
      </c>
    </row>
    <row r="617" spans="1:42">
      <c r="A617" s="1" t="s">
        <v>46</v>
      </c>
      <c r="B617" s="1" t="s">
        <v>1365</v>
      </c>
      <c r="C617" s="1" t="s">
        <v>1365</v>
      </c>
      <c r="E617" s="4" t="s">
        <v>1366</v>
      </c>
      <c r="G617" s="16"/>
      <c r="M617">
        <v>1</v>
      </c>
      <c r="N617">
        <v>417</v>
      </c>
      <c r="O617">
        <v>0</v>
      </c>
      <c r="P617">
        <v>1.75</v>
      </c>
      <c r="Q617">
        <v>729.75</v>
      </c>
      <c r="R617" t="s">
        <v>241</v>
      </c>
      <c r="S617">
        <v>0</v>
      </c>
      <c r="T617" t="s">
        <v>52</v>
      </c>
      <c r="U617">
        <v>0</v>
      </c>
      <c r="V617">
        <v>0</v>
      </c>
      <c r="W617">
        <v>410302</v>
      </c>
      <c r="AE617">
        <v>0</v>
      </c>
      <c r="AP617" t="s">
        <v>177</v>
      </c>
    </row>
    <row r="618" spans="1:42">
      <c r="A618" s="1" t="s">
        <v>46</v>
      </c>
      <c r="B618" s="1" t="s">
        <v>1367</v>
      </c>
      <c r="C618" s="1" t="s">
        <v>1367</v>
      </c>
      <c r="E618" s="4" t="s">
        <v>1368</v>
      </c>
      <c r="G618" s="16"/>
      <c r="I618">
        <v>20</v>
      </c>
      <c r="M618">
        <v>1</v>
      </c>
      <c r="N618">
        <v>5</v>
      </c>
      <c r="O618">
        <v>0</v>
      </c>
      <c r="P618">
        <v>9.77</v>
      </c>
      <c r="Q618">
        <v>48.84</v>
      </c>
      <c r="R618" t="s">
        <v>1050</v>
      </c>
      <c r="S618">
        <v>0</v>
      </c>
      <c r="T618" t="s">
        <v>52</v>
      </c>
      <c r="U618">
        <v>0</v>
      </c>
      <c r="V618">
        <v>0</v>
      </c>
      <c r="W618">
        <v>400026</v>
      </c>
      <c r="AE618">
        <v>0</v>
      </c>
      <c r="AH618">
        <v>20</v>
      </c>
      <c r="AP618" t="s">
        <v>187</v>
      </c>
    </row>
    <row r="619" spans="1:42">
      <c r="A619" s="1" t="s">
        <v>46</v>
      </c>
      <c r="B619" s="1" t="s">
        <v>1369</v>
      </c>
      <c r="C619" s="1" t="s">
        <v>1369</v>
      </c>
      <c r="E619" s="4" t="s">
        <v>1370</v>
      </c>
      <c r="G619" s="16"/>
      <c r="M619">
        <v>1</v>
      </c>
      <c r="N619">
        <v>48</v>
      </c>
      <c r="O619">
        <v>0</v>
      </c>
      <c r="P619">
        <v>1.75</v>
      </c>
      <c r="Q619">
        <v>84</v>
      </c>
      <c r="W619">
        <v>400035</v>
      </c>
      <c r="AE619">
        <v>0</v>
      </c>
      <c r="AP619" t="s">
        <v>784</v>
      </c>
    </row>
    <row r="620" spans="1:42">
      <c r="A620" s="1" t="s">
        <v>46</v>
      </c>
      <c r="B620" s="1" t="s">
        <v>1371</v>
      </c>
      <c r="C620" s="1" t="s">
        <v>1371</v>
      </c>
      <c r="E620" s="4" t="s">
        <v>1372</v>
      </c>
      <c r="G620" s="16"/>
      <c r="M620">
        <v>1</v>
      </c>
      <c r="N620">
        <v>1257</v>
      </c>
      <c r="O620">
        <v>0</v>
      </c>
      <c r="P620">
        <v>1.9</v>
      </c>
      <c r="Q620">
        <v>2388.3000000000002</v>
      </c>
      <c r="R620" t="s">
        <v>241</v>
      </c>
      <c r="S620">
        <v>0</v>
      </c>
      <c r="T620" t="s">
        <v>52</v>
      </c>
      <c r="U620">
        <v>0</v>
      </c>
      <c r="V620">
        <v>0</v>
      </c>
      <c r="W620">
        <v>400061</v>
      </c>
      <c r="X620" t="s">
        <v>56</v>
      </c>
      <c r="Y620" t="s">
        <v>57</v>
      </c>
      <c r="AE620">
        <v>0</v>
      </c>
      <c r="AP620" t="s">
        <v>169</v>
      </c>
    </row>
    <row r="621" spans="1:42">
      <c r="A621" s="1" t="s">
        <v>46</v>
      </c>
      <c r="B621" s="1" t="s">
        <v>1373</v>
      </c>
      <c r="C621" s="1" t="s">
        <v>1373</v>
      </c>
      <c r="E621" s="4" t="s">
        <v>1374</v>
      </c>
      <c r="G621" s="16"/>
      <c r="I621">
        <v>20</v>
      </c>
      <c r="M621">
        <v>1</v>
      </c>
      <c r="N621">
        <v>22</v>
      </c>
      <c r="O621">
        <v>0</v>
      </c>
      <c r="P621">
        <v>14.41</v>
      </c>
      <c r="Q621">
        <v>316.97000000000003</v>
      </c>
      <c r="R621" t="s">
        <v>1050</v>
      </c>
      <c r="S621">
        <v>0</v>
      </c>
      <c r="T621" t="s">
        <v>52</v>
      </c>
      <c r="U621">
        <v>0</v>
      </c>
      <c r="V621">
        <v>0</v>
      </c>
      <c r="W621">
        <v>400026</v>
      </c>
      <c r="AE621">
        <v>0</v>
      </c>
      <c r="AH621">
        <v>20</v>
      </c>
      <c r="AP621" t="s">
        <v>187</v>
      </c>
    </row>
    <row r="622" spans="1:42">
      <c r="A622" s="1" t="s">
        <v>46</v>
      </c>
      <c r="B622" s="1" t="s">
        <v>1375</v>
      </c>
      <c r="C622" s="1" t="s">
        <v>1375</v>
      </c>
      <c r="E622" s="4" t="s">
        <v>1376</v>
      </c>
      <c r="G622" s="16"/>
      <c r="M622">
        <v>1</v>
      </c>
      <c r="N622">
        <v>98</v>
      </c>
      <c r="O622">
        <v>0</v>
      </c>
      <c r="P622">
        <v>0.5</v>
      </c>
      <c r="Q622">
        <v>49</v>
      </c>
      <c r="R622" t="s">
        <v>176</v>
      </c>
      <c r="S622">
        <v>0</v>
      </c>
      <c r="T622" t="s">
        <v>52</v>
      </c>
      <c r="U622">
        <v>0</v>
      </c>
      <c r="V622">
        <v>0</v>
      </c>
      <c r="W622">
        <v>400061</v>
      </c>
      <c r="X622" t="s">
        <v>56</v>
      </c>
      <c r="Y622" t="s">
        <v>57</v>
      </c>
      <c r="AE622">
        <v>0</v>
      </c>
      <c r="AP622" t="s">
        <v>169</v>
      </c>
    </row>
    <row r="623" spans="1:42">
      <c r="A623" s="1" t="s">
        <v>46</v>
      </c>
      <c r="B623" s="1" t="s">
        <v>1377</v>
      </c>
      <c r="C623" s="1" t="s">
        <v>1377</v>
      </c>
      <c r="E623" s="4" t="s">
        <v>1378</v>
      </c>
      <c r="G623" s="16"/>
      <c r="I623">
        <v>4.5199999999999996</v>
      </c>
      <c r="M623">
        <v>1</v>
      </c>
      <c r="N623">
        <v>148</v>
      </c>
      <c r="O623">
        <v>0</v>
      </c>
      <c r="P623">
        <v>0.85</v>
      </c>
      <c r="Q623">
        <v>125.8</v>
      </c>
      <c r="R623" t="s">
        <v>241</v>
      </c>
      <c r="S623">
        <v>0</v>
      </c>
      <c r="T623" t="s">
        <v>52</v>
      </c>
      <c r="U623">
        <v>0</v>
      </c>
      <c r="V623">
        <v>0</v>
      </c>
      <c r="W623">
        <v>410302</v>
      </c>
      <c r="AE623">
        <v>0</v>
      </c>
      <c r="AH623">
        <v>4.5199999999999996</v>
      </c>
      <c r="AP623" t="s">
        <v>177</v>
      </c>
    </row>
    <row r="624" spans="1:42">
      <c r="A624" s="1" t="s">
        <v>46</v>
      </c>
      <c r="B624" s="1" t="s">
        <v>1379</v>
      </c>
      <c r="C624" s="1" t="s">
        <v>1379</v>
      </c>
      <c r="E624" s="4" t="s">
        <v>1380</v>
      </c>
      <c r="G624" s="16"/>
      <c r="M624">
        <v>1</v>
      </c>
      <c r="N624">
        <v>-4</v>
      </c>
      <c r="O624">
        <v>0</v>
      </c>
      <c r="P624">
        <v>0.85</v>
      </c>
      <c r="Q624">
        <v>-3.4</v>
      </c>
      <c r="R624" t="s">
        <v>241</v>
      </c>
      <c r="S624">
        <v>0</v>
      </c>
      <c r="T624" t="s">
        <v>52</v>
      </c>
      <c r="U624">
        <v>0</v>
      </c>
      <c r="V624">
        <v>0</v>
      </c>
      <c r="W624">
        <v>400119</v>
      </c>
      <c r="AE624">
        <v>0</v>
      </c>
      <c r="AP624" t="s">
        <v>53</v>
      </c>
    </row>
    <row r="625" spans="1:42">
      <c r="A625" s="1" t="s">
        <v>46</v>
      </c>
      <c r="B625" s="1" t="s">
        <v>1381</v>
      </c>
      <c r="C625" s="1" t="s">
        <v>1381</v>
      </c>
      <c r="E625" s="4" t="s">
        <v>1382</v>
      </c>
      <c r="G625" s="16">
        <v>1.5</v>
      </c>
      <c r="M625">
        <v>1</v>
      </c>
      <c r="N625">
        <v>-8</v>
      </c>
      <c r="O625">
        <v>0</v>
      </c>
      <c r="P625">
        <v>0.86</v>
      </c>
      <c r="Q625">
        <v>-6.88</v>
      </c>
      <c r="R625" t="s">
        <v>241</v>
      </c>
      <c r="S625">
        <v>0</v>
      </c>
      <c r="T625" t="s">
        <v>52</v>
      </c>
      <c r="U625">
        <v>0</v>
      </c>
      <c r="V625">
        <v>0</v>
      </c>
      <c r="W625">
        <v>400119</v>
      </c>
      <c r="AE625">
        <v>0</v>
      </c>
      <c r="AP625" t="s">
        <v>53</v>
      </c>
    </row>
    <row r="626" spans="1:42">
      <c r="A626" s="1" t="s">
        <v>46</v>
      </c>
      <c r="B626" s="1" t="s">
        <v>1383</v>
      </c>
      <c r="C626" s="1" t="s">
        <v>1383</v>
      </c>
      <c r="E626" s="4" t="s">
        <v>1384</v>
      </c>
      <c r="G626" s="16"/>
      <c r="I626">
        <v>8.1999999999999993</v>
      </c>
      <c r="M626">
        <v>1</v>
      </c>
      <c r="N626">
        <v>2</v>
      </c>
      <c r="O626">
        <v>0</v>
      </c>
      <c r="P626">
        <v>5.56</v>
      </c>
      <c r="Q626">
        <v>11.11</v>
      </c>
      <c r="R626" t="s">
        <v>1050</v>
      </c>
      <c r="S626">
        <v>0</v>
      </c>
      <c r="T626" t="s">
        <v>52</v>
      </c>
      <c r="U626">
        <v>0</v>
      </c>
      <c r="V626">
        <v>0</v>
      </c>
      <c r="W626">
        <v>400026</v>
      </c>
      <c r="AE626">
        <v>0</v>
      </c>
      <c r="AH626">
        <v>8.1999999999999993</v>
      </c>
      <c r="AP626" t="s">
        <v>187</v>
      </c>
    </row>
    <row r="627" spans="1:42">
      <c r="A627" s="1" t="s">
        <v>46</v>
      </c>
      <c r="B627" s="1" t="s">
        <v>1385</v>
      </c>
      <c r="C627" s="1" t="s">
        <v>1385</v>
      </c>
      <c r="E627" s="4" t="s">
        <v>1386</v>
      </c>
      <c r="G627" s="16">
        <v>0.75</v>
      </c>
      <c r="M627">
        <v>1</v>
      </c>
      <c r="N627">
        <v>8</v>
      </c>
      <c r="O627">
        <v>0</v>
      </c>
      <c r="P627">
        <v>0.85</v>
      </c>
      <c r="Q627">
        <v>6.8</v>
      </c>
      <c r="R627" t="s">
        <v>241</v>
      </c>
      <c r="S627">
        <v>0</v>
      </c>
      <c r="T627" t="s">
        <v>52</v>
      </c>
      <c r="U627">
        <v>0</v>
      </c>
      <c r="V627">
        <v>0</v>
      </c>
      <c r="W627">
        <v>410302</v>
      </c>
      <c r="AE627">
        <v>0</v>
      </c>
      <c r="AP627" t="s">
        <v>177</v>
      </c>
    </row>
    <row r="628" spans="1:42">
      <c r="A628" s="1" t="s">
        <v>46</v>
      </c>
      <c r="B628" s="1" t="s">
        <v>1387</v>
      </c>
      <c r="C628" s="1" t="s">
        <v>1387</v>
      </c>
      <c r="E628" s="4" t="s">
        <v>1388</v>
      </c>
      <c r="G628" s="16"/>
      <c r="I628">
        <v>4.09</v>
      </c>
      <c r="M628">
        <v>1</v>
      </c>
      <c r="N628">
        <v>8</v>
      </c>
      <c r="O628">
        <v>0</v>
      </c>
      <c r="P628">
        <v>2.67</v>
      </c>
      <c r="Q628">
        <v>21.39</v>
      </c>
      <c r="R628" t="s">
        <v>1050</v>
      </c>
      <c r="S628">
        <v>0</v>
      </c>
      <c r="T628" t="s">
        <v>52</v>
      </c>
      <c r="U628">
        <v>0</v>
      </c>
      <c r="V628">
        <v>0</v>
      </c>
      <c r="W628">
        <v>400013</v>
      </c>
      <c r="AE628">
        <v>0</v>
      </c>
      <c r="AH628">
        <v>4.09</v>
      </c>
      <c r="AP628" t="s">
        <v>232</v>
      </c>
    </row>
    <row r="629" spans="1:42">
      <c r="A629" s="1" t="s">
        <v>46</v>
      </c>
      <c r="B629" s="1" t="s">
        <v>1389</v>
      </c>
      <c r="C629" s="1" t="s">
        <v>1389</v>
      </c>
      <c r="E629" s="4" t="s">
        <v>1390</v>
      </c>
      <c r="G629" s="16">
        <v>0.5</v>
      </c>
      <c r="I629">
        <v>2</v>
      </c>
      <c r="M629">
        <v>1</v>
      </c>
      <c r="N629">
        <v>1438</v>
      </c>
      <c r="O629">
        <v>0</v>
      </c>
      <c r="P629">
        <v>0.9</v>
      </c>
      <c r="Q629">
        <v>1294.2</v>
      </c>
      <c r="R629" t="s">
        <v>241</v>
      </c>
      <c r="S629">
        <v>0</v>
      </c>
      <c r="T629" t="s">
        <v>52</v>
      </c>
      <c r="U629">
        <v>0</v>
      </c>
      <c r="V629">
        <v>0</v>
      </c>
      <c r="W629">
        <v>400061</v>
      </c>
      <c r="AE629">
        <v>0</v>
      </c>
      <c r="AH629">
        <v>2</v>
      </c>
      <c r="AP629" t="s">
        <v>169</v>
      </c>
    </row>
    <row r="630" spans="1:42">
      <c r="A630" s="1" t="s">
        <v>46</v>
      </c>
      <c r="B630" s="1" t="s">
        <v>1391</v>
      </c>
      <c r="C630" s="1" t="s">
        <v>1391</v>
      </c>
      <c r="E630" s="4" t="s">
        <v>1392</v>
      </c>
      <c r="G630" s="16"/>
      <c r="I630">
        <v>5.3</v>
      </c>
      <c r="M630">
        <v>1</v>
      </c>
      <c r="N630">
        <v>168</v>
      </c>
      <c r="O630">
        <v>0</v>
      </c>
      <c r="P630">
        <v>3.82</v>
      </c>
      <c r="Q630">
        <v>640.98</v>
      </c>
      <c r="R630" t="s">
        <v>1050</v>
      </c>
      <c r="S630">
        <v>0</v>
      </c>
      <c r="T630" t="s">
        <v>52</v>
      </c>
      <c r="U630">
        <v>0</v>
      </c>
      <c r="V630">
        <v>0</v>
      </c>
      <c r="W630">
        <v>400026</v>
      </c>
      <c r="AE630">
        <v>0</v>
      </c>
      <c r="AH630">
        <v>5.3</v>
      </c>
      <c r="AP630" t="s">
        <v>187</v>
      </c>
    </row>
    <row r="631" spans="1:42">
      <c r="A631" s="1" t="s">
        <v>46</v>
      </c>
      <c r="B631" s="1" t="s">
        <v>1393</v>
      </c>
      <c r="C631" s="1" t="s">
        <v>1393</v>
      </c>
      <c r="E631" s="4" t="s">
        <v>1394</v>
      </c>
      <c r="G631" s="16">
        <v>0.35</v>
      </c>
      <c r="M631">
        <v>1</v>
      </c>
      <c r="N631">
        <v>361</v>
      </c>
      <c r="O631">
        <v>0</v>
      </c>
      <c r="P631">
        <v>0.3</v>
      </c>
      <c r="Q631">
        <v>108.3</v>
      </c>
      <c r="R631">
        <v>0</v>
      </c>
      <c r="S631">
        <v>0</v>
      </c>
      <c r="T631" t="s">
        <v>52</v>
      </c>
      <c r="U631">
        <v>0</v>
      </c>
      <c r="V631">
        <v>0</v>
      </c>
      <c r="W631">
        <v>400201</v>
      </c>
      <c r="AE631">
        <v>0</v>
      </c>
      <c r="AP631" t="s">
        <v>1395</v>
      </c>
    </row>
    <row r="632" spans="1:42">
      <c r="A632" s="1" t="s">
        <v>46</v>
      </c>
      <c r="B632" s="1" t="s">
        <v>1396</v>
      </c>
      <c r="C632" s="1" t="s">
        <v>1396</v>
      </c>
      <c r="E632" s="4" t="s">
        <v>1397</v>
      </c>
      <c r="G632" s="16"/>
      <c r="M632">
        <v>1</v>
      </c>
      <c r="N632">
        <v>6</v>
      </c>
      <c r="O632">
        <v>0</v>
      </c>
      <c r="P632">
        <v>0.68</v>
      </c>
      <c r="Q632">
        <v>4.07</v>
      </c>
      <c r="R632" t="s">
        <v>556</v>
      </c>
      <c r="S632">
        <v>0</v>
      </c>
      <c r="T632" t="s">
        <v>52</v>
      </c>
      <c r="U632">
        <v>0</v>
      </c>
      <c r="V632">
        <v>0</v>
      </c>
      <c r="W632">
        <v>400013</v>
      </c>
      <c r="X632" t="s">
        <v>56</v>
      </c>
      <c r="Y632" t="s">
        <v>57</v>
      </c>
      <c r="AE632">
        <v>0</v>
      </c>
      <c r="AP632" t="s">
        <v>232</v>
      </c>
    </row>
    <row r="633" spans="1:42">
      <c r="A633" s="1" t="s">
        <v>46</v>
      </c>
      <c r="B633" s="1" t="s">
        <v>1398</v>
      </c>
      <c r="C633" s="1" t="s">
        <v>1398</v>
      </c>
      <c r="E633" s="4" t="s">
        <v>1399</v>
      </c>
      <c r="G633" s="16"/>
      <c r="M633">
        <v>1</v>
      </c>
      <c r="N633">
        <v>20</v>
      </c>
      <c r="O633">
        <v>0</v>
      </c>
      <c r="P633">
        <v>0.6</v>
      </c>
      <c r="Q633">
        <v>11.95</v>
      </c>
      <c r="R633" t="s">
        <v>556</v>
      </c>
      <c r="S633">
        <v>0</v>
      </c>
      <c r="T633" t="s">
        <v>52</v>
      </c>
      <c r="U633">
        <v>0</v>
      </c>
      <c r="V633">
        <v>0</v>
      </c>
      <c r="W633">
        <v>400013</v>
      </c>
      <c r="X633" t="s">
        <v>56</v>
      </c>
      <c r="Y633" t="s">
        <v>57</v>
      </c>
      <c r="AE633">
        <v>0</v>
      </c>
      <c r="AP633" t="s">
        <v>232</v>
      </c>
    </row>
    <row r="634" spans="1:42">
      <c r="A634" s="1" t="s">
        <v>46</v>
      </c>
      <c r="B634" s="1" t="s">
        <v>1400</v>
      </c>
      <c r="C634" s="1" t="s">
        <v>1400</v>
      </c>
      <c r="E634" s="4" t="s">
        <v>1401</v>
      </c>
      <c r="G634" s="16"/>
      <c r="M634">
        <v>1</v>
      </c>
      <c r="N634">
        <v>58</v>
      </c>
      <c r="O634">
        <v>0</v>
      </c>
      <c r="P634">
        <v>0.95</v>
      </c>
      <c r="Q634">
        <v>55.1</v>
      </c>
      <c r="W634">
        <v>400160</v>
      </c>
      <c r="AE634">
        <v>0</v>
      </c>
      <c r="AP634" t="s">
        <v>201</v>
      </c>
    </row>
    <row r="635" spans="1:42">
      <c r="A635" s="1" t="s">
        <v>46</v>
      </c>
      <c r="B635" s="1" t="s">
        <v>1402</v>
      </c>
      <c r="C635" s="1" t="s">
        <v>1402</v>
      </c>
      <c r="E635" s="4" t="s">
        <v>1403</v>
      </c>
      <c r="G635" s="16"/>
      <c r="M635">
        <v>1</v>
      </c>
      <c r="N635">
        <v>481</v>
      </c>
      <c r="O635">
        <v>0</v>
      </c>
      <c r="P635">
        <v>0.78</v>
      </c>
      <c r="Q635">
        <v>375.18</v>
      </c>
      <c r="R635" t="s">
        <v>176</v>
      </c>
      <c r="S635">
        <v>0</v>
      </c>
      <c r="T635" t="s">
        <v>52</v>
      </c>
      <c r="U635">
        <v>0</v>
      </c>
      <c r="V635">
        <v>0</v>
      </c>
      <c r="W635">
        <v>400061</v>
      </c>
      <c r="X635" t="s">
        <v>56</v>
      </c>
      <c r="Y635" t="s">
        <v>57</v>
      </c>
      <c r="AE635">
        <v>0</v>
      </c>
      <c r="AP635" t="s">
        <v>169</v>
      </c>
    </row>
    <row r="636" spans="1:42">
      <c r="A636" s="1" t="s">
        <v>46</v>
      </c>
      <c r="B636" s="1" t="s">
        <v>1404</v>
      </c>
      <c r="C636" s="1" t="s">
        <v>1404</v>
      </c>
      <c r="E636" s="4" t="s">
        <v>1405</v>
      </c>
      <c r="G636" s="16"/>
      <c r="M636">
        <v>1</v>
      </c>
      <c r="N636">
        <v>2</v>
      </c>
      <c r="O636">
        <v>0</v>
      </c>
      <c r="P636">
        <v>0.4</v>
      </c>
      <c r="Q636">
        <v>0.8</v>
      </c>
      <c r="R636" t="s">
        <v>1406</v>
      </c>
      <c r="S636">
        <v>0</v>
      </c>
      <c r="T636" t="s">
        <v>209</v>
      </c>
      <c r="U636">
        <v>0</v>
      </c>
      <c r="V636">
        <v>0</v>
      </c>
      <c r="W636">
        <v>400042</v>
      </c>
      <c r="AE636">
        <v>0</v>
      </c>
      <c r="AP636" t="s">
        <v>154</v>
      </c>
    </row>
    <row r="637" spans="1:42">
      <c r="A637" s="1" t="s">
        <v>46</v>
      </c>
      <c r="B637" s="1" t="s">
        <v>1407</v>
      </c>
      <c r="C637" s="1" t="s">
        <v>1407</v>
      </c>
      <c r="E637" s="4" t="s">
        <v>1408</v>
      </c>
      <c r="G637" s="16">
        <v>0.5</v>
      </c>
      <c r="M637">
        <v>1</v>
      </c>
      <c r="N637">
        <v>1</v>
      </c>
      <c r="O637">
        <v>0</v>
      </c>
      <c r="P637">
        <v>55</v>
      </c>
      <c r="Q637">
        <v>55</v>
      </c>
      <c r="W637">
        <v>400113</v>
      </c>
      <c r="AE637">
        <v>0</v>
      </c>
      <c r="AP637" t="s">
        <v>1409</v>
      </c>
    </row>
    <row r="638" spans="1:42">
      <c r="A638" s="1" t="s">
        <v>46</v>
      </c>
      <c r="B638" s="1" t="s">
        <v>1410</v>
      </c>
      <c r="C638" s="1" t="s">
        <v>1410</v>
      </c>
      <c r="E638" s="4" t="s">
        <v>1411</v>
      </c>
      <c r="G638" s="16"/>
      <c r="M638">
        <v>1</v>
      </c>
      <c r="N638">
        <v>2</v>
      </c>
      <c r="O638">
        <v>0</v>
      </c>
      <c r="P638">
        <v>180</v>
      </c>
      <c r="Q638">
        <v>360</v>
      </c>
      <c r="R638">
        <v>0</v>
      </c>
      <c r="S638">
        <v>0</v>
      </c>
      <c r="T638" t="s">
        <v>52</v>
      </c>
      <c r="U638">
        <v>0</v>
      </c>
      <c r="V638">
        <v>0</v>
      </c>
      <c r="W638">
        <v>400130</v>
      </c>
      <c r="AE638">
        <v>0</v>
      </c>
      <c r="AP638" t="s">
        <v>139</v>
      </c>
    </row>
    <row r="639" spans="1:42">
      <c r="A639" s="1" t="s">
        <v>46</v>
      </c>
      <c r="B639" s="1" t="s">
        <v>1412</v>
      </c>
      <c r="C639" s="1" t="s">
        <v>1412</v>
      </c>
      <c r="E639" s="4" t="s">
        <v>1413</v>
      </c>
      <c r="G639" s="16"/>
      <c r="M639">
        <v>1</v>
      </c>
      <c r="N639">
        <v>1</v>
      </c>
      <c r="O639">
        <v>0</v>
      </c>
      <c r="P639">
        <v>130</v>
      </c>
      <c r="Q639">
        <v>130</v>
      </c>
      <c r="W639">
        <v>400130</v>
      </c>
      <c r="AE639">
        <v>0</v>
      </c>
      <c r="AP639" t="s">
        <v>139</v>
      </c>
    </row>
    <row r="640" spans="1:42">
      <c r="A640" s="1" t="s">
        <v>46</v>
      </c>
      <c r="B640" s="1" t="s">
        <v>1414</v>
      </c>
      <c r="C640" s="1" t="s">
        <v>1414</v>
      </c>
      <c r="E640" s="4" t="s">
        <v>1415</v>
      </c>
      <c r="G640" s="16">
        <v>1.25</v>
      </c>
      <c r="M640">
        <v>1</v>
      </c>
      <c r="N640">
        <v>2</v>
      </c>
      <c r="O640">
        <v>0</v>
      </c>
      <c r="P640">
        <v>41.47</v>
      </c>
      <c r="Q640">
        <v>82.94</v>
      </c>
      <c r="R640" t="s">
        <v>579</v>
      </c>
      <c r="S640">
        <v>0</v>
      </c>
      <c r="T640">
        <v>0</v>
      </c>
      <c r="U640">
        <v>0</v>
      </c>
      <c r="V640">
        <v>0</v>
      </c>
      <c r="W640">
        <v>400020</v>
      </c>
      <c r="AE640">
        <v>0</v>
      </c>
      <c r="AP640" t="s">
        <v>1416</v>
      </c>
    </row>
    <row r="641" spans="1:42">
      <c r="A641" s="1" t="s">
        <v>46</v>
      </c>
      <c r="B641" s="1" t="s">
        <v>1417</v>
      </c>
      <c r="C641" s="1" t="s">
        <v>1417</v>
      </c>
      <c r="E641" s="4" t="s">
        <v>1418</v>
      </c>
      <c r="G641" s="16"/>
      <c r="M641">
        <v>1</v>
      </c>
      <c r="N641">
        <v>2</v>
      </c>
      <c r="O641">
        <v>0</v>
      </c>
      <c r="P641">
        <v>38.03</v>
      </c>
      <c r="Q641">
        <v>76.06</v>
      </c>
      <c r="R641" t="s">
        <v>579</v>
      </c>
      <c r="S641">
        <v>0</v>
      </c>
      <c r="T641" t="s">
        <v>52</v>
      </c>
      <c r="U641">
        <v>0</v>
      </c>
      <c r="V641">
        <v>0</v>
      </c>
      <c r="W641">
        <v>400020</v>
      </c>
      <c r="AE641">
        <v>0</v>
      </c>
      <c r="AP641" t="s">
        <v>1416</v>
      </c>
    </row>
    <row r="642" spans="1:42">
      <c r="A642" s="1" t="s">
        <v>46</v>
      </c>
      <c r="B642" s="1" t="s">
        <v>1419</v>
      </c>
      <c r="C642" s="1" t="s">
        <v>1419</v>
      </c>
      <c r="E642" s="4" t="s">
        <v>1420</v>
      </c>
      <c r="G642" s="16">
        <v>1.5</v>
      </c>
      <c r="M642">
        <v>1</v>
      </c>
      <c r="N642">
        <v>5</v>
      </c>
      <c r="O642">
        <v>0</v>
      </c>
      <c r="P642">
        <v>210.9</v>
      </c>
      <c r="Q642">
        <v>1054.5</v>
      </c>
      <c r="R642" t="s">
        <v>574</v>
      </c>
      <c r="S642">
        <v>0</v>
      </c>
      <c r="T642" t="s">
        <v>52</v>
      </c>
      <c r="U642">
        <v>0</v>
      </c>
      <c r="V642">
        <v>0</v>
      </c>
      <c r="W642">
        <v>400013</v>
      </c>
      <c r="X642" t="s">
        <v>56</v>
      </c>
      <c r="Y642" t="s">
        <v>57</v>
      </c>
      <c r="AE642">
        <v>0</v>
      </c>
      <c r="AP642" t="s">
        <v>232</v>
      </c>
    </row>
    <row r="643" spans="1:42">
      <c r="A643" s="1" t="s">
        <v>46</v>
      </c>
      <c r="B643" s="1" t="s">
        <v>1421</v>
      </c>
      <c r="C643" s="1" t="s">
        <v>1421</v>
      </c>
      <c r="E643" s="4" t="s">
        <v>1422</v>
      </c>
      <c r="G643" s="16"/>
      <c r="M643">
        <v>1</v>
      </c>
      <c r="N643">
        <v>44</v>
      </c>
      <c r="O643">
        <v>0</v>
      </c>
      <c r="P643">
        <v>2</v>
      </c>
      <c r="Q643">
        <v>88</v>
      </c>
      <c r="R643" t="s">
        <v>783</v>
      </c>
      <c r="S643">
        <v>0</v>
      </c>
      <c r="T643">
        <v>0</v>
      </c>
      <c r="U643">
        <v>0</v>
      </c>
      <c r="V643">
        <v>0</v>
      </c>
      <c r="W643">
        <v>400110</v>
      </c>
      <c r="AE643">
        <v>0</v>
      </c>
      <c r="AP643" t="s">
        <v>344</v>
      </c>
    </row>
    <row r="644" spans="1:42">
      <c r="A644" s="1" t="s">
        <v>46</v>
      </c>
      <c r="B644" s="1" t="s">
        <v>1423</v>
      </c>
      <c r="C644" s="1" t="s">
        <v>1423</v>
      </c>
      <c r="E644" s="4" t="s">
        <v>1424</v>
      </c>
      <c r="G644" s="16">
        <v>1.75</v>
      </c>
      <c r="M644">
        <v>1</v>
      </c>
      <c r="N644">
        <v>55</v>
      </c>
      <c r="O644">
        <v>0</v>
      </c>
      <c r="P644">
        <v>2</v>
      </c>
      <c r="Q644">
        <v>110</v>
      </c>
      <c r="R644" t="s">
        <v>783</v>
      </c>
      <c r="S644">
        <v>0</v>
      </c>
      <c r="T644">
        <v>0</v>
      </c>
      <c r="U644">
        <v>0</v>
      </c>
      <c r="V644">
        <v>0</v>
      </c>
      <c r="W644">
        <v>400110</v>
      </c>
      <c r="AE644">
        <v>0</v>
      </c>
      <c r="AP644" t="s">
        <v>344</v>
      </c>
    </row>
    <row r="645" spans="1:42">
      <c r="A645" s="1" t="s">
        <v>46</v>
      </c>
      <c r="B645" s="1" t="s">
        <v>1425</v>
      </c>
      <c r="C645" s="1" t="s">
        <v>1425</v>
      </c>
      <c r="E645" s="4" t="s">
        <v>1426</v>
      </c>
      <c r="G645" s="16"/>
      <c r="M645">
        <v>1</v>
      </c>
      <c r="N645">
        <v>20</v>
      </c>
      <c r="O645">
        <v>0</v>
      </c>
      <c r="P645">
        <v>1.85</v>
      </c>
      <c r="Q645">
        <v>37</v>
      </c>
      <c r="W645">
        <v>400110</v>
      </c>
      <c r="AE645">
        <v>0</v>
      </c>
      <c r="AP645" t="s">
        <v>344</v>
      </c>
    </row>
    <row r="646" spans="1:42">
      <c r="A646" s="1" t="s">
        <v>46</v>
      </c>
      <c r="B646" s="1" t="s">
        <v>1427</v>
      </c>
      <c r="C646" s="1" t="s">
        <v>1427</v>
      </c>
      <c r="E646" s="4" t="s">
        <v>1428</v>
      </c>
      <c r="G646" s="16"/>
      <c r="M646">
        <v>1</v>
      </c>
      <c r="N646">
        <v>1</v>
      </c>
      <c r="O646">
        <v>0</v>
      </c>
      <c r="P646">
        <v>6</v>
      </c>
      <c r="Q646">
        <v>6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400017</v>
      </c>
      <c r="AE646">
        <v>0</v>
      </c>
      <c r="AP646" t="s">
        <v>49</v>
      </c>
    </row>
    <row r="647" spans="1:42">
      <c r="A647" s="1" t="s">
        <v>46</v>
      </c>
      <c r="B647" s="1" t="s">
        <v>1429</v>
      </c>
      <c r="C647" s="1" t="s">
        <v>1429</v>
      </c>
      <c r="E647" s="4" t="s">
        <v>1430</v>
      </c>
      <c r="G647" s="16"/>
      <c r="M647">
        <v>1</v>
      </c>
      <c r="N647">
        <v>1</v>
      </c>
      <c r="O647">
        <v>0</v>
      </c>
      <c r="P647">
        <v>122</v>
      </c>
      <c r="Q647">
        <v>122</v>
      </c>
      <c r="W647">
        <v>400120</v>
      </c>
      <c r="AE647">
        <v>0</v>
      </c>
      <c r="AP647" t="s">
        <v>468</v>
      </c>
    </row>
    <row r="648" spans="1:42">
      <c r="A648" s="1" t="s">
        <v>46</v>
      </c>
      <c r="B648" s="1" t="s">
        <v>1431</v>
      </c>
      <c r="C648" s="1" t="s">
        <v>1431</v>
      </c>
      <c r="E648" s="4" t="s">
        <v>1432</v>
      </c>
      <c r="G648" s="16"/>
      <c r="M648">
        <v>1</v>
      </c>
      <c r="N648">
        <v>2</v>
      </c>
      <c r="O648">
        <v>0</v>
      </c>
      <c r="P648">
        <v>26.64</v>
      </c>
      <c r="Q648">
        <v>53.28</v>
      </c>
      <c r="W648">
        <v>400120</v>
      </c>
      <c r="AE648">
        <v>0</v>
      </c>
      <c r="AP648" t="s">
        <v>468</v>
      </c>
    </row>
    <row r="649" spans="1:42">
      <c r="A649" s="1" t="s">
        <v>46</v>
      </c>
      <c r="B649" s="1" t="s">
        <v>1433</v>
      </c>
      <c r="C649" s="1" t="s">
        <v>1433</v>
      </c>
      <c r="E649" s="4" t="s">
        <v>1434</v>
      </c>
      <c r="G649" s="16"/>
      <c r="M649">
        <v>1</v>
      </c>
      <c r="N649">
        <v>336</v>
      </c>
      <c r="O649">
        <v>0</v>
      </c>
      <c r="P649">
        <v>5.05</v>
      </c>
      <c r="Q649">
        <v>1696.97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400013</v>
      </c>
      <c r="X649" t="s">
        <v>56</v>
      </c>
      <c r="Y649" t="s">
        <v>57</v>
      </c>
      <c r="AE649">
        <v>0</v>
      </c>
      <c r="AP649" t="s">
        <v>232</v>
      </c>
    </row>
    <row r="650" spans="1:42">
      <c r="A650" s="1" t="s">
        <v>46</v>
      </c>
      <c r="B650" s="1" t="s">
        <v>1435</v>
      </c>
      <c r="C650" s="1" t="s">
        <v>1435</v>
      </c>
      <c r="E650" s="4" t="s">
        <v>1436</v>
      </c>
      <c r="G650" s="16"/>
      <c r="I650">
        <v>1.6</v>
      </c>
      <c r="M650">
        <v>1</v>
      </c>
      <c r="N650">
        <v>379</v>
      </c>
      <c r="O650">
        <v>0</v>
      </c>
      <c r="P650">
        <v>0.69</v>
      </c>
      <c r="Q650">
        <v>260.56</v>
      </c>
      <c r="R650" t="s">
        <v>172</v>
      </c>
      <c r="S650">
        <v>0</v>
      </c>
      <c r="T650" t="s">
        <v>52</v>
      </c>
      <c r="U650">
        <v>0</v>
      </c>
      <c r="V650">
        <v>0</v>
      </c>
      <c r="W650">
        <v>400112</v>
      </c>
      <c r="X650" t="s">
        <v>56</v>
      </c>
      <c r="Y650" t="s">
        <v>57</v>
      </c>
      <c r="AE650">
        <v>0</v>
      </c>
      <c r="AH650">
        <v>1.6</v>
      </c>
      <c r="AP650" t="s">
        <v>220</v>
      </c>
    </row>
    <row r="651" spans="1:42">
      <c r="A651" s="1" t="s">
        <v>46</v>
      </c>
      <c r="B651" s="1" t="s">
        <v>1437</v>
      </c>
      <c r="C651" s="1" t="s">
        <v>1437</v>
      </c>
      <c r="E651" s="4" t="s">
        <v>1438</v>
      </c>
      <c r="G651" s="16"/>
      <c r="I651">
        <v>2</v>
      </c>
      <c r="M651">
        <v>1</v>
      </c>
      <c r="N651">
        <v>108</v>
      </c>
      <c r="O651">
        <v>0</v>
      </c>
      <c r="P651">
        <v>0.81</v>
      </c>
      <c r="Q651">
        <v>87.75</v>
      </c>
      <c r="R651" t="s">
        <v>172</v>
      </c>
      <c r="S651">
        <v>0</v>
      </c>
      <c r="T651" t="s">
        <v>52</v>
      </c>
      <c r="U651">
        <v>0</v>
      </c>
      <c r="V651">
        <v>0</v>
      </c>
      <c r="W651">
        <v>400112</v>
      </c>
      <c r="AE651">
        <v>0</v>
      </c>
      <c r="AH651">
        <v>2</v>
      </c>
      <c r="AP651" t="s">
        <v>220</v>
      </c>
    </row>
    <row r="652" spans="1:42">
      <c r="A652" s="1" t="s">
        <v>46</v>
      </c>
      <c r="B652" s="1" t="s">
        <v>1439</v>
      </c>
      <c r="C652" s="1" t="s">
        <v>1439</v>
      </c>
      <c r="E652" s="4" t="s">
        <v>1440</v>
      </c>
      <c r="G652" s="16"/>
      <c r="I652">
        <v>2.9</v>
      </c>
      <c r="M652">
        <v>1</v>
      </c>
      <c r="N652">
        <v>20</v>
      </c>
      <c r="O652">
        <v>0</v>
      </c>
      <c r="P652">
        <v>1.75</v>
      </c>
      <c r="Q652">
        <v>35</v>
      </c>
      <c r="R652" t="s">
        <v>172</v>
      </c>
      <c r="S652">
        <v>0</v>
      </c>
      <c r="T652" t="s">
        <v>52</v>
      </c>
      <c r="U652">
        <v>0</v>
      </c>
      <c r="V652">
        <v>0</v>
      </c>
      <c r="W652">
        <v>400112</v>
      </c>
      <c r="AE652">
        <v>0</v>
      </c>
      <c r="AH652">
        <v>2.9</v>
      </c>
      <c r="AP652" t="s">
        <v>220</v>
      </c>
    </row>
    <row r="653" spans="1:42">
      <c r="A653" s="1" t="s">
        <v>46</v>
      </c>
      <c r="B653" s="1" t="s">
        <v>1441</v>
      </c>
      <c r="C653" s="1" t="s">
        <v>1441</v>
      </c>
      <c r="E653" s="4" t="s">
        <v>1442</v>
      </c>
      <c r="G653" s="16"/>
      <c r="M653">
        <v>1</v>
      </c>
      <c r="N653">
        <v>793</v>
      </c>
      <c r="O653">
        <v>0</v>
      </c>
      <c r="P653">
        <v>0.56999999999999995</v>
      </c>
      <c r="Q653">
        <v>448.92</v>
      </c>
      <c r="R653">
        <v>0</v>
      </c>
      <c r="S653">
        <v>0</v>
      </c>
      <c r="T653" t="s">
        <v>17</v>
      </c>
      <c r="U653">
        <v>0</v>
      </c>
      <c r="V653">
        <v>0</v>
      </c>
      <c r="W653">
        <v>400215</v>
      </c>
      <c r="X653" t="s">
        <v>56</v>
      </c>
      <c r="Y653" t="s">
        <v>57</v>
      </c>
      <c r="AE653">
        <v>0</v>
      </c>
      <c r="AP653" t="s">
        <v>195</v>
      </c>
    </row>
    <row r="654" spans="1:42">
      <c r="A654" s="1" t="s">
        <v>46</v>
      </c>
      <c r="B654" s="1" t="s">
        <v>1443</v>
      </c>
      <c r="C654" s="1" t="s">
        <v>1443</v>
      </c>
      <c r="E654" s="4" t="s">
        <v>1444</v>
      </c>
      <c r="G654" s="16"/>
      <c r="I654">
        <v>2.5</v>
      </c>
      <c r="M654">
        <v>1</v>
      </c>
      <c r="N654">
        <v>233</v>
      </c>
      <c r="O654">
        <v>0</v>
      </c>
      <c r="P654">
        <v>0.72</v>
      </c>
      <c r="Q654">
        <v>166.6</v>
      </c>
      <c r="R654" t="s">
        <v>172</v>
      </c>
      <c r="S654">
        <v>0</v>
      </c>
      <c r="T654" t="s">
        <v>52</v>
      </c>
      <c r="U654">
        <v>0</v>
      </c>
      <c r="V654">
        <v>0</v>
      </c>
      <c r="W654">
        <v>400194</v>
      </c>
      <c r="AE654">
        <v>0</v>
      </c>
      <c r="AH654">
        <v>2.5</v>
      </c>
      <c r="AP654" t="s">
        <v>173</v>
      </c>
    </row>
    <row r="655" spans="1:42">
      <c r="A655" s="1" t="s">
        <v>46</v>
      </c>
      <c r="B655" s="1" t="s">
        <v>1445</v>
      </c>
      <c r="C655" s="1" t="s">
        <v>1445</v>
      </c>
      <c r="E655" s="4" t="s">
        <v>1446</v>
      </c>
      <c r="G655" s="16"/>
      <c r="M655">
        <v>1</v>
      </c>
      <c r="N655">
        <v>17</v>
      </c>
      <c r="O655">
        <v>0</v>
      </c>
      <c r="P655">
        <v>38</v>
      </c>
      <c r="Q655">
        <v>646</v>
      </c>
      <c r="R655">
        <v>0</v>
      </c>
      <c r="S655">
        <v>0</v>
      </c>
      <c r="T655" t="s">
        <v>52</v>
      </c>
      <c r="U655">
        <v>0</v>
      </c>
      <c r="V655">
        <v>0</v>
      </c>
      <c r="W655">
        <v>400203</v>
      </c>
      <c r="AE655">
        <v>0</v>
      </c>
      <c r="AP655" t="s">
        <v>837</v>
      </c>
    </row>
    <row r="656" spans="1:42">
      <c r="A656" s="1" t="s">
        <v>46</v>
      </c>
      <c r="B656" s="1" t="s">
        <v>1447</v>
      </c>
      <c r="C656" s="1" t="s">
        <v>1447</v>
      </c>
      <c r="E656" s="4" t="s">
        <v>1448</v>
      </c>
      <c r="G656" s="16"/>
      <c r="I656">
        <v>3.25</v>
      </c>
      <c r="M656">
        <v>1</v>
      </c>
      <c r="N656">
        <v>-25</v>
      </c>
      <c r="O656">
        <v>0</v>
      </c>
      <c r="P656">
        <v>1.1000000000000001</v>
      </c>
      <c r="Q656">
        <v>-27.5</v>
      </c>
      <c r="R656" t="s">
        <v>172</v>
      </c>
      <c r="S656">
        <v>0</v>
      </c>
      <c r="T656" t="s">
        <v>52</v>
      </c>
      <c r="U656">
        <v>0</v>
      </c>
      <c r="V656">
        <v>0</v>
      </c>
      <c r="W656">
        <v>400112</v>
      </c>
      <c r="AE656">
        <v>0</v>
      </c>
      <c r="AH656">
        <v>3.25</v>
      </c>
      <c r="AP656" t="s">
        <v>220</v>
      </c>
    </row>
    <row r="657" spans="1:42">
      <c r="A657" s="1" t="s">
        <v>46</v>
      </c>
      <c r="B657" s="1" t="s">
        <v>1449</v>
      </c>
      <c r="C657" s="1" t="s">
        <v>1449</v>
      </c>
      <c r="E657" s="4" t="s">
        <v>1450</v>
      </c>
      <c r="G657" s="16"/>
      <c r="M657">
        <v>1</v>
      </c>
      <c r="N657">
        <v>52</v>
      </c>
      <c r="O657">
        <v>0</v>
      </c>
      <c r="P657">
        <v>1.1200000000000001</v>
      </c>
      <c r="Q657">
        <v>58.5</v>
      </c>
      <c r="R657" t="s">
        <v>172</v>
      </c>
      <c r="S657">
        <v>0</v>
      </c>
      <c r="T657" t="s">
        <v>52</v>
      </c>
      <c r="U657">
        <v>0</v>
      </c>
      <c r="V657">
        <v>0</v>
      </c>
      <c r="W657">
        <v>400112</v>
      </c>
      <c r="AE657">
        <v>0</v>
      </c>
      <c r="AP657" t="s">
        <v>220</v>
      </c>
    </row>
    <row r="658" spans="1:42">
      <c r="A658" s="1" t="s">
        <v>46</v>
      </c>
      <c r="B658" s="1" t="s">
        <v>1451</v>
      </c>
      <c r="C658" s="1" t="s">
        <v>1451</v>
      </c>
      <c r="E658" s="4" t="s">
        <v>1452</v>
      </c>
      <c r="G658" s="16"/>
      <c r="I658">
        <v>2.6</v>
      </c>
      <c r="M658">
        <v>1</v>
      </c>
      <c r="N658">
        <v>677.05</v>
      </c>
      <c r="O658">
        <v>0</v>
      </c>
      <c r="P658">
        <v>6</v>
      </c>
      <c r="Q658">
        <v>4062.3</v>
      </c>
      <c r="R658" t="s">
        <v>172</v>
      </c>
      <c r="S658">
        <v>0</v>
      </c>
      <c r="T658" t="s">
        <v>209</v>
      </c>
      <c r="U658">
        <v>0</v>
      </c>
      <c r="V658">
        <v>0</v>
      </c>
      <c r="W658">
        <v>400002</v>
      </c>
      <c r="X658" t="s">
        <v>56</v>
      </c>
      <c r="Y658" t="s">
        <v>57</v>
      </c>
      <c r="AE658">
        <v>0</v>
      </c>
      <c r="AH658">
        <v>2.6</v>
      </c>
      <c r="AP658" t="s">
        <v>116</v>
      </c>
    </row>
    <row r="659" spans="1:42">
      <c r="A659" s="1" t="s">
        <v>46</v>
      </c>
      <c r="B659" s="1" t="s">
        <v>1453</v>
      </c>
      <c r="C659" s="1" t="s">
        <v>1453</v>
      </c>
      <c r="E659" s="4" t="s">
        <v>1454</v>
      </c>
      <c r="G659" s="16"/>
      <c r="I659">
        <v>1.4</v>
      </c>
      <c r="M659">
        <v>1</v>
      </c>
      <c r="N659">
        <v>623</v>
      </c>
      <c r="O659">
        <v>0</v>
      </c>
      <c r="P659">
        <v>0.5</v>
      </c>
      <c r="Q659">
        <v>311.5</v>
      </c>
      <c r="R659" t="s">
        <v>172</v>
      </c>
      <c r="S659">
        <v>0</v>
      </c>
      <c r="T659" t="s">
        <v>52</v>
      </c>
      <c r="U659">
        <v>0</v>
      </c>
      <c r="V659">
        <v>0</v>
      </c>
      <c r="W659">
        <v>400112</v>
      </c>
      <c r="AE659">
        <v>0</v>
      </c>
      <c r="AH659">
        <v>1.4</v>
      </c>
      <c r="AP659" t="s">
        <v>220</v>
      </c>
    </row>
    <row r="660" spans="1:42">
      <c r="A660" s="1" t="s">
        <v>46</v>
      </c>
      <c r="B660" s="1" t="s">
        <v>1455</v>
      </c>
      <c r="C660" s="1" t="s">
        <v>1455</v>
      </c>
      <c r="E660" s="4" t="s">
        <v>1456</v>
      </c>
      <c r="G660" s="16"/>
      <c r="I660">
        <v>1.4</v>
      </c>
      <c r="M660">
        <v>1</v>
      </c>
      <c r="N660">
        <v>1037</v>
      </c>
      <c r="O660">
        <v>0</v>
      </c>
      <c r="P660">
        <v>0.5</v>
      </c>
      <c r="Q660">
        <v>518.5</v>
      </c>
      <c r="R660" t="s">
        <v>172</v>
      </c>
      <c r="S660">
        <v>0</v>
      </c>
      <c r="T660" t="s">
        <v>52</v>
      </c>
      <c r="U660">
        <v>0</v>
      </c>
      <c r="V660">
        <v>0</v>
      </c>
      <c r="W660">
        <v>400112</v>
      </c>
      <c r="AE660">
        <v>0</v>
      </c>
      <c r="AH660">
        <v>1.4</v>
      </c>
      <c r="AP660" t="s">
        <v>220</v>
      </c>
    </row>
    <row r="661" spans="1:42">
      <c r="A661" s="1" t="s">
        <v>46</v>
      </c>
      <c r="B661" s="1" t="s">
        <v>1457</v>
      </c>
      <c r="C661" s="1" t="s">
        <v>1457</v>
      </c>
      <c r="E661" s="4" t="s">
        <v>1458</v>
      </c>
      <c r="G661" s="16"/>
      <c r="I661">
        <v>0.9</v>
      </c>
      <c r="M661">
        <v>1</v>
      </c>
      <c r="N661">
        <v>359</v>
      </c>
      <c r="O661">
        <v>0</v>
      </c>
      <c r="P661">
        <v>0.3</v>
      </c>
      <c r="Q661">
        <v>107.7</v>
      </c>
      <c r="R661" t="s">
        <v>172</v>
      </c>
      <c r="S661">
        <v>0</v>
      </c>
      <c r="T661" t="s">
        <v>52</v>
      </c>
      <c r="U661">
        <v>0</v>
      </c>
      <c r="V661">
        <v>0</v>
      </c>
      <c r="W661">
        <v>400112</v>
      </c>
      <c r="AE661">
        <v>0</v>
      </c>
      <c r="AH661">
        <v>0.9</v>
      </c>
      <c r="AP661" t="s">
        <v>220</v>
      </c>
    </row>
    <row r="662" spans="1:42">
      <c r="A662" s="1" t="s">
        <v>46</v>
      </c>
      <c r="B662" s="1" t="s">
        <v>1459</v>
      </c>
      <c r="C662" s="1" t="s">
        <v>1459</v>
      </c>
      <c r="E662" s="4" t="s">
        <v>1460</v>
      </c>
      <c r="G662" s="16"/>
      <c r="M662">
        <v>1</v>
      </c>
      <c r="N662">
        <v>1</v>
      </c>
      <c r="O662">
        <v>0</v>
      </c>
      <c r="P662">
        <v>9.25</v>
      </c>
      <c r="Q662">
        <v>9.25</v>
      </c>
      <c r="R662" t="s">
        <v>176</v>
      </c>
      <c r="S662">
        <v>0</v>
      </c>
      <c r="T662" t="s">
        <v>52</v>
      </c>
      <c r="U662">
        <v>0</v>
      </c>
      <c r="V662">
        <v>0</v>
      </c>
      <c r="W662">
        <v>400061</v>
      </c>
      <c r="AE662">
        <v>0</v>
      </c>
      <c r="AP662" t="s">
        <v>169</v>
      </c>
    </row>
    <row r="663" spans="1:42">
      <c r="A663" s="1" t="s">
        <v>46</v>
      </c>
      <c r="B663" s="1" t="s">
        <v>1461</v>
      </c>
      <c r="C663" s="1" t="s">
        <v>1461</v>
      </c>
      <c r="E663" s="4" t="s">
        <v>1462</v>
      </c>
      <c r="G663" s="16"/>
      <c r="I663">
        <v>0.9</v>
      </c>
      <c r="M663">
        <v>1</v>
      </c>
      <c r="N663">
        <v>-41</v>
      </c>
      <c r="O663">
        <v>0</v>
      </c>
      <c r="P663">
        <v>0.4</v>
      </c>
      <c r="Q663">
        <v>-16.399999999999999</v>
      </c>
      <c r="R663" t="s">
        <v>172</v>
      </c>
      <c r="S663">
        <v>0</v>
      </c>
      <c r="T663" t="s">
        <v>52</v>
      </c>
      <c r="U663">
        <v>0</v>
      </c>
      <c r="V663">
        <v>0</v>
      </c>
      <c r="W663">
        <v>400113</v>
      </c>
      <c r="AE663">
        <v>0</v>
      </c>
      <c r="AH663">
        <v>0.9</v>
      </c>
      <c r="AP663" t="s">
        <v>1409</v>
      </c>
    </row>
    <row r="664" spans="1:42">
      <c r="A664" s="1" t="s">
        <v>46</v>
      </c>
      <c r="B664" s="1" t="s">
        <v>1463</v>
      </c>
      <c r="C664" s="1" t="s">
        <v>1463</v>
      </c>
      <c r="E664" s="4" t="s">
        <v>1464</v>
      </c>
      <c r="G664" s="16"/>
      <c r="M664">
        <v>1</v>
      </c>
      <c r="N664">
        <v>37</v>
      </c>
      <c r="O664">
        <v>0</v>
      </c>
      <c r="P664">
        <v>1.25</v>
      </c>
      <c r="Q664">
        <v>46.25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400112</v>
      </c>
      <c r="AE664">
        <v>0</v>
      </c>
      <c r="AP664" t="s">
        <v>220</v>
      </c>
    </row>
    <row r="665" spans="1:42">
      <c r="A665" s="1" t="s">
        <v>46</v>
      </c>
      <c r="B665" s="1" t="s">
        <v>1465</v>
      </c>
      <c r="C665" s="1" t="s">
        <v>1465</v>
      </c>
      <c r="E665" s="4" t="s">
        <v>1466</v>
      </c>
      <c r="G665" s="16"/>
      <c r="M665">
        <v>1</v>
      </c>
      <c r="N665">
        <v>66</v>
      </c>
      <c r="O665">
        <v>0</v>
      </c>
      <c r="P665">
        <v>20</v>
      </c>
      <c r="Q665">
        <v>1320</v>
      </c>
      <c r="R665" t="s">
        <v>176</v>
      </c>
      <c r="S665">
        <v>0</v>
      </c>
      <c r="T665" t="s">
        <v>227</v>
      </c>
      <c r="U665">
        <v>0</v>
      </c>
      <c r="V665">
        <v>0</v>
      </c>
      <c r="W665">
        <v>400061</v>
      </c>
      <c r="X665" t="s">
        <v>56</v>
      </c>
      <c r="Y665" t="s">
        <v>57</v>
      </c>
      <c r="AE665">
        <v>0</v>
      </c>
      <c r="AP665" t="s">
        <v>169</v>
      </c>
    </row>
    <row r="666" spans="1:42">
      <c r="A666" s="1" t="s">
        <v>46</v>
      </c>
      <c r="B666" s="1" t="s">
        <v>1467</v>
      </c>
      <c r="C666" s="1" t="s">
        <v>1467</v>
      </c>
      <c r="E666" s="4" t="s">
        <v>1468</v>
      </c>
      <c r="G666" s="16"/>
      <c r="I666">
        <v>0.65</v>
      </c>
      <c r="M666">
        <v>1</v>
      </c>
      <c r="N666">
        <v>1</v>
      </c>
      <c r="O666">
        <v>0</v>
      </c>
      <c r="P666">
        <v>0.18</v>
      </c>
      <c r="Q666">
        <v>0.18</v>
      </c>
      <c r="R666" t="s">
        <v>172</v>
      </c>
      <c r="S666">
        <v>0</v>
      </c>
      <c r="T666" t="s">
        <v>52</v>
      </c>
      <c r="U666">
        <v>0</v>
      </c>
      <c r="V666">
        <v>0</v>
      </c>
      <c r="W666">
        <v>400036</v>
      </c>
      <c r="AE666">
        <v>0</v>
      </c>
      <c r="AH666">
        <v>0.65</v>
      </c>
      <c r="AP666" t="s">
        <v>315</v>
      </c>
    </row>
    <row r="667" spans="1:42">
      <c r="A667" s="1" t="s">
        <v>46</v>
      </c>
      <c r="B667" s="1" t="s">
        <v>1469</v>
      </c>
      <c r="C667" s="1" t="s">
        <v>1469</v>
      </c>
      <c r="E667" s="4" t="s">
        <v>1470</v>
      </c>
      <c r="G667" s="16">
        <v>2.75</v>
      </c>
      <c r="M667">
        <v>1</v>
      </c>
      <c r="N667">
        <v>92</v>
      </c>
      <c r="O667">
        <v>0</v>
      </c>
      <c r="P667">
        <v>0.9</v>
      </c>
      <c r="Q667">
        <v>82.8</v>
      </c>
      <c r="R667" t="s">
        <v>377</v>
      </c>
      <c r="S667">
        <v>0</v>
      </c>
      <c r="T667" t="s">
        <v>52</v>
      </c>
      <c r="U667">
        <v>0</v>
      </c>
      <c r="V667">
        <v>0</v>
      </c>
      <c r="W667">
        <v>400061</v>
      </c>
      <c r="X667" t="s">
        <v>56</v>
      </c>
      <c r="Y667" t="s">
        <v>57</v>
      </c>
      <c r="AE667">
        <v>0</v>
      </c>
      <c r="AP667" t="s">
        <v>169</v>
      </c>
    </row>
    <row r="668" spans="1:42">
      <c r="A668" s="1" t="s">
        <v>46</v>
      </c>
      <c r="B668" s="1" t="s">
        <v>1471</v>
      </c>
      <c r="C668" s="1" t="s">
        <v>1471</v>
      </c>
      <c r="E668" s="4" t="s">
        <v>1472</v>
      </c>
      <c r="G668" s="16">
        <v>0.2</v>
      </c>
      <c r="M668">
        <v>1</v>
      </c>
      <c r="N668">
        <v>334</v>
      </c>
      <c r="O668">
        <v>0</v>
      </c>
      <c r="P668">
        <v>0.9</v>
      </c>
      <c r="Q668">
        <v>300.60000000000002</v>
      </c>
      <c r="R668" t="s">
        <v>176</v>
      </c>
      <c r="S668">
        <v>0</v>
      </c>
      <c r="T668" t="s">
        <v>52</v>
      </c>
      <c r="U668">
        <v>0</v>
      </c>
      <c r="V668">
        <v>0</v>
      </c>
      <c r="W668">
        <v>400061</v>
      </c>
      <c r="X668" t="s">
        <v>56</v>
      </c>
      <c r="Y668" t="s">
        <v>57</v>
      </c>
      <c r="AE668">
        <v>0</v>
      </c>
      <c r="AP668" t="s">
        <v>169</v>
      </c>
    </row>
    <row r="669" spans="1:42">
      <c r="A669" s="1" t="s">
        <v>46</v>
      </c>
      <c r="B669" s="1" t="s">
        <v>1473</v>
      </c>
      <c r="C669" s="1" t="s">
        <v>1473</v>
      </c>
      <c r="E669" s="4" t="s">
        <v>1474</v>
      </c>
      <c r="G669" s="16">
        <v>0.25</v>
      </c>
      <c r="M669">
        <v>1</v>
      </c>
      <c r="N669">
        <v>-504</v>
      </c>
      <c r="O669">
        <v>0</v>
      </c>
      <c r="P669">
        <v>8</v>
      </c>
      <c r="Q669">
        <v>-4032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400033</v>
      </c>
      <c r="X669" t="s">
        <v>56</v>
      </c>
      <c r="Y669" t="s">
        <v>57</v>
      </c>
      <c r="AE669">
        <v>0</v>
      </c>
      <c r="AP669" t="s">
        <v>126</v>
      </c>
    </row>
    <row r="670" spans="1:42">
      <c r="A670" s="1" t="s">
        <v>46</v>
      </c>
      <c r="B670" s="1" t="s">
        <v>1475</v>
      </c>
      <c r="C670" s="1" t="s">
        <v>1475</v>
      </c>
      <c r="E670" s="4" t="s">
        <v>1476</v>
      </c>
      <c r="G670" s="16">
        <v>0.35</v>
      </c>
      <c r="M670">
        <v>1</v>
      </c>
      <c r="N670">
        <v>167</v>
      </c>
      <c r="O670">
        <v>0</v>
      </c>
      <c r="P670">
        <v>5</v>
      </c>
      <c r="Q670">
        <v>835</v>
      </c>
      <c r="R670">
        <v>0</v>
      </c>
      <c r="S670">
        <v>0</v>
      </c>
      <c r="T670" t="s">
        <v>52</v>
      </c>
      <c r="W670">
        <v>400028</v>
      </c>
      <c r="AE670">
        <v>0</v>
      </c>
      <c r="AP670" t="s">
        <v>246</v>
      </c>
    </row>
    <row r="671" spans="1:42">
      <c r="A671" s="1" t="s">
        <v>46</v>
      </c>
      <c r="B671" s="1" t="s">
        <v>1477</v>
      </c>
      <c r="C671" s="1" t="s">
        <v>1477</v>
      </c>
      <c r="E671" s="4" t="s">
        <v>1478</v>
      </c>
      <c r="G671" s="16">
        <v>0.5</v>
      </c>
      <c r="M671">
        <v>1</v>
      </c>
      <c r="N671">
        <v>-9</v>
      </c>
      <c r="O671">
        <v>0</v>
      </c>
      <c r="P671">
        <v>10</v>
      </c>
      <c r="Q671">
        <v>-90</v>
      </c>
      <c r="R671">
        <v>0</v>
      </c>
      <c r="S671">
        <v>0</v>
      </c>
      <c r="T671" t="s">
        <v>52</v>
      </c>
      <c r="W671">
        <v>400030</v>
      </c>
      <c r="AE671">
        <v>0</v>
      </c>
      <c r="AP671" t="s">
        <v>92</v>
      </c>
    </row>
    <row r="672" spans="1:42">
      <c r="A672" s="1" t="s">
        <v>46</v>
      </c>
      <c r="B672" s="1" t="s">
        <v>1479</v>
      </c>
      <c r="C672" s="1" t="s">
        <v>1479</v>
      </c>
      <c r="E672" s="4" t="s">
        <v>1480</v>
      </c>
      <c r="G672" s="16"/>
      <c r="M672">
        <v>1</v>
      </c>
      <c r="N672">
        <v>2988</v>
      </c>
      <c r="O672">
        <v>0</v>
      </c>
      <c r="P672">
        <v>0.32</v>
      </c>
      <c r="Q672">
        <v>955.11</v>
      </c>
      <c r="R672">
        <v>0</v>
      </c>
      <c r="S672">
        <v>0</v>
      </c>
      <c r="T672" t="s">
        <v>17</v>
      </c>
      <c r="U672">
        <v>0</v>
      </c>
      <c r="V672">
        <v>0</v>
      </c>
      <c r="W672">
        <v>400215</v>
      </c>
      <c r="AE672">
        <v>0</v>
      </c>
      <c r="AP672" t="s">
        <v>195</v>
      </c>
    </row>
    <row r="673" spans="1:42">
      <c r="A673" s="1" t="s">
        <v>46</v>
      </c>
      <c r="B673" s="1" t="s">
        <v>1481</v>
      </c>
      <c r="C673" s="1" t="s">
        <v>1481</v>
      </c>
      <c r="E673" s="4" t="s">
        <v>1482</v>
      </c>
      <c r="G673" s="16"/>
      <c r="M673">
        <v>1</v>
      </c>
      <c r="N673">
        <v>183</v>
      </c>
      <c r="O673">
        <v>0</v>
      </c>
      <c r="P673">
        <v>0.05</v>
      </c>
      <c r="Q673">
        <v>9.15</v>
      </c>
      <c r="R673">
        <v>0</v>
      </c>
      <c r="S673">
        <v>0</v>
      </c>
      <c r="T673" t="s">
        <v>17</v>
      </c>
      <c r="W673">
        <v>400017</v>
      </c>
      <c r="AE673">
        <v>0</v>
      </c>
      <c r="AP673" t="s">
        <v>49</v>
      </c>
    </row>
    <row r="674" spans="1:42">
      <c r="A674" s="1" t="s">
        <v>46</v>
      </c>
      <c r="B674" s="1" t="s">
        <v>1483</v>
      </c>
      <c r="C674" s="1" t="s">
        <v>1483</v>
      </c>
      <c r="E674" s="4" t="s">
        <v>1484</v>
      </c>
      <c r="G674" s="16">
        <v>0.2</v>
      </c>
      <c r="M674">
        <v>1</v>
      </c>
      <c r="N674">
        <v>-18</v>
      </c>
      <c r="O674">
        <v>0</v>
      </c>
      <c r="P674">
        <v>0.55000000000000004</v>
      </c>
      <c r="Q674">
        <v>-9.83</v>
      </c>
      <c r="R674" t="s">
        <v>176</v>
      </c>
      <c r="S674">
        <v>0</v>
      </c>
      <c r="T674" t="s">
        <v>52</v>
      </c>
      <c r="U674">
        <v>0</v>
      </c>
      <c r="V674">
        <v>0</v>
      </c>
      <c r="W674">
        <v>400038</v>
      </c>
      <c r="AE674">
        <v>0</v>
      </c>
      <c r="AP674" t="s">
        <v>1007</v>
      </c>
    </row>
    <row r="675" spans="1:42">
      <c r="A675" s="1" t="s">
        <v>46</v>
      </c>
      <c r="B675" s="1" t="s">
        <v>1485</v>
      </c>
      <c r="C675" s="1" t="s">
        <v>1485</v>
      </c>
      <c r="E675" s="4" t="s">
        <v>1486</v>
      </c>
      <c r="G675" s="16">
        <v>0.25</v>
      </c>
      <c r="M675">
        <v>1</v>
      </c>
      <c r="N675">
        <v>-4</v>
      </c>
      <c r="O675">
        <v>0</v>
      </c>
      <c r="P675">
        <v>1.45</v>
      </c>
      <c r="Q675">
        <v>-5.8</v>
      </c>
      <c r="R675" t="s">
        <v>377</v>
      </c>
      <c r="T675" t="s">
        <v>52</v>
      </c>
      <c r="W675">
        <v>400004</v>
      </c>
      <c r="AE675">
        <v>0</v>
      </c>
      <c r="AP675" t="s">
        <v>352</v>
      </c>
    </row>
    <row r="676" spans="1:42">
      <c r="A676" s="1" t="s">
        <v>46</v>
      </c>
      <c r="B676" s="1" t="s">
        <v>1487</v>
      </c>
      <c r="C676" s="1" t="s">
        <v>1487</v>
      </c>
      <c r="E676" s="4" t="s">
        <v>1488</v>
      </c>
      <c r="G676" s="16"/>
      <c r="M676">
        <v>1</v>
      </c>
      <c r="N676">
        <v>68</v>
      </c>
      <c r="O676">
        <v>0</v>
      </c>
      <c r="P676">
        <v>0.5</v>
      </c>
      <c r="Q676">
        <v>34</v>
      </c>
      <c r="R676">
        <v>0</v>
      </c>
      <c r="S676">
        <v>0</v>
      </c>
      <c r="T676" t="s">
        <v>52</v>
      </c>
      <c r="W676">
        <v>400116</v>
      </c>
      <c r="AE676">
        <v>0</v>
      </c>
      <c r="AP676" t="s">
        <v>513</v>
      </c>
    </row>
    <row r="677" spans="1:42">
      <c r="A677" s="1" t="s">
        <v>46</v>
      </c>
      <c r="B677" s="1" t="s">
        <v>1489</v>
      </c>
      <c r="C677" s="1" t="s">
        <v>1489</v>
      </c>
      <c r="E677" s="4" t="s">
        <v>1490</v>
      </c>
      <c r="G677" s="16"/>
      <c r="M677">
        <v>1</v>
      </c>
      <c r="N677">
        <v>-7</v>
      </c>
      <c r="O677">
        <v>0</v>
      </c>
      <c r="P677">
        <v>1</v>
      </c>
      <c r="Q677">
        <v>-7</v>
      </c>
      <c r="R677">
        <v>0</v>
      </c>
      <c r="S677">
        <v>0</v>
      </c>
      <c r="T677" t="s">
        <v>52</v>
      </c>
      <c r="W677">
        <v>400086</v>
      </c>
      <c r="AE677">
        <v>0</v>
      </c>
      <c r="AP677" t="s">
        <v>1491</v>
      </c>
    </row>
    <row r="678" spans="1:42">
      <c r="A678" s="1" t="s">
        <v>46</v>
      </c>
      <c r="B678" s="1" t="s">
        <v>1492</v>
      </c>
      <c r="C678" s="1" t="s">
        <v>1492</v>
      </c>
      <c r="E678" s="4" t="s">
        <v>1493</v>
      </c>
      <c r="G678" s="16"/>
      <c r="M678">
        <v>1</v>
      </c>
      <c r="N678">
        <v>-1</v>
      </c>
      <c r="O678">
        <v>0</v>
      </c>
      <c r="R678">
        <v>0</v>
      </c>
      <c r="S678">
        <v>0</v>
      </c>
      <c r="T678" t="s">
        <v>52</v>
      </c>
      <c r="U678">
        <v>0</v>
      </c>
      <c r="V678">
        <v>0</v>
      </c>
      <c r="W678">
        <v>400028</v>
      </c>
      <c r="AE678">
        <v>0</v>
      </c>
      <c r="AP678" t="s">
        <v>246</v>
      </c>
    </row>
    <row r="679" spans="1:42">
      <c r="A679" s="1" t="s">
        <v>46</v>
      </c>
      <c r="B679" s="1" t="s">
        <v>1494</v>
      </c>
      <c r="C679" s="1" t="s">
        <v>1494</v>
      </c>
      <c r="E679" s="4" t="s">
        <v>1495</v>
      </c>
      <c r="G679" s="16"/>
      <c r="M679">
        <v>1</v>
      </c>
      <c r="N679">
        <v>26</v>
      </c>
      <c r="O679">
        <v>0</v>
      </c>
      <c r="P679">
        <v>6</v>
      </c>
      <c r="Q679">
        <v>156</v>
      </c>
      <c r="R679">
        <v>0</v>
      </c>
      <c r="S679">
        <v>0</v>
      </c>
      <c r="T679" t="s">
        <v>52</v>
      </c>
      <c r="U679">
        <v>0</v>
      </c>
      <c r="V679">
        <v>0</v>
      </c>
      <c r="W679">
        <v>400028</v>
      </c>
      <c r="AE679">
        <v>0</v>
      </c>
      <c r="AP679" t="s">
        <v>246</v>
      </c>
    </row>
    <row r="680" spans="1:42">
      <c r="A680" s="1" t="s">
        <v>46</v>
      </c>
      <c r="B680" s="1" t="s">
        <v>1496</v>
      </c>
      <c r="C680" s="1" t="s">
        <v>1496</v>
      </c>
      <c r="E680" s="4" t="s">
        <v>1497</v>
      </c>
      <c r="G680" s="16"/>
      <c r="M680">
        <v>1</v>
      </c>
      <c r="N680">
        <v>57</v>
      </c>
      <c r="O680">
        <v>0</v>
      </c>
      <c r="P680">
        <v>8.09</v>
      </c>
      <c r="Q680">
        <v>460.84</v>
      </c>
      <c r="R680">
        <v>0</v>
      </c>
      <c r="S680">
        <v>0</v>
      </c>
      <c r="T680" t="s">
        <v>52</v>
      </c>
      <c r="W680">
        <v>400159</v>
      </c>
      <c r="AE680">
        <v>0</v>
      </c>
      <c r="AP680" t="s">
        <v>190</v>
      </c>
    </row>
    <row r="681" spans="1:42">
      <c r="A681" s="1" t="s">
        <v>46</v>
      </c>
      <c r="B681" s="1" t="s">
        <v>1498</v>
      </c>
      <c r="C681" s="1" t="s">
        <v>1498</v>
      </c>
      <c r="E681" s="4" t="s">
        <v>1499</v>
      </c>
      <c r="G681" s="16"/>
      <c r="M681">
        <v>1</v>
      </c>
      <c r="N681">
        <v>1</v>
      </c>
      <c r="O681">
        <v>0</v>
      </c>
      <c r="P681">
        <v>75</v>
      </c>
      <c r="Q681">
        <v>75</v>
      </c>
      <c r="W681">
        <v>400028</v>
      </c>
      <c r="AE681">
        <v>0</v>
      </c>
      <c r="AP681" t="s">
        <v>246</v>
      </c>
    </row>
    <row r="682" spans="1:42">
      <c r="A682" s="1" t="s">
        <v>46</v>
      </c>
      <c r="B682" s="1" t="s">
        <v>1500</v>
      </c>
      <c r="C682" s="1" t="s">
        <v>1500</v>
      </c>
      <c r="E682" s="4" t="s">
        <v>1501</v>
      </c>
      <c r="G682" s="16"/>
      <c r="I682">
        <v>4</v>
      </c>
      <c r="M682">
        <v>1</v>
      </c>
      <c r="N682">
        <v>1557</v>
      </c>
      <c r="O682">
        <v>0</v>
      </c>
      <c r="P682">
        <v>3.45</v>
      </c>
      <c r="Q682">
        <v>5371.65</v>
      </c>
      <c r="R682">
        <v>0</v>
      </c>
      <c r="S682">
        <v>0</v>
      </c>
      <c r="T682" t="s">
        <v>52</v>
      </c>
      <c r="U682">
        <v>0</v>
      </c>
      <c r="V682">
        <v>0</v>
      </c>
      <c r="W682">
        <v>400189</v>
      </c>
      <c r="AE682">
        <v>0</v>
      </c>
      <c r="AH682">
        <v>4</v>
      </c>
      <c r="AP682" t="s">
        <v>451</v>
      </c>
    </row>
    <row r="683" spans="1:42">
      <c r="A683" s="1" t="s">
        <v>46</v>
      </c>
      <c r="B683" s="1" t="s">
        <v>1502</v>
      </c>
      <c r="C683" s="1" t="s">
        <v>1502</v>
      </c>
      <c r="E683" s="4" t="s">
        <v>1503</v>
      </c>
      <c r="G683" s="16"/>
      <c r="I683">
        <v>7.5</v>
      </c>
      <c r="M683">
        <v>1</v>
      </c>
      <c r="N683">
        <v>1403</v>
      </c>
      <c r="O683">
        <v>0</v>
      </c>
      <c r="P683">
        <v>5.66</v>
      </c>
      <c r="Q683">
        <v>7943.24</v>
      </c>
      <c r="R683">
        <v>0</v>
      </c>
      <c r="S683">
        <v>0</v>
      </c>
      <c r="T683" t="s">
        <v>52</v>
      </c>
      <c r="U683">
        <v>0</v>
      </c>
      <c r="V683">
        <v>0</v>
      </c>
      <c r="W683">
        <v>400126</v>
      </c>
      <c r="AE683">
        <v>0</v>
      </c>
      <c r="AH683">
        <v>7.5</v>
      </c>
      <c r="AP683" t="s">
        <v>277</v>
      </c>
    </row>
    <row r="684" spans="1:42">
      <c r="A684" s="1" t="s">
        <v>46</v>
      </c>
      <c r="B684" s="1" t="s">
        <v>1504</v>
      </c>
      <c r="C684" s="1" t="s">
        <v>1504</v>
      </c>
      <c r="E684" s="4" t="s">
        <v>1505</v>
      </c>
      <c r="G684" s="16"/>
      <c r="M684">
        <v>1</v>
      </c>
      <c r="N684">
        <v>70</v>
      </c>
      <c r="O684">
        <v>0</v>
      </c>
      <c r="P684">
        <v>0.65</v>
      </c>
      <c r="Q684">
        <v>45.5</v>
      </c>
      <c r="R684">
        <v>0</v>
      </c>
      <c r="S684">
        <v>0</v>
      </c>
      <c r="T684" t="s">
        <v>52</v>
      </c>
      <c r="U684">
        <v>0</v>
      </c>
      <c r="V684">
        <v>0</v>
      </c>
      <c r="W684">
        <v>410120</v>
      </c>
      <c r="AE684">
        <v>0</v>
      </c>
      <c r="AP684" t="s">
        <v>112</v>
      </c>
    </row>
    <row r="685" spans="1:42">
      <c r="A685" s="1" t="s">
        <v>46</v>
      </c>
      <c r="B685" s="1" t="s">
        <v>1506</v>
      </c>
      <c r="C685" s="1" t="s">
        <v>1506</v>
      </c>
      <c r="E685" s="4" t="s">
        <v>1507</v>
      </c>
      <c r="G685" s="16"/>
      <c r="M685">
        <v>1</v>
      </c>
      <c r="N685">
        <v>10</v>
      </c>
      <c r="O685">
        <v>0</v>
      </c>
      <c r="P685">
        <v>9.9</v>
      </c>
      <c r="Q685">
        <v>98.99</v>
      </c>
      <c r="R685">
        <v>0</v>
      </c>
      <c r="S685">
        <v>0</v>
      </c>
      <c r="T685" t="s">
        <v>52</v>
      </c>
      <c r="W685">
        <v>400160</v>
      </c>
      <c r="AE685">
        <v>0</v>
      </c>
      <c r="AP685" t="s">
        <v>201</v>
      </c>
    </row>
    <row r="686" spans="1:42">
      <c r="A686" s="1" t="s">
        <v>46</v>
      </c>
      <c r="B686" s="1" t="s">
        <v>1508</v>
      </c>
      <c r="C686" s="1" t="s">
        <v>1508</v>
      </c>
      <c r="E686" s="4" t="s">
        <v>1509</v>
      </c>
      <c r="G686" s="16"/>
      <c r="M686">
        <v>1</v>
      </c>
      <c r="N686">
        <v>-4</v>
      </c>
      <c r="O686">
        <v>0</v>
      </c>
      <c r="P686">
        <v>0.85</v>
      </c>
      <c r="Q686">
        <v>-3.4</v>
      </c>
      <c r="R686">
        <v>0</v>
      </c>
      <c r="S686">
        <v>0</v>
      </c>
      <c r="T686" t="s">
        <v>52</v>
      </c>
      <c r="U686">
        <v>0</v>
      </c>
      <c r="V686">
        <v>0</v>
      </c>
      <c r="W686">
        <v>400004</v>
      </c>
      <c r="AE686">
        <v>0</v>
      </c>
      <c r="AP686" t="s">
        <v>352</v>
      </c>
    </row>
    <row r="687" spans="1:42">
      <c r="A687" s="1" t="s">
        <v>46</v>
      </c>
      <c r="B687" s="1" t="s">
        <v>1510</v>
      </c>
      <c r="C687" s="1" t="s">
        <v>1510</v>
      </c>
      <c r="E687" s="4" t="s">
        <v>1511</v>
      </c>
      <c r="G687" s="16"/>
      <c r="M687">
        <v>1</v>
      </c>
      <c r="N687">
        <v>356</v>
      </c>
      <c r="O687">
        <v>0</v>
      </c>
      <c r="P687">
        <v>0.6</v>
      </c>
      <c r="Q687">
        <v>213.6</v>
      </c>
      <c r="R687">
        <v>0</v>
      </c>
      <c r="S687">
        <v>0</v>
      </c>
      <c r="T687" t="s">
        <v>52</v>
      </c>
      <c r="W687">
        <v>400112</v>
      </c>
      <c r="AE687">
        <v>0</v>
      </c>
      <c r="AP687" t="s">
        <v>220</v>
      </c>
    </row>
    <row r="688" spans="1:42">
      <c r="A688" s="1" t="s">
        <v>46</v>
      </c>
      <c r="B688" s="1" t="s">
        <v>1512</v>
      </c>
      <c r="C688" s="1" t="s">
        <v>1512</v>
      </c>
      <c r="E688" s="4" t="s">
        <v>1513</v>
      </c>
      <c r="G688" s="16"/>
      <c r="M688">
        <v>1</v>
      </c>
      <c r="N688">
        <v>100</v>
      </c>
      <c r="O688">
        <v>0</v>
      </c>
      <c r="P688">
        <v>0.15</v>
      </c>
      <c r="Q688">
        <v>15</v>
      </c>
      <c r="R688">
        <v>0</v>
      </c>
      <c r="S688">
        <v>0</v>
      </c>
      <c r="T688" t="s">
        <v>52</v>
      </c>
      <c r="U688">
        <v>0</v>
      </c>
      <c r="V688">
        <v>0</v>
      </c>
      <c r="W688">
        <v>400033</v>
      </c>
      <c r="AE688">
        <v>0</v>
      </c>
      <c r="AP688" t="s">
        <v>126</v>
      </c>
    </row>
    <row r="689" spans="1:42">
      <c r="A689" s="1" t="s">
        <v>46</v>
      </c>
      <c r="B689" s="1" t="s">
        <v>1514</v>
      </c>
      <c r="C689" s="1" t="s">
        <v>1514</v>
      </c>
      <c r="E689" s="4" t="s">
        <v>1515</v>
      </c>
      <c r="G689" s="16">
        <v>1.5</v>
      </c>
      <c r="M689">
        <v>1</v>
      </c>
      <c r="N689">
        <v>1108</v>
      </c>
      <c r="O689">
        <v>0</v>
      </c>
      <c r="P689">
        <v>0.18</v>
      </c>
      <c r="Q689">
        <v>199.44</v>
      </c>
      <c r="R689">
        <v>0</v>
      </c>
      <c r="S689">
        <v>0</v>
      </c>
      <c r="T689" t="s">
        <v>52</v>
      </c>
      <c r="W689">
        <v>400186</v>
      </c>
      <c r="AE689">
        <v>0</v>
      </c>
      <c r="AP689" t="s">
        <v>120</v>
      </c>
    </row>
    <row r="690" spans="1:42">
      <c r="A690" s="1" t="s">
        <v>46</v>
      </c>
      <c r="B690" s="1" t="s">
        <v>1516</v>
      </c>
      <c r="C690" s="1" t="s">
        <v>1516</v>
      </c>
      <c r="E690" s="4" t="s">
        <v>1517</v>
      </c>
      <c r="G690" s="16"/>
      <c r="M690">
        <v>1</v>
      </c>
      <c r="N690">
        <v>20</v>
      </c>
      <c r="O690">
        <v>0</v>
      </c>
      <c r="P690">
        <v>1.5</v>
      </c>
      <c r="Q690">
        <v>30</v>
      </c>
      <c r="W690">
        <v>410260</v>
      </c>
      <c r="AE690">
        <v>0</v>
      </c>
      <c r="AP690" t="s">
        <v>198</v>
      </c>
    </row>
    <row r="691" spans="1:42">
      <c r="A691" s="1" t="s">
        <v>46</v>
      </c>
      <c r="B691" s="1" t="s">
        <v>1518</v>
      </c>
      <c r="C691" s="1" t="s">
        <v>1518</v>
      </c>
      <c r="E691" s="4" t="s">
        <v>1519</v>
      </c>
      <c r="G691" s="16">
        <v>1</v>
      </c>
      <c r="I691">
        <v>9000</v>
      </c>
      <c r="M691">
        <v>1</v>
      </c>
      <c r="N691">
        <v>500</v>
      </c>
      <c r="O691">
        <v>0</v>
      </c>
      <c r="P691">
        <v>5.14</v>
      </c>
      <c r="Q691">
        <v>2570.34</v>
      </c>
      <c r="R691">
        <v>0</v>
      </c>
      <c r="S691">
        <v>0</v>
      </c>
      <c r="T691" t="s">
        <v>52</v>
      </c>
      <c r="U691">
        <v>0</v>
      </c>
      <c r="V691">
        <v>0</v>
      </c>
      <c r="W691">
        <v>400160</v>
      </c>
      <c r="X691" t="s">
        <v>56</v>
      </c>
      <c r="Y691" t="s">
        <v>57</v>
      </c>
      <c r="AE691">
        <v>0</v>
      </c>
      <c r="AH691">
        <v>9000</v>
      </c>
      <c r="AP691" t="s">
        <v>201</v>
      </c>
    </row>
    <row r="692" spans="1:42">
      <c r="A692" s="1" t="s">
        <v>46</v>
      </c>
      <c r="B692" s="1" t="s">
        <v>1520</v>
      </c>
      <c r="C692" s="1" t="s">
        <v>1520</v>
      </c>
      <c r="E692" s="4" t="s">
        <v>1521</v>
      </c>
      <c r="G692" s="16"/>
      <c r="M692">
        <v>1</v>
      </c>
      <c r="N692">
        <v>-10</v>
      </c>
      <c r="O692">
        <v>0</v>
      </c>
      <c r="P692">
        <v>2.25</v>
      </c>
      <c r="Q692">
        <v>-22.5</v>
      </c>
      <c r="R692">
        <v>0</v>
      </c>
      <c r="S692">
        <v>0</v>
      </c>
      <c r="T692" t="s">
        <v>52</v>
      </c>
      <c r="W692">
        <v>400004</v>
      </c>
      <c r="AE692">
        <v>0</v>
      </c>
      <c r="AP692" t="s">
        <v>352</v>
      </c>
    </row>
    <row r="693" spans="1:42">
      <c r="A693" s="1" t="s">
        <v>46</v>
      </c>
      <c r="B693" s="1" t="s">
        <v>1522</v>
      </c>
      <c r="C693" s="1" t="s">
        <v>1522</v>
      </c>
      <c r="E693" s="4" t="s">
        <v>1523</v>
      </c>
      <c r="G693" s="16">
        <v>0.75</v>
      </c>
      <c r="M693">
        <v>1</v>
      </c>
      <c r="N693">
        <v>197</v>
      </c>
      <c r="O693">
        <v>0</v>
      </c>
      <c r="P693">
        <v>2.5</v>
      </c>
      <c r="Q693">
        <v>492.5</v>
      </c>
      <c r="R693">
        <v>0</v>
      </c>
      <c r="S693">
        <v>0</v>
      </c>
      <c r="T693" t="s">
        <v>52</v>
      </c>
      <c r="U693">
        <v>0</v>
      </c>
      <c r="V693">
        <v>0</v>
      </c>
      <c r="W693">
        <v>400028</v>
      </c>
      <c r="X693" t="s">
        <v>56</v>
      </c>
      <c r="Y693" t="s">
        <v>57</v>
      </c>
      <c r="AE693">
        <v>0</v>
      </c>
      <c r="AP693" t="s">
        <v>246</v>
      </c>
    </row>
    <row r="694" spans="1:42">
      <c r="A694" s="1" t="s">
        <v>46</v>
      </c>
      <c r="B694" s="1" t="s">
        <v>1524</v>
      </c>
      <c r="C694" s="1" t="s">
        <v>1524</v>
      </c>
      <c r="E694" s="4" t="s">
        <v>1525</v>
      </c>
      <c r="G694" s="16"/>
      <c r="M694">
        <v>1</v>
      </c>
      <c r="N694">
        <v>-3315</v>
      </c>
      <c r="O694">
        <v>0</v>
      </c>
      <c r="P694">
        <v>4.6500000000000004</v>
      </c>
      <c r="Q694">
        <v>-15414.75</v>
      </c>
      <c r="R694">
        <v>0</v>
      </c>
      <c r="S694">
        <v>0</v>
      </c>
      <c r="T694" t="s">
        <v>52</v>
      </c>
      <c r="U694">
        <v>0</v>
      </c>
      <c r="V694">
        <v>0</v>
      </c>
      <c r="W694">
        <v>400190</v>
      </c>
      <c r="AE694">
        <v>0</v>
      </c>
      <c r="AP694" t="s">
        <v>286</v>
      </c>
    </row>
    <row r="695" spans="1:42">
      <c r="A695" s="1" t="s">
        <v>46</v>
      </c>
      <c r="B695" s="1" t="s">
        <v>1526</v>
      </c>
      <c r="C695" s="1" t="s">
        <v>1526</v>
      </c>
      <c r="E695" s="4" t="s">
        <v>1527</v>
      </c>
      <c r="G695" s="16">
        <v>0.35</v>
      </c>
      <c r="M695">
        <v>1</v>
      </c>
      <c r="N695">
        <v>-1</v>
      </c>
      <c r="O695">
        <v>0</v>
      </c>
      <c r="P695">
        <v>36.78</v>
      </c>
      <c r="Q695">
        <v>-36.78</v>
      </c>
      <c r="R695">
        <v>0</v>
      </c>
      <c r="S695">
        <v>0</v>
      </c>
      <c r="T695" t="s">
        <v>52</v>
      </c>
      <c r="W695">
        <v>400094</v>
      </c>
      <c r="AE695">
        <v>0</v>
      </c>
      <c r="AP695" t="s">
        <v>1528</v>
      </c>
    </row>
    <row r="696" spans="1:42">
      <c r="A696" s="1" t="s">
        <v>46</v>
      </c>
      <c r="B696" s="1" t="s">
        <v>1529</v>
      </c>
      <c r="C696" s="1" t="s">
        <v>1529</v>
      </c>
      <c r="E696" s="4" t="s">
        <v>1530</v>
      </c>
      <c r="G696" s="16"/>
      <c r="I696">
        <v>0.9</v>
      </c>
      <c r="M696">
        <v>1</v>
      </c>
      <c r="N696">
        <v>32.5</v>
      </c>
      <c r="O696">
        <v>0</v>
      </c>
      <c r="P696">
        <v>3.52</v>
      </c>
      <c r="Q696">
        <v>114.37</v>
      </c>
      <c r="R696" t="s">
        <v>172</v>
      </c>
      <c r="S696">
        <v>0</v>
      </c>
      <c r="T696" t="s">
        <v>209</v>
      </c>
      <c r="U696">
        <v>0</v>
      </c>
      <c r="V696">
        <v>0</v>
      </c>
      <c r="W696">
        <v>400166</v>
      </c>
      <c r="AE696">
        <v>0</v>
      </c>
      <c r="AH696">
        <v>0.9</v>
      </c>
      <c r="AP696" t="s">
        <v>540</v>
      </c>
    </row>
    <row r="697" spans="1:42">
      <c r="A697" s="1" t="s">
        <v>46</v>
      </c>
      <c r="B697" s="1" t="s">
        <v>1531</v>
      </c>
      <c r="C697" s="1" t="s">
        <v>1531</v>
      </c>
      <c r="E697" s="4" t="s">
        <v>1532</v>
      </c>
      <c r="G697" s="16">
        <v>2</v>
      </c>
      <c r="I697">
        <v>4.03</v>
      </c>
      <c r="M697">
        <v>1</v>
      </c>
      <c r="N697">
        <v>43.25</v>
      </c>
      <c r="O697">
        <v>0</v>
      </c>
      <c r="P697">
        <v>14</v>
      </c>
      <c r="Q697">
        <v>605.5</v>
      </c>
      <c r="R697" t="s">
        <v>212</v>
      </c>
      <c r="S697">
        <v>0</v>
      </c>
      <c r="T697" t="s">
        <v>209</v>
      </c>
      <c r="U697">
        <v>0</v>
      </c>
      <c r="V697">
        <v>0</v>
      </c>
      <c r="W697">
        <v>400112</v>
      </c>
      <c r="AE697">
        <v>0</v>
      </c>
      <c r="AH697">
        <v>4.03</v>
      </c>
      <c r="AP697" t="s">
        <v>220</v>
      </c>
    </row>
    <row r="698" spans="1:42">
      <c r="A698" s="1" t="s">
        <v>46</v>
      </c>
      <c r="B698" s="1" t="s">
        <v>1533</v>
      </c>
      <c r="C698" s="1" t="s">
        <v>1533</v>
      </c>
      <c r="E698" s="4" t="s">
        <v>1534</v>
      </c>
      <c r="G698" s="16"/>
      <c r="I698">
        <v>3.26</v>
      </c>
      <c r="M698">
        <v>1</v>
      </c>
      <c r="N698">
        <v>23</v>
      </c>
      <c r="O698">
        <v>0</v>
      </c>
      <c r="P698">
        <v>13.76</v>
      </c>
      <c r="Q698">
        <v>316.57</v>
      </c>
      <c r="R698" t="s">
        <v>536</v>
      </c>
      <c r="S698">
        <v>0</v>
      </c>
      <c r="T698" t="s">
        <v>209</v>
      </c>
      <c r="U698">
        <v>0</v>
      </c>
      <c r="V698">
        <v>0</v>
      </c>
      <c r="W698">
        <v>400023</v>
      </c>
      <c r="AE698">
        <v>0</v>
      </c>
      <c r="AH698">
        <v>3.26</v>
      </c>
      <c r="AP698" t="s">
        <v>369</v>
      </c>
    </row>
    <row r="699" spans="1:42">
      <c r="A699" s="1" t="s">
        <v>46</v>
      </c>
      <c r="B699" s="1" t="s">
        <v>1535</v>
      </c>
      <c r="C699" s="1" t="s">
        <v>1535</v>
      </c>
      <c r="E699" s="4" t="s">
        <v>1536</v>
      </c>
      <c r="G699" s="16"/>
      <c r="M699">
        <v>1</v>
      </c>
      <c r="N699">
        <v>26</v>
      </c>
      <c r="O699">
        <v>0</v>
      </c>
      <c r="P699">
        <v>19</v>
      </c>
      <c r="Q699">
        <v>494</v>
      </c>
      <c r="R699" t="s">
        <v>241</v>
      </c>
      <c r="S699">
        <v>0</v>
      </c>
      <c r="T699" t="s">
        <v>52</v>
      </c>
      <c r="U699">
        <v>0</v>
      </c>
      <c r="V699">
        <v>0</v>
      </c>
      <c r="W699">
        <v>400112</v>
      </c>
      <c r="AE699">
        <v>0</v>
      </c>
      <c r="AP699" t="s">
        <v>220</v>
      </c>
    </row>
    <row r="700" spans="1:42">
      <c r="A700" s="1" t="s">
        <v>46</v>
      </c>
      <c r="B700" s="1" t="s">
        <v>1537</v>
      </c>
      <c r="C700" s="1" t="s">
        <v>1537</v>
      </c>
      <c r="E700" s="4" t="s">
        <v>1538</v>
      </c>
      <c r="G700" s="16"/>
      <c r="M700">
        <v>1</v>
      </c>
      <c r="N700">
        <v>56</v>
      </c>
      <c r="O700">
        <v>0</v>
      </c>
      <c r="P700">
        <v>2.6</v>
      </c>
      <c r="Q700">
        <v>145.6</v>
      </c>
      <c r="R700">
        <v>0</v>
      </c>
      <c r="S700">
        <v>0</v>
      </c>
      <c r="T700" t="s">
        <v>52</v>
      </c>
      <c r="U700">
        <v>0</v>
      </c>
      <c r="V700">
        <v>0</v>
      </c>
      <c r="W700">
        <v>400028</v>
      </c>
      <c r="X700" t="s">
        <v>56</v>
      </c>
      <c r="Y700" t="s">
        <v>57</v>
      </c>
      <c r="AE700">
        <v>0</v>
      </c>
      <c r="AP700" t="s">
        <v>246</v>
      </c>
    </row>
    <row r="701" spans="1:42">
      <c r="A701" s="1" t="s">
        <v>46</v>
      </c>
      <c r="B701" s="1" t="s">
        <v>1539</v>
      </c>
      <c r="C701" s="1" t="s">
        <v>1539</v>
      </c>
      <c r="E701" s="4" t="s">
        <v>1540</v>
      </c>
      <c r="G701" s="16">
        <v>0.5</v>
      </c>
      <c r="I701">
        <v>0.6</v>
      </c>
      <c r="M701">
        <v>1</v>
      </c>
      <c r="N701">
        <v>-4</v>
      </c>
      <c r="O701">
        <v>0</v>
      </c>
      <c r="P701">
        <v>0.25</v>
      </c>
      <c r="Q701">
        <v>-1</v>
      </c>
      <c r="R701" t="s">
        <v>172</v>
      </c>
      <c r="S701">
        <v>0</v>
      </c>
      <c r="T701" t="s">
        <v>52</v>
      </c>
      <c r="U701">
        <v>0</v>
      </c>
      <c r="V701">
        <v>0</v>
      </c>
      <c r="W701">
        <v>400036</v>
      </c>
      <c r="AE701">
        <v>0</v>
      </c>
      <c r="AH701">
        <v>0.6</v>
      </c>
      <c r="AP701" t="s">
        <v>315</v>
      </c>
    </row>
    <row r="702" spans="1:42">
      <c r="A702" s="1" t="s">
        <v>46</v>
      </c>
      <c r="B702" s="1" t="s">
        <v>1541</v>
      </c>
      <c r="C702" s="1" t="s">
        <v>1541</v>
      </c>
      <c r="E702" s="4" t="s">
        <v>1542</v>
      </c>
      <c r="G702" s="16"/>
      <c r="I702">
        <v>0.6</v>
      </c>
      <c r="M702">
        <v>1</v>
      </c>
      <c r="N702">
        <v>-1</v>
      </c>
      <c r="O702">
        <v>0</v>
      </c>
      <c r="P702">
        <v>0.15</v>
      </c>
      <c r="Q702">
        <v>-0.15</v>
      </c>
      <c r="R702" t="s">
        <v>172</v>
      </c>
      <c r="S702">
        <v>0</v>
      </c>
      <c r="T702" t="s">
        <v>52</v>
      </c>
      <c r="U702">
        <v>0</v>
      </c>
      <c r="V702">
        <v>0</v>
      </c>
      <c r="W702">
        <v>400036</v>
      </c>
      <c r="AE702">
        <v>0</v>
      </c>
      <c r="AH702">
        <v>0.6</v>
      </c>
      <c r="AP702" t="s">
        <v>315</v>
      </c>
    </row>
    <row r="703" spans="1:42">
      <c r="A703" s="1" t="s">
        <v>46</v>
      </c>
      <c r="B703" s="1" t="s">
        <v>1543</v>
      </c>
      <c r="C703" s="1" t="s">
        <v>1543</v>
      </c>
      <c r="E703" s="4" t="s">
        <v>1544</v>
      </c>
      <c r="G703" s="16"/>
      <c r="M703">
        <v>1</v>
      </c>
      <c r="N703">
        <v>39</v>
      </c>
      <c r="O703">
        <v>0</v>
      </c>
      <c r="P703">
        <v>0.8</v>
      </c>
      <c r="Q703">
        <v>31.4</v>
      </c>
      <c r="R703" t="s">
        <v>176</v>
      </c>
      <c r="S703">
        <v>0</v>
      </c>
      <c r="T703" t="s">
        <v>52</v>
      </c>
      <c r="U703">
        <v>0</v>
      </c>
      <c r="V703">
        <v>0</v>
      </c>
      <c r="W703">
        <v>400061</v>
      </c>
      <c r="AE703">
        <v>0</v>
      </c>
      <c r="AP703" t="s">
        <v>169</v>
      </c>
    </row>
    <row r="704" spans="1:42">
      <c r="A704" s="1" t="s">
        <v>46</v>
      </c>
      <c r="B704" s="1" t="s">
        <v>1545</v>
      </c>
      <c r="C704" s="1" t="s">
        <v>1545</v>
      </c>
      <c r="E704" s="4" t="s">
        <v>1546</v>
      </c>
      <c r="G704" s="16">
        <v>2.5</v>
      </c>
      <c r="M704">
        <v>1</v>
      </c>
      <c r="N704">
        <v>-4.5</v>
      </c>
      <c r="O704">
        <v>0</v>
      </c>
      <c r="P704">
        <v>19</v>
      </c>
      <c r="Q704">
        <v>-85.5</v>
      </c>
      <c r="W704">
        <v>400061</v>
      </c>
      <c r="AE704">
        <v>0</v>
      </c>
      <c r="AP704" t="s">
        <v>169</v>
      </c>
    </row>
    <row r="705" spans="1:42">
      <c r="A705" s="1" t="s">
        <v>46</v>
      </c>
      <c r="B705" s="1" t="s">
        <v>1547</v>
      </c>
      <c r="C705" s="1" t="s">
        <v>1547</v>
      </c>
      <c r="E705" s="4" t="s">
        <v>1548</v>
      </c>
      <c r="G705" s="16">
        <v>0.35</v>
      </c>
      <c r="M705">
        <v>1</v>
      </c>
      <c r="N705">
        <v>93</v>
      </c>
      <c r="O705">
        <v>0</v>
      </c>
      <c r="P705">
        <v>40</v>
      </c>
      <c r="Q705">
        <v>3720</v>
      </c>
      <c r="R705" t="s">
        <v>176</v>
      </c>
      <c r="S705">
        <v>0</v>
      </c>
      <c r="T705" t="s">
        <v>227</v>
      </c>
      <c r="U705">
        <v>0</v>
      </c>
      <c r="V705">
        <v>0</v>
      </c>
      <c r="W705">
        <v>400061</v>
      </c>
      <c r="X705" t="s">
        <v>56</v>
      </c>
      <c r="Y705" t="s">
        <v>57</v>
      </c>
      <c r="AE705">
        <v>0</v>
      </c>
      <c r="AP705" t="s">
        <v>169</v>
      </c>
    </row>
    <row r="706" spans="1:42">
      <c r="A706" s="1" t="s">
        <v>46</v>
      </c>
      <c r="B706" s="1" t="s">
        <v>1549</v>
      </c>
      <c r="C706" s="1" t="s">
        <v>1549</v>
      </c>
      <c r="E706" s="4" t="s">
        <v>1550</v>
      </c>
      <c r="G706" s="16">
        <v>7</v>
      </c>
      <c r="M706">
        <v>1</v>
      </c>
      <c r="N706">
        <v>288</v>
      </c>
      <c r="O706">
        <v>0</v>
      </c>
      <c r="P706">
        <v>26.5</v>
      </c>
      <c r="Q706">
        <v>7632</v>
      </c>
      <c r="R706" t="s">
        <v>176</v>
      </c>
      <c r="S706">
        <v>0</v>
      </c>
      <c r="T706" t="s">
        <v>227</v>
      </c>
      <c r="U706">
        <v>0</v>
      </c>
      <c r="V706">
        <v>0</v>
      </c>
      <c r="W706">
        <v>400061</v>
      </c>
      <c r="X706" t="s">
        <v>56</v>
      </c>
      <c r="Y706" t="s">
        <v>57</v>
      </c>
      <c r="AE706">
        <v>0</v>
      </c>
      <c r="AP706" t="s">
        <v>169</v>
      </c>
    </row>
    <row r="707" spans="1:42">
      <c r="A707" s="1" t="s">
        <v>46</v>
      </c>
      <c r="B707" s="1" t="s">
        <v>1551</v>
      </c>
      <c r="C707" s="1" t="s">
        <v>1551</v>
      </c>
      <c r="E707" s="4" t="s">
        <v>1552</v>
      </c>
      <c r="G707" s="16">
        <v>8</v>
      </c>
      <c r="M707">
        <v>1</v>
      </c>
      <c r="N707">
        <v>75</v>
      </c>
      <c r="O707">
        <v>0</v>
      </c>
      <c r="P707">
        <v>26</v>
      </c>
      <c r="Q707">
        <v>1950</v>
      </c>
      <c r="R707" t="s">
        <v>241</v>
      </c>
      <c r="S707">
        <v>0</v>
      </c>
      <c r="T707" t="s">
        <v>209</v>
      </c>
      <c r="U707">
        <v>0</v>
      </c>
      <c r="V707">
        <v>0</v>
      </c>
      <c r="W707">
        <v>400061</v>
      </c>
      <c r="X707" t="s">
        <v>56</v>
      </c>
      <c r="Y707" t="s">
        <v>57</v>
      </c>
      <c r="AE707">
        <v>0</v>
      </c>
      <c r="AP707" t="s">
        <v>169</v>
      </c>
    </row>
    <row r="708" spans="1:42">
      <c r="A708" s="1" t="s">
        <v>46</v>
      </c>
      <c r="B708" s="1" t="s">
        <v>1553</v>
      </c>
      <c r="C708" s="1" t="s">
        <v>1553</v>
      </c>
      <c r="E708" s="4" t="s">
        <v>1554</v>
      </c>
      <c r="G708" s="16">
        <v>10</v>
      </c>
      <c r="M708">
        <v>1</v>
      </c>
      <c r="N708">
        <v>23</v>
      </c>
      <c r="O708">
        <v>0</v>
      </c>
      <c r="P708">
        <v>32.299999999999997</v>
      </c>
      <c r="Q708">
        <v>742.9</v>
      </c>
      <c r="R708" t="s">
        <v>377</v>
      </c>
      <c r="S708">
        <v>0</v>
      </c>
      <c r="T708">
        <v>0</v>
      </c>
      <c r="U708">
        <v>0</v>
      </c>
      <c r="V708">
        <v>0</v>
      </c>
      <c r="W708">
        <v>400046</v>
      </c>
      <c r="X708" t="s">
        <v>56</v>
      </c>
      <c r="Y708" t="s">
        <v>57</v>
      </c>
      <c r="AE708">
        <v>0</v>
      </c>
      <c r="AP708" t="s">
        <v>407</v>
      </c>
    </row>
    <row r="709" spans="1:42">
      <c r="A709" s="1" t="s">
        <v>46</v>
      </c>
      <c r="B709" s="1" t="s">
        <v>1555</v>
      </c>
      <c r="C709" s="1" t="s">
        <v>1555</v>
      </c>
      <c r="E709" s="4" t="s">
        <v>1556</v>
      </c>
      <c r="G709" s="16"/>
      <c r="I709">
        <v>7500</v>
      </c>
      <c r="M709">
        <v>1</v>
      </c>
      <c r="N709">
        <v>142</v>
      </c>
      <c r="O709">
        <v>0</v>
      </c>
      <c r="P709">
        <v>3</v>
      </c>
      <c r="Q709">
        <v>426</v>
      </c>
      <c r="R709">
        <v>0</v>
      </c>
      <c r="S709">
        <v>0</v>
      </c>
      <c r="T709" t="s">
        <v>52</v>
      </c>
      <c r="U709">
        <v>0</v>
      </c>
      <c r="V709">
        <v>0</v>
      </c>
      <c r="W709">
        <v>400042</v>
      </c>
      <c r="AE709">
        <v>0</v>
      </c>
      <c r="AH709">
        <v>7500</v>
      </c>
      <c r="AP709" t="s">
        <v>154</v>
      </c>
    </row>
    <row r="710" spans="1:42">
      <c r="A710" s="1" t="s">
        <v>46</v>
      </c>
      <c r="B710" s="1" t="s">
        <v>1557</v>
      </c>
      <c r="C710" s="1" t="s">
        <v>1557</v>
      </c>
      <c r="E710" s="4" t="s">
        <v>1558</v>
      </c>
      <c r="G710" s="16"/>
      <c r="I710">
        <v>0.5</v>
      </c>
      <c r="M710">
        <v>1</v>
      </c>
      <c r="N710">
        <v>-60</v>
      </c>
      <c r="O710">
        <v>0</v>
      </c>
      <c r="P710">
        <v>0.25</v>
      </c>
      <c r="Q710">
        <v>-15</v>
      </c>
      <c r="R710" t="s">
        <v>172</v>
      </c>
      <c r="S710">
        <v>0</v>
      </c>
      <c r="T710" t="s">
        <v>52</v>
      </c>
      <c r="U710">
        <v>0</v>
      </c>
      <c r="V710">
        <v>0</v>
      </c>
      <c r="W710">
        <v>400035</v>
      </c>
      <c r="AE710">
        <v>0</v>
      </c>
      <c r="AH710">
        <v>0.5</v>
      </c>
      <c r="AP710" t="s">
        <v>784</v>
      </c>
    </row>
    <row r="711" spans="1:42">
      <c r="A711" s="1" t="s">
        <v>46</v>
      </c>
      <c r="B711" s="1" t="s">
        <v>1559</v>
      </c>
      <c r="C711" s="1" t="s">
        <v>1559</v>
      </c>
      <c r="E711" s="4" t="s">
        <v>1560</v>
      </c>
      <c r="G711" s="16"/>
      <c r="M711">
        <v>1</v>
      </c>
      <c r="N711">
        <v>1432</v>
      </c>
      <c r="O711">
        <v>0</v>
      </c>
      <c r="P711">
        <v>0.46</v>
      </c>
      <c r="Q711">
        <v>658.72</v>
      </c>
      <c r="R711" t="s">
        <v>176</v>
      </c>
      <c r="S711">
        <v>0</v>
      </c>
      <c r="T711" t="s">
        <v>52</v>
      </c>
      <c r="U711">
        <v>0</v>
      </c>
      <c r="V711">
        <v>0</v>
      </c>
      <c r="W711">
        <v>400061</v>
      </c>
      <c r="X711" t="s">
        <v>56</v>
      </c>
      <c r="Y711" t="s">
        <v>57</v>
      </c>
      <c r="AE711">
        <v>0</v>
      </c>
      <c r="AP711" t="s">
        <v>169</v>
      </c>
    </row>
    <row r="712" spans="1:42">
      <c r="A712" s="1" t="s">
        <v>46</v>
      </c>
      <c r="B712" s="1" t="s">
        <v>1561</v>
      </c>
      <c r="C712" s="1" t="s">
        <v>1561</v>
      </c>
      <c r="E712" s="4" t="s">
        <v>1562</v>
      </c>
      <c r="G712" s="16">
        <v>5.5</v>
      </c>
      <c r="M712">
        <v>1</v>
      </c>
      <c r="N712">
        <v>-50</v>
      </c>
      <c r="O712">
        <v>0</v>
      </c>
      <c r="P712">
        <v>1.9</v>
      </c>
      <c r="Q712">
        <v>-95</v>
      </c>
      <c r="R712">
        <v>0</v>
      </c>
      <c r="S712">
        <v>0</v>
      </c>
      <c r="T712" t="s">
        <v>52</v>
      </c>
      <c r="W712">
        <v>400029</v>
      </c>
      <c r="AE712">
        <v>0</v>
      </c>
      <c r="AP712" t="s">
        <v>206</v>
      </c>
    </row>
    <row r="713" spans="1:42">
      <c r="A713" s="1" t="s">
        <v>46</v>
      </c>
      <c r="B713" s="1" t="s">
        <v>1563</v>
      </c>
      <c r="C713" s="1" t="s">
        <v>1563</v>
      </c>
      <c r="E713" s="4" t="s">
        <v>1564</v>
      </c>
      <c r="G713" s="16">
        <v>2.5</v>
      </c>
      <c r="I713">
        <v>0.5</v>
      </c>
      <c r="M713">
        <v>1</v>
      </c>
      <c r="N713">
        <v>-23</v>
      </c>
      <c r="O713">
        <v>0</v>
      </c>
      <c r="P713">
        <v>0.14000000000000001</v>
      </c>
      <c r="Q713">
        <v>-3.29</v>
      </c>
      <c r="R713" t="s">
        <v>172</v>
      </c>
      <c r="S713">
        <v>0</v>
      </c>
      <c r="T713" t="s">
        <v>52</v>
      </c>
      <c r="U713">
        <v>0</v>
      </c>
      <c r="V713">
        <v>0</v>
      </c>
      <c r="W713">
        <v>400036</v>
      </c>
      <c r="AE713">
        <v>0</v>
      </c>
      <c r="AH713">
        <v>0.5</v>
      </c>
      <c r="AP713" t="s">
        <v>315</v>
      </c>
    </row>
    <row r="714" spans="1:42">
      <c r="A714" s="1" t="s">
        <v>46</v>
      </c>
      <c r="B714" s="1" t="s">
        <v>1565</v>
      </c>
      <c r="C714" s="1" t="s">
        <v>1565</v>
      </c>
      <c r="E714" s="4" t="s">
        <v>1566</v>
      </c>
      <c r="G714" s="16">
        <v>6.5</v>
      </c>
      <c r="M714">
        <v>1</v>
      </c>
      <c r="N714">
        <v>-52</v>
      </c>
      <c r="O714">
        <v>0</v>
      </c>
      <c r="P714">
        <v>0.55000000000000004</v>
      </c>
      <c r="Q714">
        <v>-28.6</v>
      </c>
      <c r="R714">
        <v>0</v>
      </c>
      <c r="S714">
        <v>0</v>
      </c>
      <c r="T714" t="s">
        <v>52</v>
      </c>
      <c r="U714">
        <v>0</v>
      </c>
      <c r="V714">
        <v>0</v>
      </c>
      <c r="W714">
        <v>400004</v>
      </c>
      <c r="AE714">
        <v>0</v>
      </c>
      <c r="AP714" t="s">
        <v>352</v>
      </c>
    </row>
    <row r="715" spans="1:42">
      <c r="A715" s="1" t="s">
        <v>46</v>
      </c>
      <c r="B715" s="1" t="s">
        <v>1567</v>
      </c>
      <c r="C715" s="1" t="s">
        <v>1567</v>
      </c>
      <c r="E715" s="4" t="s">
        <v>1568</v>
      </c>
      <c r="G715" s="16">
        <v>2</v>
      </c>
      <c r="M715">
        <v>1</v>
      </c>
      <c r="N715">
        <v>1307</v>
      </c>
      <c r="O715">
        <v>0</v>
      </c>
      <c r="P715">
        <v>0.65</v>
      </c>
      <c r="Q715">
        <v>849.55</v>
      </c>
      <c r="R715">
        <v>0</v>
      </c>
      <c r="S715">
        <v>0</v>
      </c>
      <c r="T715" t="s">
        <v>52</v>
      </c>
      <c r="W715">
        <v>400112</v>
      </c>
      <c r="AE715">
        <v>0</v>
      </c>
      <c r="AP715" t="s">
        <v>220</v>
      </c>
    </row>
    <row r="716" spans="1:42">
      <c r="A716" s="1" t="s">
        <v>46</v>
      </c>
      <c r="B716" s="1" t="s">
        <v>1569</v>
      </c>
      <c r="C716" s="1" t="s">
        <v>1569</v>
      </c>
      <c r="E716" s="4" t="s">
        <v>1570</v>
      </c>
      <c r="G716" s="16">
        <v>2.75</v>
      </c>
      <c r="M716">
        <v>1</v>
      </c>
      <c r="N716">
        <v>145</v>
      </c>
      <c r="O716">
        <v>0</v>
      </c>
      <c r="P716">
        <v>0.75</v>
      </c>
      <c r="Q716">
        <v>108.75</v>
      </c>
      <c r="R716">
        <v>0</v>
      </c>
      <c r="S716">
        <v>0</v>
      </c>
      <c r="T716" t="s">
        <v>52</v>
      </c>
      <c r="W716">
        <v>400045</v>
      </c>
      <c r="AE716">
        <v>0</v>
      </c>
      <c r="AP716" t="s">
        <v>217</v>
      </c>
    </row>
    <row r="717" spans="1:42">
      <c r="A717" s="1" t="s">
        <v>46</v>
      </c>
      <c r="B717" s="1" t="s">
        <v>1571</v>
      </c>
      <c r="C717" s="1" t="s">
        <v>1571</v>
      </c>
      <c r="E717" s="4" t="s">
        <v>1572</v>
      </c>
      <c r="G717" s="16">
        <v>3</v>
      </c>
      <c r="M717">
        <v>1</v>
      </c>
      <c r="N717">
        <v>-68</v>
      </c>
      <c r="O717">
        <v>0</v>
      </c>
      <c r="P717">
        <v>0.35</v>
      </c>
      <c r="Q717">
        <v>-23.8</v>
      </c>
      <c r="R717">
        <v>0</v>
      </c>
      <c r="S717">
        <v>0</v>
      </c>
      <c r="T717" t="s">
        <v>52</v>
      </c>
      <c r="U717">
        <v>0</v>
      </c>
      <c r="V717">
        <v>0</v>
      </c>
      <c r="W717">
        <v>400102</v>
      </c>
      <c r="AE717">
        <v>0</v>
      </c>
      <c r="AP717" t="s">
        <v>547</v>
      </c>
    </row>
    <row r="718" spans="1:42">
      <c r="A718" s="1" t="s">
        <v>46</v>
      </c>
      <c r="B718" s="1" t="s">
        <v>1573</v>
      </c>
      <c r="C718" s="1" t="s">
        <v>1573</v>
      </c>
      <c r="E718" s="4" t="s">
        <v>1574</v>
      </c>
      <c r="G718" s="16">
        <v>3</v>
      </c>
      <c r="M718">
        <v>1</v>
      </c>
      <c r="N718">
        <v>-45</v>
      </c>
      <c r="O718">
        <v>0</v>
      </c>
      <c r="P718">
        <v>3.75</v>
      </c>
      <c r="Q718">
        <v>-168.75</v>
      </c>
      <c r="R718">
        <v>0</v>
      </c>
      <c r="S718">
        <v>0</v>
      </c>
      <c r="T718" t="s">
        <v>52</v>
      </c>
      <c r="W718">
        <v>400121</v>
      </c>
      <c r="AE718">
        <v>0</v>
      </c>
      <c r="AP718" t="s">
        <v>123</v>
      </c>
    </row>
    <row r="719" spans="1:42">
      <c r="A719" s="1" t="s">
        <v>46</v>
      </c>
      <c r="B719" s="1" t="s">
        <v>1575</v>
      </c>
      <c r="C719" s="1" t="s">
        <v>1575</v>
      </c>
      <c r="E719" s="4" t="s">
        <v>1576</v>
      </c>
      <c r="G719" s="16">
        <v>3.5</v>
      </c>
      <c r="M719">
        <v>1</v>
      </c>
      <c r="N719">
        <v>-2</v>
      </c>
      <c r="O719">
        <v>0</v>
      </c>
      <c r="P719">
        <v>4.5</v>
      </c>
      <c r="Q719">
        <v>-9</v>
      </c>
      <c r="R719">
        <v>0</v>
      </c>
      <c r="S719">
        <v>0</v>
      </c>
      <c r="T719" t="s">
        <v>52</v>
      </c>
      <c r="W719">
        <v>400066</v>
      </c>
      <c r="AE719">
        <v>0</v>
      </c>
      <c r="AP719" t="s">
        <v>680</v>
      </c>
    </row>
    <row r="720" spans="1:42">
      <c r="A720" s="1" t="s">
        <v>46</v>
      </c>
      <c r="B720" s="1" t="s">
        <v>1577</v>
      </c>
      <c r="C720" s="1" t="s">
        <v>1577</v>
      </c>
      <c r="E720" s="4" t="s">
        <v>1578</v>
      </c>
      <c r="G720" s="16">
        <v>3.5</v>
      </c>
      <c r="M720">
        <v>1</v>
      </c>
      <c r="N720">
        <v>180</v>
      </c>
      <c r="O720">
        <v>0</v>
      </c>
      <c r="P720">
        <v>4.5</v>
      </c>
      <c r="Q720">
        <v>810</v>
      </c>
      <c r="R720">
        <v>0</v>
      </c>
      <c r="S720">
        <v>0</v>
      </c>
      <c r="T720" t="s">
        <v>17</v>
      </c>
      <c r="U720">
        <v>0</v>
      </c>
      <c r="V720">
        <v>0</v>
      </c>
      <c r="W720">
        <v>400066</v>
      </c>
      <c r="AE720">
        <v>0</v>
      </c>
      <c r="AP720" t="s">
        <v>680</v>
      </c>
    </row>
    <row r="721" spans="1:42">
      <c r="A721" s="1" t="s">
        <v>46</v>
      </c>
      <c r="B721" s="1" t="s">
        <v>1579</v>
      </c>
      <c r="C721" s="1" t="s">
        <v>1579</v>
      </c>
      <c r="E721" s="4" t="s">
        <v>1580</v>
      </c>
      <c r="G721" s="16">
        <v>4.5</v>
      </c>
      <c r="M721">
        <v>1</v>
      </c>
      <c r="N721">
        <v>-57</v>
      </c>
      <c r="O721">
        <v>0</v>
      </c>
      <c r="P721">
        <v>4.25</v>
      </c>
      <c r="Q721">
        <v>-242.25</v>
      </c>
      <c r="R721">
        <v>0</v>
      </c>
      <c r="S721">
        <v>0</v>
      </c>
      <c r="T721" t="s">
        <v>52</v>
      </c>
      <c r="W721">
        <v>400029</v>
      </c>
      <c r="AE721">
        <v>0</v>
      </c>
      <c r="AP721" t="s">
        <v>206</v>
      </c>
    </row>
    <row r="722" spans="1:42">
      <c r="A722" s="1" t="s">
        <v>46</v>
      </c>
      <c r="B722" s="1" t="s">
        <v>1581</v>
      </c>
      <c r="C722" s="1" t="s">
        <v>1581</v>
      </c>
      <c r="E722" s="4" t="s">
        <v>1582</v>
      </c>
      <c r="G722" s="16">
        <v>7</v>
      </c>
      <c r="M722">
        <v>1</v>
      </c>
      <c r="N722">
        <v>433</v>
      </c>
      <c r="O722">
        <v>0</v>
      </c>
      <c r="P722">
        <v>5</v>
      </c>
      <c r="Q722">
        <v>2165</v>
      </c>
      <c r="R722">
        <v>0</v>
      </c>
      <c r="S722">
        <v>0</v>
      </c>
      <c r="T722" t="s">
        <v>17</v>
      </c>
      <c r="U722">
        <v>0</v>
      </c>
      <c r="V722">
        <v>0</v>
      </c>
      <c r="W722">
        <v>400194</v>
      </c>
      <c r="X722" t="s">
        <v>56</v>
      </c>
      <c r="Y722" t="s">
        <v>57</v>
      </c>
      <c r="AE722">
        <v>0</v>
      </c>
      <c r="AP722" t="s">
        <v>173</v>
      </c>
    </row>
    <row r="723" spans="1:42">
      <c r="A723" s="1" t="s">
        <v>46</v>
      </c>
      <c r="B723" s="1" t="s">
        <v>1583</v>
      </c>
      <c r="C723" s="1" t="s">
        <v>1583</v>
      </c>
      <c r="E723" s="4" t="s">
        <v>1584</v>
      </c>
      <c r="G723" s="16">
        <v>7</v>
      </c>
      <c r="M723">
        <v>1</v>
      </c>
      <c r="N723">
        <v>-1</v>
      </c>
      <c r="O723">
        <v>0</v>
      </c>
      <c r="P723">
        <v>0.65</v>
      </c>
      <c r="Q723">
        <v>-0.65</v>
      </c>
      <c r="R723">
        <v>0</v>
      </c>
      <c r="S723">
        <v>0</v>
      </c>
      <c r="T723" t="s">
        <v>52</v>
      </c>
      <c r="W723">
        <v>400004</v>
      </c>
      <c r="AE723">
        <v>0</v>
      </c>
      <c r="AP723" t="s">
        <v>352</v>
      </c>
    </row>
    <row r="724" spans="1:42">
      <c r="A724" s="1" t="s">
        <v>46</v>
      </c>
      <c r="B724" s="1" t="s">
        <v>1585</v>
      </c>
      <c r="C724" s="1" t="s">
        <v>1585</v>
      </c>
      <c r="E724" s="4" t="s">
        <v>1586</v>
      </c>
      <c r="G724" s="16"/>
      <c r="M724">
        <v>1</v>
      </c>
      <c r="N724">
        <v>2</v>
      </c>
      <c r="O724">
        <v>0</v>
      </c>
      <c r="P724">
        <v>0.65</v>
      </c>
      <c r="Q724">
        <v>1.3</v>
      </c>
      <c r="R724">
        <v>0</v>
      </c>
      <c r="S724">
        <v>0</v>
      </c>
      <c r="T724" t="s">
        <v>52</v>
      </c>
      <c r="W724">
        <v>400110</v>
      </c>
      <c r="AE724">
        <v>0</v>
      </c>
      <c r="AP724" t="s">
        <v>344</v>
      </c>
    </row>
    <row r="725" spans="1:42">
      <c r="A725" s="1" t="s">
        <v>46</v>
      </c>
      <c r="B725" s="1" t="s">
        <v>1587</v>
      </c>
      <c r="C725" s="1" t="s">
        <v>1587</v>
      </c>
      <c r="E725" s="4" t="s">
        <v>1588</v>
      </c>
      <c r="G725" s="16">
        <v>8</v>
      </c>
      <c r="M725">
        <v>1</v>
      </c>
      <c r="N725">
        <v>-9</v>
      </c>
      <c r="O725">
        <v>0</v>
      </c>
      <c r="T725" t="s">
        <v>52</v>
      </c>
      <c r="AE725">
        <v>0</v>
      </c>
    </row>
    <row r="726" spans="1:42">
      <c r="A726" s="1" t="s">
        <v>46</v>
      </c>
      <c r="B726" s="1" t="s">
        <v>1589</v>
      </c>
      <c r="C726" s="1" t="s">
        <v>1589</v>
      </c>
      <c r="E726" s="4" t="s">
        <v>1590</v>
      </c>
      <c r="G726" s="16"/>
      <c r="M726">
        <v>1</v>
      </c>
      <c r="N726">
        <v>98</v>
      </c>
      <c r="O726">
        <v>0</v>
      </c>
      <c r="P726">
        <v>2.89</v>
      </c>
      <c r="Q726">
        <v>282.83</v>
      </c>
      <c r="R726">
        <v>0</v>
      </c>
      <c r="S726">
        <v>0</v>
      </c>
      <c r="T726" t="s">
        <v>52</v>
      </c>
      <c r="U726">
        <v>0</v>
      </c>
      <c r="V726">
        <v>0</v>
      </c>
      <c r="W726">
        <v>400013</v>
      </c>
      <c r="AE726">
        <v>0</v>
      </c>
      <c r="AP726" t="s">
        <v>232</v>
      </c>
    </row>
    <row r="727" spans="1:42">
      <c r="A727" s="1" t="s">
        <v>46</v>
      </c>
      <c r="B727" s="1" t="s">
        <v>1591</v>
      </c>
      <c r="C727" s="1" t="s">
        <v>1591</v>
      </c>
      <c r="E727" s="4" t="s">
        <v>1592</v>
      </c>
      <c r="G727" s="16">
        <v>13</v>
      </c>
      <c r="M727">
        <v>1</v>
      </c>
      <c r="N727">
        <v>-1</v>
      </c>
      <c r="O727">
        <v>0</v>
      </c>
      <c r="P727">
        <v>2.36</v>
      </c>
      <c r="Q727">
        <v>-2.36</v>
      </c>
      <c r="R727">
        <v>0</v>
      </c>
      <c r="S727">
        <v>0</v>
      </c>
      <c r="T727" t="s">
        <v>52</v>
      </c>
      <c r="U727">
        <v>0</v>
      </c>
      <c r="V727">
        <v>0</v>
      </c>
      <c r="W727">
        <v>400028</v>
      </c>
      <c r="AE727">
        <v>0</v>
      </c>
      <c r="AP727" t="s">
        <v>246</v>
      </c>
    </row>
    <row r="728" spans="1:42">
      <c r="A728" s="1" t="s">
        <v>46</v>
      </c>
      <c r="B728" s="1" t="s">
        <v>1593</v>
      </c>
      <c r="C728" s="1" t="s">
        <v>1593</v>
      </c>
      <c r="E728" s="4" t="s">
        <v>1594</v>
      </c>
      <c r="G728" s="16"/>
      <c r="M728">
        <v>1</v>
      </c>
      <c r="N728">
        <v>319</v>
      </c>
      <c r="O728">
        <v>0</v>
      </c>
      <c r="P728">
        <v>2.13</v>
      </c>
      <c r="Q728">
        <v>678.03</v>
      </c>
      <c r="R728">
        <v>0</v>
      </c>
      <c r="S728">
        <v>0</v>
      </c>
      <c r="T728" t="s">
        <v>52</v>
      </c>
      <c r="U728">
        <v>0</v>
      </c>
      <c r="V728">
        <v>0</v>
      </c>
      <c r="W728">
        <v>400013</v>
      </c>
      <c r="X728" t="s">
        <v>56</v>
      </c>
      <c r="Y728" t="s">
        <v>57</v>
      </c>
      <c r="AE728">
        <v>0</v>
      </c>
      <c r="AP728" t="s">
        <v>232</v>
      </c>
    </row>
    <row r="729" spans="1:42">
      <c r="A729" s="1" t="s">
        <v>46</v>
      </c>
      <c r="B729" s="1" t="s">
        <v>1595</v>
      </c>
      <c r="C729" s="1" t="s">
        <v>1595</v>
      </c>
      <c r="E729" s="4" t="s">
        <v>1596</v>
      </c>
      <c r="G729" s="16"/>
      <c r="M729">
        <v>1</v>
      </c>
      <c r="N729">
        <v>9</v>
      </c>
      <c r="O729">
        <v>0</v>
      </c>
      <c r="P729">
        <v>5.77</v>
      </c>
      <c r="Q729">
        <v>51.93</v>
      </c>
      <c r="R729">
        <v>0</v>
      </c>
      <c r="S729">
        <v>0</v>
      </c>
      <c r="T729" t="s">
        <v>52</v>
      </c>
      <c r="U729">
        <v>0</v>
      </c>
      <c r="V729">
        <v>0</v>
      </c>
      <c r="W729">
        <v>400045</v>
      </c>
      <c r="AE729">
        <v>0</v>
      </c>
      <c r="AP729" t="s">
        <v>217</v>
      </c>
    </row>
    <row r="730" spans="1:42">
      <c r="A730" s="1" t="s">
        <v>46</v>
      </c>
      <c r="B730" s="1" t="s">
        <v>1597</v>
      </c>
      <c r="C730" s="1" t="s">
        <v>1597</v>
      </c>
      <c r="E730" s="4" t="s">
        <v>1598</v>
      </c>
      <c r="G730" s="16">
        <v>2.75</v>
      </c>
      <c r="M730">
        <v>1</v>
      </c>
      <c r="N730">
        <v>9</v>
      </c>
      <c r="O730">
        <v>0</v>
      </c>
      <c r="P730">
        <v>7.2</v>
      </c>
      <c r="Q730">
        <v>64.8</v>
      </c>
      <c r="R730">
        <v>0</v>
      </c>
      <c r="S730">
        <v>0</v>
      </c>
      <c r="T730" t="s">
        <v>52</v>
      </c>
      <c r="W730">
        <v>400002</v>
      </c>
      <c r="AE730">
        <v>0</v>
      </c>
      <c r="AP730" t="s">
        <v>116</v>
      </c>
    </row>
    <row r="731" spans="1:42">
      <c r="A731" s="1" t="s">
        <v>46</v>
      </c>
      <c r="B731" s="1" t="s">
        <v>1599</v>
      </c>
      <c r="C731" s="1" t="s">
        <v>1599</v>
      </c>
      <c r="E731" s="4" t="s">
        <v>1600</v>
      </c>
      <c r="G731" s="16">
        <v>2.75</v>
      </c>
      <c r="M731">
        <v>1</v>
      </c>
      <c r="N731">
        <v>23</v>
      </c>
      <c r="O731">
        <v>0</v>
      </c>
      <c r="P731">
        <v>3.75</v>
      </c>
      <c r="Q731">
        <v>86.25</v>
      </c>
      <c r="R731">
        <v>0</v>
      </c>
      <c r="S731">
        <v>0</v>
      </c>
      <c r="T731" t="s">
        <v>52</v>
      </c>
      <c r="U731">
        <v>0</v>
      </c>
      <c r="V731">
        <v>0</v>
      </c>
      <c r="W731">
        <v>400002</v>
      </c>
      <c r="AE731">
        <v>0</v>
      </c>
      <c r="AP731" t="s">
        <v>116</v>
      </c>
    </row>
    <row r="732" spans="1:42">
      <c r="A732" s="1" t="s">
        <v>46</v>
      </c>
      <c r="B732" s="1" t="s">
        <v>1601</v>
      </c>
      <c r="C732" s="1" t="s">
        <v>1601</v>
      </c>
      <c r="E732" s="4" t="s">
        <v>1602</v>
      </c>
      <c r="G732" s="16">
        <v>3.5</v>
      </c>
      <c r="M732">
        <v>1</v>
      </c>
      <c r="N732">
        <v>13</v>
      </c>
      <c r="O732">
        <v>0</v>
      </c>
      <c r="P732">
        <v>4.75</v>
      </c>
      <c r="Q732">
        <v>61.75</v>
      </c>
      <c r="R732">
        <v>0</v>
      </c>
      <c r="S732">
        <v>0</v>
      </c>
      <c r="T732" t="s">
        <v>52</v>
      </c>
      <c r="W732">
        <v>400045</v>
      </c>
      <c r="AE732">
        <v>0</v>
      </c>
      <c r="AP732" t="s">
        <v>217</v>
      </c>
    </row>
    <row r="733" spans="1:42">
      <c r="A733" s="1" t="s">
        <v>46</v>
      </c>
      <c r="B733" s="1" t="s">
        <v>1603</v>
      </c>
      <c r="C733" s="1" t="s">
        <v>1603</v>
      </c>
      <c r="E733" s="4" t="s">
        <v>1604</v>
      </c>
      <c r="G733" s="16">
        <v>3.5</v>
      </c>
      <c r="M733">
        <v>1</v>
      </c>
      <c r="N733">
        <v>1</v>
      </c>
      <c r="O733">
        <v>0</v>
      </c>
      <c r="P733">
        <v>54</v>
      </c>
      <c r="Q733">
        <v>54</v>
      </c>
      <c r="R733" t="s">
        <v>663</v>
      </c>
      <c r="S733">
        <v>0</v>
      </c>
      <c r="T733" t="s">
        <v>52</v>
      </c>
      <c r="U733">
        <v>0</v>
      </c>
      <c r="V733">
        <v>0</v>
      </c>
      <c r="W733">
        <v>400011</v>
      </c>
      <c r="AE733">
        <v>0</v>
      </c>
      <c r="AP733" t="s">
        <v>617</v>
      </c>
    </row>
    <row r="734" spans="1:42">
      <c r="A734" s="1" t="s">
        <v>46</v>
      </c>
      <c r="B734" s="1" t="s">
        <v>1605</v>
      </c>
      <c r="C734" s="1" t="s">
        <v>1605</v>
      </c>
      <c r="E734" s="4" t="s">
        <v>1606</v>
      </c>
      <c r="G734" s="16"/>
      <c r="M734">
        <v>1</v>
      </c>
      <c r="N734">
        <v>21</v>
      </c>
      <c r="O734">
        <v>0</v>
      </c>
      <c r="P734">
        <v>40</v>
      </c>
      <c r="Q734">
        <v>840</v>
      </c>
      <c r="R734" t="s">
        <v>589</v>
      </c>
      <c r="S734">
        <v>0</v>
      </c>
      <c r="T734" t="s">
        <v>52</v>
      </c>
      <c r="U734">
        <v>0</v>
      </c>
      <c r="V734">
        <v>0</v>
      </c>
      <c r="W734">
        <v>400011</v>
      </c>
      <c r="AE734">
        <v>0</v>
      </c>
      <c r="AP734" t="s">
        <v>617</v>
      </c>
    </row>
    <row r="735" spans="1:42">
      <c r="A735" s="1" t="s">
        <v>46</v>
      </c>
      <c r="B735" s="1" t="s">
        <v>1607</v>
      </c>
      <c r="C735" s="1" t="s">
        <v>1607</v>
      </c>
      <c r="E735" s="4" t="s">
        <v>1608</v>
      </c>
      <c r="G735" s="16">
        <v>6.5</v>
      </c>
      <c r="M735">
        <v>1</v>
      </c>
      <c r="N735">
        <v>10</v>
      </c>
      <c r="O735">
        <v>0</v>
      </c>
      <c r="P735">
        <v>58</v>
      </c>
      <c r="Q735">
        <v>580</v>
      </c>
      <c r="R735" t="s">
        <v>589</v>
      </c>
      <c r="S735">
        <v>0</v>
      </c>
      <c r="T735" t="s">
        <v>52</v>
      </c>
      <c r="U735">
        <v>0</v>
      </c>
      <c r="V735">
        <v>0</v>
      </c>
      <c r="W735">
        <v>400011</v>
      </c>
      <c r="AE735">
        <v>0</v>
      </c>
      <c r="AP735" t="s">
        <v>617</v>
      </c>
    </row>
    <row r="736" spans="1:42">
      <c r="A736" s="1" t="s">
        <v>46</v>
      </c>
      <c r="B736" s="1" t="s">
        <v>1609</v>
      </c>
      <c r="C736" s="1" t="s">
        <v>1609</v>
      </c>
      <c r="E736" s="4" t="s">
        <v>1610</v>
      </c>
      <c r="G736" s="16"/>
      <c r="M736">
        <v>1</v>
      </c>
      <c r="N736">
        <v>1</v>
      </c>
      <c r="O736">
        <v>0</v>
      </c>
      <c r="P736">
        <v>54.83</v>
      </c>
      <c r="Q736">
        <v>54.83</v>
      </c>
      <c r="R736" t="s">
        <v>574</v>
      </c>
      <c r="S736">
        <v>0</v>
      </c>
      <c r="T736" t="s">
        <v>52</v>
      </c>
      <c r="U736">
        <v>0</v>
      </c>
      <c r="V736">
        <v>0</v>
      </c>
      <c r="W736">
        <v>400013</v>
      </c>
      <c r="X736" t="s">
        <v>56</v>
      </c>
      <c r="Y736" t="s">
        <v>57</v>
      </c>
      <c r="AE736">
        <v>0</v>
      </c>
      <c r="AP736" t="s">
        <v>232</v>
      </c>
    </row>
    <row r="737" spans="1:42">
      <c r="A737" s="1" t="s">
        <v>46</v>
      </c>
      <c r="B737" s="1" t="s">
        <v>1611</v>
      </c>
      <c r="C737" s="1" t="s">
        <v>1611</v>
      </c>
      <c r="E737" s="4" t="s">
        <v>1612</v>
      </c>
      <c r="G737" s="16"/>
      <c r="I737">
        <v>73.7</v>
      </c>
      <c r="M737">
        <v>1</v>
      </c>
      <c r="N737">
        <v>1</v>
      </c>
      <c r="O737">
        <v>0</v>
      </c>
      <c r="P737">
        <v>80.14</v>
      </c>
      <c r="Q737">
        <v>80.14</v>
      </c>
      <c r="R737" t="s">
        <v>574</v>
      </c>
      <c r="S737">
        <v>0</v>
      </c>
      <c r="T737" t="s">
        <v>52</v>
      </c>
      <c r="U737">
        <v>0</v>
      </c>
      <c r="V737">
        <v>0</v>
      </c>
      <c r="W737">
        <v>400013</v>
      </c>
      <c r="X737" t="s">
        <v>56</v>
      </c>
      <c r="Y737" t="s">
        <v>57</v>
      </c>
      <c r="AE737">
        <v>0</v>
      </c>
      <c r="AH737">
        <v>73.7</v>
      </c>
      <c r="AP737" t="s">
        <v>232</v>
      </c>
    </row>
    <row r="738" spans="1:42">
      <c r="A738" s="1" t="s">
        <v>46</v>
      </c>
      <c r="B738" s="1" t="s">
        <v>1613</v>
      </c>
      <c r="C738" s="1" t="s">
        <v>1613</v>
      </c>
      <c r="E738" s="4" t="s">
        <v>1614</v>
      </c>
      <c r="G738" s="16"/>
      <c r="M738">
        <v>1</v>
      </c>
      <c r="N738">
        <v>4</v>
      </c>
      <c r="O738">
        <v>0</v>
      </c>
      <c r="P738">
        <v>220</v>
      </c>
      <c r="Q738">
        <v>880</v>
      </c>
      <c r="R738">
        <v>0</v>
      </c>
      <c r="S738">
        <v>0</v>
      </c>
      <c r="T738" t="s">
        <v>52</v>
      </c>
      <c r="U738">
        <v>0</v>
      </c>
      <c r="V738">
        <v>0</v>
      </c>
      <c r="W738">
        <v>400044</v>
      </c>
      <c r="AE738">
        <v>0</v>
      </c>
      <c r="AP738" t="s">
        <v>628</v>
      </c>
    </row>
    <row r="739" spans="1:42">
      <c r="A739" s="1" t="s">
        <v>46</v>
      </c>
      <c r="B739" s="1" t="s">
        <v>1615</v>
      </c>
      <c r="C739" s="1" t="s">
        <v>1615</v>
      </c>
      <c r="E739" s="4" t="s">
        <v>1616</v>
      </c>
      <c r="G739" s="16"/>
      <c r="M739">
        <v>1</v>
      </c>
      <c r="N739">
        <v>7</v>
      </c>
      <c r="O739">
        <v>0</v>
      </c>
      <c r="P739">
        <v>420</v>
      </c>
      <c r="Q739">
        <v>2940</v>
      </c>
      <c r="R739">
        <v>0</v>
      </c>
      <c r="S739">
        <v>0</v>
      </c>
      <c r="T739" t="s">
        <v>52</v>
      </c>
      <c r="W739">
        <v>400044</v>
      </c>
      <c r="AE739">
        <v>0</v>
      </c>
      <c r="AP739" t="s">
        <v>628</v>
      </c>
    </row>
    <row r="740" spans="1:42">
      <c r="A740" s="1" t="s">
        <v>46</v>
      </c>
      <c r="B740" s="1" t="s">
        <v>1617</v>
      </c>
      <c r="C740" s="1" t="s">
        <v>1617</v>
      </c>
      <c r="E740" s="4" t="s">
        <v>1618</v>
      </c>
      <c r="G740" s="16"/>
      <c r="M740">
        <v>1</v>
      </c>
      <c r="N740">
        <v>63</v>
      </c>
      <c r="O740">
        <v>0</v>
      </c>
      <c r="P740">
        <v>50</v>
      </c>
      <c r="Q740">
        <v>3150</v>
      </c>
      <c r="R740">
        <v>0</v>
      </c>
      <c r="S740">
        <v>0</v>
      </c>
      <c r="T740" t="s">
        <v>52</v>
      </c>
      <c r="U740">
        <v>0</v>
      </c>
      <c r="V740">
        <v>0</v>
      </c>
      <c r="W740">
        <v>400161</v>
      </c>
      <c r="AE740">
        <v>0</v>
      </c>
      <c r="AP740" t="s">
        <v>1619</v>
      </c>
    </row>
    <row r="741" spans="1:42">
      <c r="A741" s="1" t="s">
        <v>46</v>
      </c>
      <c r="B741" s="1" t="s">
        <v>1620</v>
      </c>
      <c r="C741" s="1" t="s">
        <v>1620</v>
      </c>
      <c r="E741" s="4" t="s">
        <v>1621</v>
      </c>
      <c r="G741" s="16"/>
      <c r="M741">
        <v>1</v>
      </c>
      <c r="N741">
        <v>4</v>
      </c>
      <c r="O741">
        <v>0</v>
      </c>
      <c r="P741">
        <v>352</v>
      </c>
      <c r="Q741">
        <v>1408</v>
      </c>
      <c r="R741" t="s">
        <v>589</v>
      </c>
      <c r="S741">
        <v>0</v>
      </c>
      <c r="T741" t="s">
        <v>52</v>
      </c>
      <c r="U741">
        <v>0</v>
      </c>
      <c r="V741">
        <v>0</v>
      </c>
      <c r="W741">
        <v>400011</v>
      </c>
      <c r="AE741">
        <v>0</v>
      </c>
      <c r="AP741" t="s">
        <v>617</v>
      </c>
    </row>
    <row r="742" spans="1:42">
      <c r="A742" s="1" t="s">
        <v>46</v>
      </c>
      <c r="B742" s="1" t="s">
        <v>1622</v>
      </c>
      <c r="C742" s="1" t="s">
        <v>1622</v>
      </c>
      <c r="E742" s="4" t="s">
        <v>1623</v>
      </c>
      <c r="G742" s="16"/>
      <c r="I742">
        <v>457.6</v>
      </c>
      <c r="M742">
        <v>1</v>
      </c>
      <c r="N742">
        <v>3</v>
      </c>
      <c r="O742">
        <v>0</v>
      </c>
      <c r="P742">
        <v>434.45</v>
      </c>
      <c r="Q742">
        <v>1303.3599999999999</v>
      </c>
      <c r="R742" t="s">
        <v>574</v>
      </c>
      <c r="S742">
        <v>0</v>
      </c>
      <c r="T742" t="s">
        <v>52</v>
      </c>
      <c r="U742">
        <v>0</v>
      </c>
      <c r="V742">
        <v>0</v>
      </c>
      <c r="W742">
        <v>400013</v>
      </c>
      <c r="AE742">
        <v>0</v>
      </c>
      <c r="AH742">
        <v>457.6</v>
      </c>
      <c r="AP742" t="s">
        <v>232</v>
      </c>
    </row>
    <row r="743" spans="1:42">
      <c r="A743" s="1" t="s">
        <v>46</v>
      </c>
      <c r="B743" s="1" t="s">
        <v>1624</v>
      </c>
      <c r="C743" s="1" t="s">
        <v>1624</v>
      </c>
      <c r="E743" s="4" t="s">
        <v>1625</v>
      </c>
      <c r="G743" s="16"/>
      <c r="M743">
        <v>1</v>
      </c>
      <c r="N743">
        <v>47</v>
      </c>
      <c r="O743">
        <v>0</v>
      </c>
      <c r="P743">
        <v>7.22</v>
      </c>
      <c r="Q743">
        <v>339.1</v>
      </c>
      <c r="R743">
        <v>0</v>
      </c>
      <c r="S743">
        <v>0</v>
      </c>
      <c r="T743" t="s">
        <v>52</v>
      </c>
      <c r="U743">
        <v>0</v>
      </c>
      <c r="V743">
        <v>0</v>
      </c>
      <c r="W743">
        <v>400120</v>
      </c>
      <c r="AE743">
        <v>0</v>
      </c>
      <c r="AP743" t="s">
        <v>468</v>
      </c>
    </row>
    <row r="744" spans="1:42">
      <c r="A744" s="1" t="s">
        <v>46</v>
      </c>
      <c r="B744" s="1" t="s">
        <v>1626</v>
      </c>
      <c r="C744" s="1" t="s">
        <v>1626</v>
      </c>
      <c r="E744" s="4" t="s">
        <v>1627</v>
      </c>
      <c r="G744" s="16"/>
      <c r="M744">
        <v>1</v>
      </c>
      <c r="N744">
        <v>1</v>
      </c>
      <c r="O744">
        <v>0</v>
      </c>
      <c r="P744">
        <v>6.5</v>
      </c>
      <c r="Q744">
        <v>6.5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400017</v>
      </c>
      <c r="AE744">
        <v>0</v>
      </c>
      <c r="AP744" t="s">
        <v>49</v>
      </c>
    </row>
    <row r="745" spans="1:42">
      <c r="A745" s="1" t="s">
        <v>46</v>
      </c>
      <c r="B745" s="1" t="s">
        <v>1628</v>
      </c>
      <c r="C745" s="1" t="s">
        <v>1628</v>
      </c>
      <c r="E745" s="4" t="s">
        <v>1629</v>
      </c>
      <c r="G745" s="16"/>
      <c r="M745">
        <v>1</v>
      </c>
      <c r="N745">
        <v>17</v>
      </c>
      <c r="O745">
        <v>0</v>
      </c>
      <c r="P745">
        <v>66.599999999999994</v>
      </c>
      <c r="Q745">
        <v>1132.2</v>
      </c>
      <c r="R745" t="s">
        <v>556</v>
      </c>
      <c r="S745">
        <v>0</v>
      </c>
      <c r="T745" t="s">
        <v>52</v>
      </c>
      <c r="U745">
        <v>0</v>
      </c>
      <c r="V745">
        <v>0</v>
      </c>
      <c r="W745">
        <v>400120</v>
      </c>
      <c r="AE745">
        <v>0</v>
      </c>
      <c r="AP745" t="s">
        <v>468</v>
      </c>
    </row>
    <row r="746" spans="1:42">
      <c r="A746" s="1" t="s">
        <v>46</v>
      </c>
      <c r="B746" s="1" t="s">
        <v>1630</v>
      </c>
      <c r="C746" s="1" t="s">
        <v>1630</v>
      </c>
      <c r="E746" s="4" t="s">
        <v>1631</v>
      </c>
      <c r="G746" s="16"/>
      <c r="I746">
        <v>32.25</v>
      </c>
      <c r="M746">
        <v>1</v>
      </c>
      <c r="N746">
        <v>-20</v>
      </c>
      <c r="O746">
        <v>0</v>
      </c>
      <c r="P746">
        <v>217.28</v>
      </c>
      <c r="Q746">
        <v>-4345.6499999999996</v>
      </c>
      <c r="R746" t="s">
        <v>579</v>
      </c>
      <c r="S746">
        <v>0</v>
      </c>
      <c r="T746" t="s">
        <v>209</v>
      </c>
      <c r="U746">
        <v>0</v>
      </c>
      <c r="V746">
        <v>0</v>
      </c>
      <c r="W746">
        <v>400136</v>
      </c>
      <c r="AE746">
        <v>0</v>
      </c>
      <c r="AH746">
        <v>32.25</v>
      </c>
      <c r="AP746" t="s">
        <v>732</v>
      </c>
    </row>
    <row r="747" spans="1:42">
      <c r="A747" s="1" t="s">
        <v>46</v>
      </c>
      <c r="B747" s="1" t="s">
        <v>1632</v>
      </c>
      <c r="C747" s="1" t="s">
        <v>1632</v>
      </c>
      <c r="E747" s="4" t="s">
        <v>1633</v>
      </c>
      <c r="G747" s="16">
        <v>2</v>
      </c>
      <c r="M747">
        <v>1</v>
      </c>
      <c r="N747">
        <v>41</v>
      </c>
      <c r="O747">
        <v>0</v>
      </c>
      <c r="P747">
        <v>1.31</v>
      </c>
      <c r="Q747">
        <v>53.71</v>
      </c>
      <c r="R747" t="s">
        <v>783</v>
      </c>
      <c r="S747">
        <v>0</v>
      </c>
      <c r="T747" t="s">
        <v>52</v>
      </c>
      <c r="U747">
        <v>0</v>
      </c>
      <c r="V747">
        <v>0</v>
      </c>
      <c r="W747">
        <v>400013</v>
      </c>
      <c r="AE747">
        <v>0</v>
      </c>
      <c r="AP747" t="s">
        <v>232</v>
      </c>
    </row>
    <row r="748" spans="1:42">
      <c r="A748" s="1" t="s">
        <v>46</v>
      </c>
      <c r="B748" s="1" t="s">
        <v>1634</v>
      </c>
      <c r="C748" s="1" t="s">
        <v>1634</v>
      </c>
      <c r="E748" s="4" t="s">
        <v>1635</v>
      </c>
      <c r="G748" s="16"/>
      <c r="M748">
        <v>1</v>
      </c>
      <c r="N748">
        <v>152</v>
      </c>
      <c r="O748">
        <v>0</v>
      </c>
      <c r="P748">
        <v>0.78</v>
      </c>
      <c r="Q748">
        <v>119.02</v>
      </c>
      <c r="R748" t="s">
        <v>556</v>
      </c>
      <c r="S748">
        <v>0</v>
      </c>
      <c r="T748" t="s">
        <v>52</v>
      </c>
      <c r="U748">
        <v>0</v>
      </c>
      <c r="V748">
        <v>0</v>
      </c>
      <c r="W748">
        <v>400013</v>
      </c>
      <c r="AE748">
        <v>0</v>
      </c>
      <c r="AP748" t="s">
        <v>232</v>
      </c>
    </row>
    <row r="749" spans="1:42">
      <c r="A749" s="1" t="s">
        <v>46</v>
      </c>
      <c r="B749" s="1" t="s">
        <v>1636</v>
      </c>
      <c r="C749" s="1" t="s">
        <v>1636</v>
      </c>
      <c r="E749" s="4" t="s">
        <v>1637</v>
      </c>
      <c r="G749" s="16">
        <v>2</v>
      </c>
      <c r="M749">
        <v>1</v>
      </c>
      <c r="N749">
        <v>-201</v>
      </c>
      <c r="O749">
        <v>0</v>
      </c>
      <c r="P749">
        <v>0.35</v>
      </c>
      <c r="Q749">
        <v>-70.349999999999994</v>
      </c>
      <c r="R749" t="s">
        <v>241</v>
      </c>
      <c r="S749">
        <v>0</v>
      </c>
      <c r="T749" t="s">
        <v>52</v>
      </c>
      <c r="U749">
        <v>0</v>
      </c>
      <c r="V749">
        <v>0</v>
      </c>
      <c r="W749">
        <v>410302</v>
      </c>
      <c r="AE749">
        <v>0</v>
      </c>
      <c r="AP749" t="s">
        <v>177</v>
      </c>
    </row>
    <row r="750" spans="1:42">
      <c r="A750" s="1" t="s">
        <v>46</v>
      </c>
      <c r="B750" s="1" t="s">
        <v>1638</v>
      </c>
      <c r="C750" s="1" t="s">
        <v>1638</v>
      </c>
      <c r="E750" s="4" t="s">
        <v>1639</v>
      </c>
      <c r="G750" s="16">
        <v>3.5</v>
      </c>
      <c r="I750">
        <v>1.38</v>
      </c>
      <c r="M750">
        <v>1</v>
      </c>
      <c r="N750">
        <v>-33</v>
      </c>
      <c r="O750">
        <v>0</v>
      </c>
      <c r="P750">
        <v>0.93</v>
      </c>
      <c r="Q750">
        <v>-30.62</v>
      </c>
      <c r="R750" t="s">
        <v>1050</v>
      </c>
      <c r="S750">
        <v>0</v>
      </c>
      <c r="T750" t="s">
        <v>52</v>
      </c>
      <c r="U750">
        <v>0</v>
      </c>
      <c r="V750">
        <v>0</v>
      </c>
      <c r="W750">
        <v>400026</v>
      </c>
      <c r="AE750">
        <v>0</v>
      </c>
      <c r="AH750">
        <v>1.38</v>
      </c>
      <c r="AP750" t="s">
        <v>187</v>
      </c>
    </row>
    <row r="751" spans="1:42">
      <c r="A751" s="1" t="s">
        <v>46</v>
      </c>
      <c r="B751" s="1" t="s">
        <v>1640</v>
      </c>
      <c r="C751" s="1" t="s">
        <v>1640</v>
      </c>
      <c r="E751" s="4" t="s">
        <v>1641</v>
      </c>
      <c r="G751" s="16">
        <v>2</v>
      </c>
      <c r="M751">
        <v>1</v>
      </c>
      <c r="N751">
        <v>-1</v>
      </c>
      <c r="O751">
        <v>0</v>
      </c>
      <c r="P751">
        <v>0.46</v>
      </c>
      <c r="Q751">
        <v>-0.46</v>
      </c>
      <c r="R751" t="s">
        <v>556</v>
      </c>
      <c r="S751">
        <v>0</v>
      </c>
      <c r="T751" t="s">
        <v>52</v>
      </c>
      <c r="U751">
        <v>0</v>
      </c>
      <c r="V751">
        <v>0</v>
      </c>
      <c r="W751">
        <v>400013</v>
      </c>
      <c r="AE751">
        <v>0</v>
      </c>
      <c r="AP751" t="s">
        <v>232</v>
      </c>
    </row>
    <row r="752" spans="1:42">
      <c r="A752" s="1" t="s">
        <v>46</v>
      </c>
      <c r="B752" s="1" t="s">
        <v>1642</v>
      </c>
      <c r="C752" s="1" t="s">
        <v>1642</v>
      </c>
      <c r="E752" s="4" t="s">
        <v>1643</v>
      </c>
      <c r="G752" s="16">
        <v>2.75</v>
      </c>
      <c r="I752">
        <v>0.92</v>
      </c>
      <c r="M752">
        <v>1</v>
      </c>
      <c r="N752">
        <v>2</v>
      </c>
      <c r="O752">
        <v>0</v>
      </c>
      <c r="P752">
        <v>0.59</v>
      </c>
      <c r="Q752">
        <v>1.18</v>
      </c>
      <c r="R752" t="s">
        <v>1050</v>
      </c>
      <c r="S752">
        <v>0</v>
      </c>
      <c r="T752" t="s">
        <v>52</v>
      </c>
      <c r="U752">
        <v>0</v>
      </c>
      <c r="V752">
        <v>0</v>
      </c>
      <c r="W752">
        <v>400026</v>
      </c>
      <c r="AE752">
        <v>0</v>
      </c>
      <c r="AH752">
        <v>0.92</v>
      </c>
      <c r="AP752" t="s">
        <v>187</v>
      </c>
    </row>
    <row r="753" spans="1:42">
      <c r="A753" s="1" t="s">
        <v>46</v>
      </c>
      <c r="B753" s="1" t="s">
        <v>1644</v>
      </c>
      <c r="C753" s="1" t="s">
        <v>1644</v>
      </c>
      <c r="E753" s="4" t="s">
        <v>1645</v>
      </c>
      <c r="G753" s="16"/>
      <c r="M753">
        <v>1</v>
      </c>
      <c r="N753">
        <v>1</v>
      </c>
      <c r="O753">
        <v>0</v>
      </c>
      <c r="P753">
        <v>9</v>
      </c>
      <c r="Q753">
        <v>9</v>
      </c>
      <c r="R753" t="s">
        <v>241</v>
      </c>
      <c r="S753">
        <v>0</v>
      </c>
      <c r="T753" t="s">
        <v>52</v>
      </c>
      <c r="U753">
        <v>0</v>
      </c>
      <c r="V753">
        <v>0</v>
      </c>
      <c r="W753">
        <v>400028</v>
      </c>
      <c r="AE753">
        <v>0</v>
      </c>
      <c r="AP753" t="s">
        <v>246</v>
      </c>
    </row>
    <row r="754" spans="1:42">
      <c r="A754" s="1" t="s">
        <v>46</v>
      </c>
      <c r="B754" s="1" t="s">
        <v>1646</v>
      </c>
      <c r="C754" s="1" t="s">
        <v>1646</v>
      </c>
      <c r="E754" s="4" t="s">
        <v>1647</v>
      </c>
      <c r="G754" s="16">
        <v>2.5</v>
      </c>
      <c r="I754">
        <v>60</v>
      </c>
      <c r="M754">
        <v>1</v>
      </c>
      <c r="N754">
        <v>4</v>
      </c>
      <c r="O754">
        <v>0</v>
      </c>
      <c r="P754">
        <v>32.68</v>
      </c>
      <c r="Q754">
        <v>130.71</v>
      </c>
      <c r="R754" t="s">
        <v>1050</v>
      </c>
      <c r="S754">
        <v>0</v>
      </c>
      <c r="T754" t="s">
        <v>52</v>
      </c>
      <c r="U754">
        <v>0</v>
      </c>
      <c r="V754">
        <v>0</v>
      </c>
      <c r="W754">
        <v>400013</v>
      </c>
      <c r="AE754">
        <v>0</v>
      </c>
      <c r="AH754">
        <v>60</v>
      </c>
      <c r="AP754" t="s">
        <v>232</v>
      </c>
    </row>
    <row r="755" spans="1:42">
      <c r="A755" s="1" t="s">
        <v>46</v>
      </c>
      <c r="B755" s="1" t="s">
        <v>1648</v>
      </c>
      <c r="C755" s="1" t="s">
        <v>1648</v>
      </c>
      <c r="E755" s="4" t="s">
        <v>1649</v>
      </c>
      <c r="G755" s="16">
        <v>3.5</v>
      </c>
      <c r="M755">
        <v>1</v>
      </c>
      <c r="N755">
        <v>20</v>
      </c>
      <c r="O755">
        <v>0</v>
      </c>
      <c r="P755">
        <v>4.6399999999999997</v>
      </c>
      <c r="Q755">
        <v>92.8</v>
      </c>
      <c r="R755" t="s">
        <v>241</v>
      </c>
      <c r="S755">
        <v>0</v>
      </c>
      <c r="T755" t="s">
        <v>52</v>
      </c>
      <c r="U755">
        <v>0</v>
      </c>
      <c r="V755">
        <v>0</v>
      </c>
      <c r="W755">
        <v>400013</v>
      </c>
      <c r="X755" t="s">
        <v>56</v>
      </c>
      <c r="Y755" t="s">
        <v>57</v>
      </c>
      <c r="AE755">
        <v>0</v>
      </c>
      <c r="AP755" t="s">
        <v>232</v>
      </c>
    </row>
    <row r="756" spans="1:42">
      <c r="A756" s="1" t="s">
        <v>46</v>
      </c>
      <c r="B756" s="1" t="s">
        <v>1650</v>
      </c>
      <c r="C756" s="1" t="s">
        <v>1650</v>
      </c>
      <c r="E756" s="4" t="s">
        <v>1651</v>
      </c>
      <c r="G756" s="16">
        <v>3.5</v>
      </c>
      <c r="M756">
        <v>1</v>
      </c>
      <c r="N756">
        <v>62</v>
      </c>
      <c r="O756">
        <v>0</v>
      </c>
      <c r="P756">
        <v>13.48</v>
      </c>
      <c r="Q756">
        <v>836.07</v>
      </c>
      <c r="R756" t="s">
        <v>556</v>
      </c>
      <c r="S756">
        <v>0</v>
      </c>
      <c r="T756" t="s">
        <v>52</v>
      </c>
      <c r="U756">
        <v>0</v>
      </c>
      <c r="V756">
        <v>0</v>
      </c>
      <c r="W756">
        <v>400013</v>
      </c>
      <c r="X756" t="s">
        <v>56</v>
      </c>
      <c r="Y756" t="s">
        <v>57</v>
      </c>
      <c r="AE756">
        <v>0</v>
      </c>
      <c r="AP756" t="s">
        <v>232</v>
      </c>
    </row>
    <row r="757" spans="1:42">
      <c r="A757" s="1" t="s">
        <v>46</v>
      </c>
      <c r="B757" s="1" t="s">
        <v>1652</v>
      </c>
      <c r="C757" s="1" t="s">
        <v>1652</v>
      </c>
      <c r="E757" s="4" t="s">
        <v>1653</v>
      </c>
      <c r="G757" s="16">
        <v>2</v>
      </c>
      <c r="M757">
        <v>1</v>
      </c>
      <c r="N757">
        <v>265</v>
      </c>
      <c r="O757">
        <v>0</v>
      </c>
      <c r="P757">
        <v>9.25</v>
      </c>
      <c r="Q757">
        <v>2451.25</v>
      </c>
      <c r="R757" t="s">
        <v>241</v>
      </c>
      <c r="S757">
        <v>0</v>
      </c>
      <c r="T757" t="s">
        <v>52</v>
      </c>
      <c r="U757">
        <v>0</v>
      </c>
      <c r="V757">
        <v>0</v>
      </c>
      <c r="W757">
        <v>400028</v>
      </c>
      <c r="AE757">
        <v>0</v>
      </c>
      <c r="AP757" t="s">
        <v>246</v>
      </c>
    </row>
    <row r="758" spans="1:42">
      <c r="A758" s="1" t="s">
        <v>46</v>
      </c>
      <c r="B758" s="1" t="s">
        <v>1654</v>
      </c>
      <c r="C758" s="1" t="s">
        <v>1654</v>
      </c>
      <c r="E758" s="4" t="s">
        <v>1655</v>
      </c>
      <c r="G758" s="16"/>
      <c r="I758">
        <v>18.7</v>
      </c>
      <c r="M758">
        <v>1</v>
      </c>
      <c r="N758">
        <v>-7</v>
      </c>
      <c r="O758">
        <v>0</v>
      </c>
      <c r="P758">
        <v>12.56</v>
      </c>
      <c r="Q758">
        <v>-87.9</v>
      </c>
      <c r="R758" t="s">
        <v>1050</v>
      </c>
      <c r="T758" t="s">
        <v>52</v>
      </c>
      <c r="W758">
        <v>400026</v>
      </c>
      <c r="AE758">
        <v>0</v>
      </c>
      <c r="AH758">
        <v>18.7</v>
      </c>
      <c r="AP758" t="s">
        <v>187</v>
      </c>
    </row>
    <row r="759" spans="1:42">
      <c r="A759" s="1" t="s">
        <v>46</v>
      </c>
      <c r="B759" s="1" t="s">
        <v>1656</v>
      </c>
      <c r="C759" s="1" t="s">
        <v>1656</v>
      </c>
      <c r="E759" s="4" t="s">
        <v>1657</v>
      </c>
      <c r="G759" s="16"/>
      <c r="M759">
        <v>1</v>
      </c>
      <c r="N759">
        <v>3</v>
      </c>
      <c r="O759">
        <v>0</v>
      </c>
      <c r="P759">
        <v>1.26</v>
      </c>
      <c r="Q759">
        <v>3.78</v>
      </c>
      <c r="R759" t="s">
        <v>241</v>
      </c>
      <c r="S759">
        <v>0</v>
      </c>
      <c r="T759" t="s">
        <v>52</v>
      </c>
      <c r="U759">
        <v>0</v>
      </c>
      <c r="V759">
        <v>0</v>
      </c>
      <c r="W759">
        <v>410302</v>
      </c>
      <c r="AE759">
        <v>0</v>
      </c>
      <c r="AP759" t="s">
        <v>177</v>
      </c>
    </row>
    <row r="760" spans="1:42">
      <c r="A760" s="1" t="s">
        <v>46</v>
      </c>
      <c r="B760" s="1" t="s">
        <v>1658</v>
      </c>
      <c r="C760" s="1" t="s">
        <v>1658</v>
      </c>
      <c r="E760" s="4" t="s">
        <v>1659</v>
      </c>
      <c r="G760" s="16"/>
      <c r="M760">
        <v>1</v>
      </c>
      <c r="N760">
        <v>-171</v>
      </c>
      <c r="O760">
        <v>0</v>
      </c>
      <c r="P760">
        <v>5.5</v>
      </c>
      <c r="Q760">
        <v>-940.5</v>
      </c>
      <c r="R760" t="s">
        <v>241</v>
      </c>
      <c r="S760">
        <v>0</v>
      </c>
      <c r="T760" t="s">
        <v>209</v>
      </c>
      <c r="U760">
        <v>0</v>
      </c>
      <c r="V760">
        <v>0</v>
      </c>
      <c r="W760">
        <v>400042</v>
      </c>
      <c r="X760" t="s">
        <v>56</v>
      </c>
      <c r="Y760" t="s">
        <v>57</v>
      </c>
      <c r="AE760">
        <v>0</v>
      </c>
      <c r="AP760" t="s">
        <v>154</v>
      </c>
    </row>
    <row r="761" spans="1:42">
      <c r="A761" s="1" t="s">
        <v>46</v>
      </c>
      <c r="B761" s="1" t="s">
        <v>1660</v>
      </c>
      <c r="C761" s="1" t="s">
        <v>1660</v>
      </c>
      <c r="E761" s="4" t="s">
        <v>1661</v>
      </c>
      <c r="G761" s="16"/>
      <c r="I761">
        <v>24.4</v>
      </c>
      <c r="M761">
        <v>1</v>
      </c>
      <c r="N761">
        <v>14</v>
      </c>
      <c r="O761">
        <v>0</v>
      </c>
      <c r="P761">
        <v>19.18</v>
      </c>
      <c r="Q761">
        <v>268.58</v>
      </c>
      <c r="R761" t="s">
        <v>1050</v>
      </c>
      <c r="S761">
        <v>0</v>
      </c>
      <c r="T761" t="s">
        <v>209</v>
      </c>
      <c r="U761">
        <v>0</v>
      </c>
      <c r="V761">
        <v>0</v>
      </c>
      <c r="W761">
        <v>400026</v>
      </c>
      <c r="AE761">
        <v>0</v>
      </c>
      <c r="AH761">
        <v>24.4</v>
      </c>
      <c r="AP761" t="s">
        <v>187</v>
      </c>
    </row>
    <row r="762" spans="1:42">
      <c r="A762" s="1" t="s">
        <v>46</v>
      </c>
      <c r="B762" s="1" t="s">
        <v>1662</v>
      </c>
      <c r="C762" s="1" t="s">
        <v>1662</v>
      </c>
      <c r="E762" s="4" t="s">
        <v>1663</v>
      </c>
      <c r="G762" s="16"/>
      <c r="M762">
        <v>1</v>
      </c>
      <c r="N762">
        <v>101.6</v>
      </c>
      <c r="O762">
        <v>0</v>
      </c>
      <c r="P762">
        <v>9.44</v>
      </c>
      <c r="Q762">
        <v>959.35</v>
      </c>
      <c r="R762" t="s">
        <v>556</v>
      </c>
      <c r="S762">
        <v>0</v>
      </c>
      <c r="T762" t="s">
        <v>209</v>
      </c>
      <c r="U762">
        <v>0</v>
      </c>
      <c r="V762">
        <v>0</v>
      </c>
      <c r="W762">
        <v>400013</v>
      </c>
      <c r="X762" t="s">
        <v>56</v>
      </c>
      <c r="Y762" t="s">
        <v>57</v>
      </c>
      <c r="AE762">
        <v>0</v>
      </c>
      <c r="AP762" t="s">
        <v>232</v>
      </c>
    </row>
    <row r="763" spans="1:42">
      <c r="A763" s="1" t="s">
        <v>46</v>
      </c>
      <c r="B763" s="1" t="s">
        <v>1664</v>
      </c>
      <c r="C763" s="1" t="s">
        <v>1664</v>
      </c>
      <c r="E763" s="4" t="s">
        <v>1665</v>
      </c>
      <c r="G763" s="16"/>
      <c r="M763">
        <v>1</v>
      </c>
      <c r="N763">
        <v>-179.7</v>
      </c>
      <c r="O763">
        <v>0</v>
      </c>
      <c r="P763">
        <v>4.75</v>
      </c>
      <c r="Q763">
        <v>-853.58</v>
      </c>
      <c r="R763" t="s">
        <v>241</v>
      </c>
      <c r="S763">
        <v>0</v>
      </c>
      <c r="T763" t="s">
        <v>209</v>
      </c>
      <c r="U763">
        <v>0</v>
      </c>
      <c r="V763">
        <v>0</v>
      </c>
      <c r="W763">
        <v>400061</v>
      </c>
      <c r="X763" t="s">
        <v>56</v>
      </c>
      <c r="Y763" t="s">
        <v>57</v>
      </c>
      <c r="AE763">
        <v>0</v>
      </c>
      <c r="AP763" t="s">
        <v>169</v>
      </c>
    </row>
    <row r="764" spans="1:42">
      <c r="A764" s="1" t="s">
        <v>46</v>
      </c>
      <c r="B764" s="1" t="s">
        <v>1666</v>
      </c>
      <c r="C764" s="1" t="s">
        <v>1666</v>
      </c>
      <c r="E764" s="4" t="s">
        <v>1667</v>
      </c>
      <c r="G764" s="16"/>
      <c r="I764">
        <v>15.32</v>
      </c>
      <c r="M764">
        <v>1</v>
      </c>
      <c r="N764">
        <v>80</v>
      </c>
      <c r="O764">
        <v>0</v>
      </c>
      <c r="P764">
        <v>10.95</v>
      </c>
      <c r="Q764">
        <v>876.29</v>
      </c>
      <c r="R764" t="s">
        <v>1050</v>
      </c>
      <c r="S764">
        <v>0</v>
      </c>
      <c r="T764" t="s">
        <v>209</v>
      </c>
      <c r="U764">
        <v>0</v>
      </c>
      <c r="V764">
        <v>0</v>
      </c>
      <c r="W764">
        <v>400214</v>
      </c>
      <c r="X764" t="s">
        <v>56</v>
      </c>
      <c r="Y764" t="s">
        <v>57</v>
      </c>
      <c r="AE764">
        <v>0</v>
      </c>
      <c r="AH764">
        <v>15.32</v>
      </c>
      <c r="AP764" t="s">
        <v>689</v>
      </c>
    </row>
    <row r="765" spans="1:42">
      <c r="A765" s="1" t="s">
        <v>46</v>
      </c>
      <c r="B765" s="1" t="s">
        <v>1668</v>
      </c>
      <c r="C765" s="1" t="s">
        <v>1668</v>
      </c>
      <c r="E765" s="4" t="s">
        <v>1669</v>
      </c>
      <c r="G765" s="16"/>
      <c r="M765">
        <v>1</v>
      </c>
      <c r="N765">
        <v>48</v>
      </c>
      <c r="O765">
        <v>0</v>
      </c>
      <c r="P765">
        <v>2.2200000000000002</v>
      </c>
      <c r="Q765">
        <v>106.6</v>
      </c>
      <c r="R765" t="s">
        <v>556</v>
      </c>
      <c r="S765">
        <v>0</v>
      </c>
      <c r="T765" t="s">
        <v>52</v>
      </c>
      <c r="U765">
        <v>0</v>
      </c>
      <c r="V765">
        <v>0</v>
      </c>
      <c r="W765">
        <v>400013</v>
      </c>
      <c r="AE765">
        <v>0</v>
      </c>
      <c r="AP765" t="s">
        <v>232</v>
      </c>
    </row>
    <row r="766" spans="1:42">
      <c r="A766" s="1" t="s">
        <v>46</v>
      </c>
      <c r="B766" s="1" t="s">
        <v>1670</v>
      </c>
      <c r="C766" s="1" t="s">
        <v>1670</v>
      </c>
      <c r="E766" s="4" t="s">
        <v>1671</v>
      </c>
      <c r="G766" s="16"/>
      <c r="M766">
        <v>1</v>
      </c>
      <c r="N766">
        <v>66</v>
      </c>
      <c r="O766">
        <v>0</v>
      </c>
      <c r="P766">
        <v>1.35</v>
      </c>
      <c r="Q766">
        <v>89.1</v>
      </c>
      <c r="R766" t="s">
        <v>241</v>
      </c>
      <c r="S766">
        <v>0</v>
      </c>
      <c r="T766" t="s">
        <v>52</v>
      </c>
      <c r="U766">
        <v>0</v>
      </c>
      <c r="V766">
        <v>0</v>
      </c>
      <c r="W766">
        <v>410302</v>
      </c>
      <c r="AE766">
        <v>0</v>
      </c>
      <c r="AP766" t="s">
        <v>177</v>
      </c>
    </row>
    <row r="767" spans="1:42">
      <c r="A767" s="1" t="s">
        <v>46</v>
      </c>
      <c r="B767" s="1" t="s">
        <v>1672</v>
      </c>
      <c r="C767" s="1" t="s">
        <v>1672</v>
      </c>
      <c r="E767" s="4" t="s">
        <v>1673</v>
      </c>
      <c r="G767" s="16">
        <v>1.5</v>
      </c>
      <c r="I767">
        <v>15</v>
      </c>
      <c r="M767">
        <v>1</v>
      </c>
      <c r="N767">
        <v>-2</v>
      </c>
      <c r="O767">
        <v>0</v>
      </c>
      <c r="P767">
        <v>8.77</v>
      </c>
      <c r="Q767">
        <v>-17.53</v>
      </c>
      <c r="R767" t="s">
        <v>1050</v>
      </c>
      <c r="S767">
        <v>0</v>
      </c>
      <c r="T767" t="s">
        <v>52</v>
      </c>
      <c r="U767">
        <v>0</v>
      </c>
      <c r="V767">
        <v>0</v>
      </c>
      <c r="W767">
        <v>400026</v>
      </c>
      <c r="AE767">
        <v>0</v>
      </c>
      <c r="AH767">
        <v>15</v>
      </c>
      <c r="AP767" t="s">
        <v>187</v>
      </c>
    </row>
    <row r="768" spans="1:42">
      <c r="A768" s="1" t="s">
        <v>46</v>
      </c>
      <c r="B768" s="1" t="s">
        <v>1674</v>
      </c>
      <c r="C768" s="1" t="s">
        <v>1674</v>
      </c>
      <c r="E768" s="4" t="s">
        <v>1675</v>
      </c>
      <c r="G768" s="16"/>
      <c r="M768">
        <v>1</v>
      </c>
      <c r="N768">
        <v>439</v>
      </c>
      <c r="O768">
        <v>0</v>
      </c>
      <c r="P768">
        <v>0.6</v>
      </c>
      <c r="Q768">
        <v>264.8</v>
      </c>
      <c r="R768" t="s">
        <v>556</v>
      </c>
      <c r="S768">
        <v>0</v>
      </c>
      <c r="T768" t="s">
        <v>52</v>
      </c>
      <c r="U768">
        <v>0</v>
      </c>
      <c r="V768">
        <v>0</v>
      </c>
      <c r="W768">
        <v>400013</v>
      </c>
      <c r="X768" t="s">
        <v>56</v>
      </c>
      <c r="Y768" t="s">
        <v>57</v>
      </c>
      <c r="AE768">
        <v>0</v>
      </c>
      <c r="AP768" t="s">
        <v>232</v>
      </c>
    </row>
    <row r="769" spans="1:42">
      <c r="A769" s="1" t="s">
        <v>46</v>
      </c>
      <c r="B769" s="1" t="s">
        <v>1676</v>
      </c>
      <c r="C769" s="1" t="s">
        <v>1676</v>
      </c>
      <c r="E769" s="4" t="s">
        <v>1677</v>
      </c>
      <c r="G769" s="16">
        <v>1</v>
      </c>
      <c r="M769">
        <v>1</v>
      </c>
      <c r="N769">
        <v>202</v>
      </c>
      <c r="O769">
        <v>0</v>
      </c>
      <c r="P769">
        <v>1.08</v>
      </c>
      <c r="Q769">
        <v>217.92</v>
      </c>
      <c r="R769" t="s">
        <v>556</v>
      </c>
      <c r="S769">
        <v>0</v>
      </c>
      <c r="T769" t="s">
        <v>52</v>
      </c>
      <c r="U769">
        <v>0</v>
      </c>
      <c r="V769">
        <v>0</v>
      </c>
      <c r="W769">
        <v>400013</v>
      </c>
      <c r="X769" t="s">
        <v>56</v>
      </c>
      <c r="Y769" t="s">
        <v>57</v>
      </c>
      <c r="AE769">
        <v>0</v>
      </c>
      <c r="AP769" t="s">
        <v>232</v>
      </c>
    </row>
    <row r="770" spans="1:42">
      <c r="A770" s="1" t="s">
        <v>46</v>
      </c>
      <c r="B770" s="1" t="s">
        <v>1678</v>
      </c>
      <c r="C770" s="1" t="s">
        <v>1678</v>
      </c>
      <c r="E770" s="4" t="s">
        <v>1679</v>
      </c>
      <c r="G770" s="16"/>
      <c r="M770">
        <v>1</v>
      </c>
      <c r="N770">
        <v>-926</v>
      </c>
      <c r="O770">
        <v>0</v>
      </c>
      <c r="P770">
        <v>0.16</v>
      </c>
      <c r="Q770">
        <v>-148.16</v>
      </c>
      <c r="R770" t="s">
        <v>241</v>
      </c>
      <c r="S770">
        <v>0</v>
      </c>
      <c r="T770" t="s">
        <v>52</v>
      </c>
      <c r="U770">
        <v>0</v>
      </c>
      <c r="V770">
        <v>0</v>
      </c>
      <c r="W770">
        <v>410302</v>
      </c>
      <c r="AE770">
        <v>0</v>
      </c>
      <c r="AP770" t="s">
        <v>177</v>
      </c>
    </row>
    <row r="771" spans="1:42">
      <c r="A771" s="1" t="s">
        <v>46</v>
      </c>
      <c r="B771" s="1" t="s">
        <v>1680</v>
      </c>
      <c r="C771" s="1" t="s">
        <v>1680</v>
      </c>
      <c r="E771" s="4" t="s">
        <v>1681</v>
      </c>
      <c r="G771" s="16">
        <v>0.75</v>
      </c>
      <c r="I771">
        <v>1.08</v>
      </c>
      <c r="M771">
        <v>1</v>
      </c>
      <c r="N771">
        <v>181</v>
      </c>
      <c r="O771">
        <v>0</v>
      </c>
      <c r="P771">
        <v>0.74</v>
      </c>
      <c r="Q771">
        <v>133.80000000000001</v>
      </c>
      <c r="R771" t="s">
        <v>1050</v>
      </c>
      <c r="S771">
        <v>0</v>
      </c>
      <c r="T771" t="s">
        <v>52</v>
      </c>
      <c r="U771">
        <v>0</v>
      </c>
      <c r="V771">
        <v>0</v>
      </c>
      <c r="W771">
        <v>400214</v>
      </c>
      <c r="X771" t="s">
        <v>56</v>
      </c>
      <c r="Y771" t="s">
        <v>57</v>
      </c>
      <c r="AE771">
        <v>0</v>
      </c>
      <c r="AH771">
        <v>1.08</v>
      </c>
      <c r="AP771" t="s">
        <v>689</v>
      </c>
    </row>
    <row r="772" spans="1:42">
      <c r="A772" s="1" t="s">
        <v>46</v>
      </c>
      <c r="B772" s="1" t="s">
        <v>1682</v>
      </c>
      <c r="C772" s="1" t="s">
        <v>1682</v>
      </c>
      <c r="E772" s="4" t="s">
        <v>1683</v>
      </c>
      <c r="G772" s="16"/>
      <c r="M772">
        <v>1</v>
      </c>
      <c r="N772">
        <v>-137</v>
      </c>
      <c r="O772">
        <v>0</v>
      </c>
      <c r="P772">
        <v>0.2</v>
      </c>
      <c r="Q772">
        <v>-27.4</v>
      </c>
      <c r="R772" t="s">
        <v>241</v>
      </c>
      <c r="S772">
        <v>0</v>
      </c>
      <c r="T772" t="s">
        <v>52</v>
      </c>
      <c r="U772">
        <v>0</v>
      </c>
      <c r="V772">
        <v>0</v>
      </c>
      <c r="W772">
        <v>410302</v>
      </c>
      <c r="AE772">
        <v>0</v>
      </c>
      <c r="AP772" t="s">
        <v>177</v>
      </c>
    </row>
    <row r="773" spans="1:42">
      <c r="A773" s="1" t="s">
        <v>46</v>
      </c>
      <c r="B773" s="1" t="s">
        <v>1684</v>
      </c>
      <c r="C773" s="1" t="s">
        <v>1684</v>
      </c>
      <c r="E773" s="4" t="s">
        <v>1685</v>
      </c>
      <c r="G773" s="16">
        <v>0.35</v>
      </c>
      <c r="I773">
        <v>1.5</v>
      </c>
      <c r="M773">
        <v>1</v>
      </c>
      <c r="N773">
        <v>16</v>
      </c>
      <c r="O773">
        <v>0</v>
      </c>
      <c r="P773">
        <v>1.01</v>
      </c>
      <c r="Q773">
        <v>16.100000000000001</v>
      </c>
      <c r="R773" t="s">
        <v>1050</v>
      </c>
      <c r="S773">
        <v>0</v>
      </c>
      <c r="T773" t="s">
        <v>52</v>
      </c>
      <c r="U773">
        <v>0</v>
      </c>
      <c r="V773">
        <v>0</v>
      </c>
      <c r="W773">
        <v>400026</v>
      </c>
      <c r="AE773">
        <v>0</v>
      </c>
      <c r="AH773">
        <v>1.5</v>
      </c>
      <c r="AP773" t="s">
        <v>187</v>
      </c>
    </row>
    <row r="774" spans="1:42">
      <c r="A774" s="1" t="s">
        <v>46</v>
      </c>
      <c r="B774" s="1" t="s">
        <v>1686</v>
      </c>
      <c r="C774" s="1" t="s">
        <v>1686</v>
      </c>
      <c r="E774" s="4" t="s">
        <v>1687</v>
      </c>
      <c r="G774" s="16"/>
      <c r="M774">
        <v>1</v>
      </c>
      <c r="N774">
        <v>161</v>
      </c>
      <c r="O774">
        <v>0</v>
      </c>
      <c r="P774">
        <v>0.41</v>
      </c>
      <c r="Q774">
        <v>65.27</v>
      </c>
      <c r="R774" t="s">
        <v>556</v>
      </c>
      <c r="S774">
        <v>0</v>
      </c>
      <c r="T774" t="s">
        <v>52</v>
      </c>
      <c r="U774">
        <v>0</v>
      </c>
      <c r="V774">
        <v>0</v>
      </c>
      <c r="W774">
        <v>400013</v>
      </c>
      <c r="X774" t="s">
        <v>56</v>
      </c>
      <c r="Y774" t="s">
        <v>57</v>
      </c>
      <c r="AE774">
        <v>0</v>
      </c>
      <c r="AP774" t="s">
        <v>232</v>
      </c>
    </row>
    <row r="775" spans="1:42">
      <c r="A775" s="1" t="s">
        <v>46</v>
      </c>
      <c r="B775" s="1" t="s">
        <v>1688</v>
      </c>
      <c r="C775" s="1" t="s">
        <v>1688</v>
      </c>
      <c r="E775" s="4" t="s">
        <v>1689</v>
      </c>
      <c r="G775" s="16"/>
      <c r="M775">
        <v>1</v>
      </c>
      <c r="N775">
        <v>-755</v>
      </c>
      <c r="O775">
        <v>0</v>
      </c>
      <c r="P775">
        <v>0.16</v>
      </c>
      <c r="Q775">
        <v>-120.8</v>
      </c>
      <c r="R775" t="s">
        <v>241</v>
      </c>
      <c r="S775">
        <v>0</v>
      </c>
      <c r="T775" t="s">
        <v>52</v>
      </c>
      <c r="U775">
        <v>0</v>
      </c>
      <c r="V775">
        <v>0</v>
      </c>
      <c r="W775">
        <v>410302</v>
      </c>
      <c r="X775" t="s">
        <v>56</v>
      </c>
      <c r="Y775" t="s">
        <v>57</v>
      </c>
      <c r="AE775">
        <v>0</v>
      </c>
      <c r="AP775" t="s">
        <v>177</v>
      </c>
    </row>
    <row r="776" spans="1:42">
      <c r="A776" s="1" t="s">
        <v>46</v>
      </c>
      <c r="B776" s="1" t="s">
        <v>1690</v>
      </c>
      <c r="C776" s="1" t="s">
        <v>1690</v>
      </c>
      <c r="E776" s="4" t="s">
        <v>1691</v>
      </c>
      <c r="G776" s="16"/>
      <c r="I776">
        <v>0.86</v>
      </c>
      <c r="M776">
        <v>1</v>
      </c>
      <c r="N776">
        <v>40</v>
      </c>
      <c r="O776">
        <v>0</v>
      </c>
      <c r="P776">
        <v>0.44</v>
      </c>
      <c r="Q776">
        <v>17.66</v>
      </c>
      <c r="R776" t="s">
        <v>1050</v>
      </c>
      <c r="S776">
        <v>0</v>
      </c>
      <c r="T776" t="s">
        <v>52</v>
      </c>
      <c r="U776">
        <v>0</v>
      </c>
      <c r="V776">
        <v>0</v>
      </c>
      <c r="W776">
        <v>400214</v>
      </c>
      <c r="X776" t="s">
        <v>56</v>
      </c>
      <c r="Y776" t="s">
        <v>57</v>
      </c>
      <c r="AE776">
        <v>0</v>
      </c>
      <c r="AH776">
        <v>0.86</v>
      </c>
      <c r="AP776" t="s">
        <v>689</v>
      </c>
    </row>
    <row r="777" spans="1:42">
      <c r="A777" s="1" t="s">
        <v>46</v>
      </c>
      <c r="B777" s="1" t="s">
        <v>1692</v>
      </c>
      <c r="C777" s="1" t="s">
        <v>1692</v>
      </c>
      <c r="E777" s="4" t="s">
        <v>1693</v>
      </c>
      <c r="G777" s="16"/>
      <c r="M777">
        <v>1</v>
      </c>
      <c r="N777">
        <v>43</v>
      </c>
      <c r="O777">
        <v>0</v>
      </c>
      <c r="P777">
        <v>1.1000000000000001</v>
      </c>
      <c r="Q777">
        <v>47.3</v>
      </c>
      <c r="R777" t="s">
        <v>176</v>
      </c>
      <c r="S777">
        <v>0</v>
      </c>
      <c r="T777" t="s">
        <v>52</v>
      </c>
      <c r="U777">
        <v>0</v>
      </c>
      <c r="V777">
        <v>0</v>
      </c>
      <c r="W777">
        <v>400061</v>
      </c>
      <c r="X777" t="s">
        <v>56</v>
      </c>
      <c r="Y777" t="s">
        <v>57</v>
      </c>
      <c r="AE777">
        <v>0</v>
      </c>
      <c r="AP777" t="s">
        <v>169</v>
      </c>
    </row>
    <row r="778" spans="1:42">
      <c r="A778" s="1" t="s">
        <v>46</v>
      </c>
      <c r="B778" s="1" t="s">
        <v>1694</v>
      </c>
      <c r="C778" s="1" t="s">
        <v>1694</v>
      </c>
      <c r="E778" s="4" t="s">
        <v>1695</v>
      </c>
      <c r="G778" s="16"/>
      <c r="M778">
        <v>1</v>
      </c>
      <c r="N778">
        <v>202</v>
      </c>
      <c r="O778">
        <v>0</v>
      </c>
      <c r="P778">
        <v>1.75</v>
      </c>
      <c r="Q778">
        <v>353.5</v>
      </c>
      <c r="R778" t="s">
        <v>241</v>
      </c>
      <c r="S778">
        <v>0</v>
      </c>
      <c r="T778" t="s">
        <v>52</v>
      </c>
      <c r="U778">
        <v>0</v>
      </c>
      <c r="V778">
        <v>0</v>
      </c>
      <c r="W778">
        <v>410302</v>
      </c>
      <c r="AE778">
        <v>0</v>
      </c>
      <c r="AP778" t="s">
        <v>177</v>
      </c>
    </row>
    <row r="779" spans="1:42">
      <c r="A779" s="1" t="s">
        <v>46</v>
      </c>
      <c r="B779" s="1" t="s">
        <v>1696</v>
      </c>
      <c r="C779" s="1" t="s">
        <v>1696</v>
      </c>
      <c r="E779" s="4" t="s">
        <v>1697</v>
      </c>
      <c r="G779" s="16">
        <v>0.65</v>
      </c>
      <c r="M779">
        <v>1</v>
      </c>
      <c r="N779">
        <v>21</v>
      </c>
      <c r="O779">
        <v>0</v>
      </c>
      <c r="P779">
        <v>3.33</v>
      </c>
      <c r="Q779">
        <v>69.930000000000007</v>
      </c>
      <c r="R779" t="s">
        <v>783</v>
      </c>
      <c r="S779">
        <v>0</v>
      </c>
      <c r="T779">
        <v>0</v>
      </c>
      <c r="U779">
        <v>0</v>
      </c>
      <c r="V779">
        <v>0</v>
      </c>
      <c r="W779">
        <v>400013</v>
      </c>
      <c r="X779" t="s">
        <v>56</v>
      </c>
      <c r="Y779" t="s">
        <v>57</v>
      </c>
      <c r="AE779">
        <v>0</v>
      </c>
      <c r="AP779" t="s">
        <v>232</v>
      </c>
    </row>
    <row r="780" spans="1:42">
      <c r="A780" s="1" t="s">
        <v>46</v>
      </c>
      <c r="B780" s="1" t="s">
        <v>1698</v>
      </c>
      <c r="C780" s="1" t="s">
        <v>1698</v>
      </c>
      <c r="E780" s="4" t="s">
        <v>1699</v>
      </c>
      <c r="G780" s="16"/>
      <c r="M780">
        <v>1</v>
      </c>
      <c r="N780">
        <v>89</v>
      </c>
      <c r="O780">
        <v>0</v>
      </c>
      <c r="P780">
        <v>3.77</v>
      </c>
      <c r="Q780">
        <v>335.53</v>
      </c>
      <c r="R780" t="s">
        <v>783</v>
      </c>
      <c r="S780">
        <v>0</v>
      </c>
      <c r="T780">
        <v>0</v>
      </c>
      <c r="U780">
        <v>0</v>
      </c>
      <c r="V780">
        <v>0</v>
      </c>
      <c r="W780">
        <v>400013</v>
      </c>
      <c r="X780" t="s">
        <v>56</v>
      </c>
      <c r="Y780" t="s">
        <v>57</v>
      </c>
      <c r="AE780">
        <v>0</v>
      </c>
      <c r="AP780" t="s">
        <v>232</v>
      </c>
    </row>
    <row r="781" spans="1:42">
      <c r="A781" s="1" t="s">
        <v>46</v>
      </c>
      <c r="B781" s="1" t="s">
        <v>1700</v>
      </c>
      <c r="C781" s="1" t="s">
        <v>1700</v>
      </c>
      <c r="E781" s="4" t="s">
        <v>1701</v>
      </c>
      <c r="G781" s="16"/>
      <c r="M781">
        <v>1</v>
      </c>
      <c r="N781">
        <v>133</v>
      </c>
      <c r="O781">
        <v>0</v>
      </c>
      <c r="P781">
        <v>2</v>
      </c>
      <c r="Q781">
        <v>266</v>
      </c>
      <c r="R781" t="s">
        <v>241</v>
      </c>
      <c r="S781">
        <v>0</v>
      </c>
      <c r="T781" t="s">
        <v>52</v>
      </c>
      <c r="U781">
        <v>0</v>
      </c>
      <c r="V781">
        <v>0</v>
      </c>
      <c r="W781">
        <v>410302</v>
      </c>
      <c r="AE781">
        <v>0</v>
      </c>
      <c r="AP781" t="s">
        <v>177</v>
      </c>
    </row>
    <row r="782" spans="1:42">
      <c r="A782" s="1" t="s">
        <v>46</v>
      </c>
      <c r="B782" s="1" t="s">
        <v>1702</v>
      </c>
      <c r="C782" s="1" t="s">
        <v>1702</v>
      </c>
      <c r="E782" s="4" t="s">
        <v>1703</v>
      </c>
      <c r="G782" s="16"/>
      <c r="I782">
        <v>25</v>
      </c>
      <c r="M782">
        <v>1</v>
      </c>
      <c r="N782">
        <v>-44</v>
      </c>
      <c r="O782">
        <v>0</v>
      </c>
      <c r="P782">
        <v>13.43</v>
      </c>
      <c r="Q782">
        <v>-590.96</v>
      </c>
      <c r="R782" t="s">
        <v>1050</v>
      </c>
      <c r="S782">
        <v>0</v>
      </c>
      <c r="T782" t="s">
        <v>52</v>
      </c>
      <c r="U782">
        <v>0</v>
      </c>
      <c r="V782">
        <v>0</v>
      </c>
      <c r="W782">
        <v>400026</v>
      </c>
      <c r="AE782">
        <v>0</v>
      </c>
      <c r="AH782">
        <v>25</v>
      </c>
      <c r="AP782" t="s">
        <v>187</v>
      </c>
    </row>
    <row r="783" spans="1:42">
      <c r="A783" s="1" t="s">
        <v>46</v>
      </c>
      <c r="B783" s="1" t="s">
        <v>1704</v>
      </c>
      <c r="C783" s="1" t="s">
        <v>1704</v>
      </c>
      <c r="E783" s="4" t="s">
        <v>1705</v>
      </c>
      <c r="G783" s="16"/>
      <c r="M783">
        <v>1</v>
      </c>
      <c r="N783">
        <v>526</v>
      </c>
      <c r="O783">
        <v>0</v>
      </c>
      <c r="P783">
        <v>2</v>
      </c>
      <c r="Q783">
        <v>1052</v>
      </c>
      <c r="R783" t="s">
        <v>241</v>
      </c>
      <c r="S783">
        <v>0</v>
      </c>
      <c r="T783" t="s">
        <v>52</v>
      </c>
      <c r="U783">
        <v>0</v>
      </c>
      <c r="V783">
        <v>0</v>
      </c>
      <c r="W783">
        <v>410302</v>
      </c>
      <c r="AE783">
        <v>0</v>
      </c>
      <c r="AP783" t="s">
        <v>177</v>
      </c>
    </row>
    <row r="784" spans="1:42">
      <c r="A784" s="1" t="s">
        <v>46</v>
      </c>
      <c r="B784" s="1" t="s">
        <v>1706</v>
      </c>
      <c r="C784" s="1" t="s">
        <v>1706</v>
      </c>
      <c r="E784" s="4" t="s">
        <v>1707</v>
      </c>
      <c r="G784" s="16"/>
      <c r="I784">
        <v>25</v>
      </c>
      <c r="M784">
        <v>1</v>
      </c>
      <c r="N784">
        <v>3</v>
      </c>
      <c r="O784">
        <v>0</v>
      </c>
      <c r="P784">
        <v>18.010000000000002</v>
      </c>
      <c r="Q784">
        <v>54.03</v>
      </c>
      <c r="R784" t="s">
        <v>1050</v>
      </c>
      <c r="S784">
        <v>0</v>
      </c>
      <c r="T784" t="s">
        <v>52</v>
      </c>
      <c r="U784">
        <v>0</v>
      </c>
      <c r="V784">
        <v>0</v>
      </c>
      <c r="W784">
        <v>400026</v>
      </c>
      <c r="AE784">
        <v>0</v>
      </c>
      <c r="AH784">
        <v>25</v>
      </c>
      <c r="AP784" t="s">
        <v>187</v>
      </c>
    </row>
    <row r="785" spans="1:42">
      <c r="A785" s="1"/>
      <c r="B785" s="1"/>
      <c r="C785" s="1"/>
      <c r="E785" s="12" t="s">
        <v>1708</v>
      </c>
      <c r="G785" s="16">
        <v>75</v>
      </c>
    </row>
    <row r="786" spans="1:42">
      <c r="A786" s="1" t="s">
        <v>46</v>
      </c>
      <c r="B786" s="1" t="s">
        <v>1709</v>
      </c>
      <c r="C786" s="1" t="s">
        <v>1709</v>
      </c>
      <c r="E786" s="4" t="s">
        <v>1710</v>
      </c>
      <c r="G786" s="16"/>
      <c r="M786">
        <v>1</v>
      </c>
      <c r="N786">
        <v>128</v>
      </c>
      <c r="O786">
        <v>0</v>
      </c>
      <c r="P786">
        <v>0.6</v>
      </c>
      <c r="Q786">
        <v>76.8</v>
      </c>
      <c r="R786" t="s">
        <v>176</v>
      </c>
      <c r="S786">
        <v>0</v>
      </c>
      <c r="T786" t="s">
        <v>52</v>
      </c>
      <c r="U786">
        <v>0</v>
      </c>
      <c r="V786">
        <v>0</v>
      </c>
      <c r="W786">
        <v>400061</v>
      </c>
      <c r="X786" t="s">
        <v>56</v>
      </c>
      <c r="Y786" t="s">
        <v>57</v>
      </c>
      <c r="AE786">
        <v>0</v>
      </c>
      <c r="AP786" t="s">
        <v>169</v>
      </c>
    </row>
    <row r="787" spans="1:42">
      <c r="A787" s="1" t="s">
        <v>46</v>
      </c>
      <c r="B787" s="1" t="s">
        <v>1711</v>
      </c>
      <c r="C787" s="1" t="s">
        <v>1711</v>
      </c>
      <c r="E787" s="4" t="s">
        <v>1712</v>
      </c>
      <c r="G787" s="16"/>
      <c r="I787">
        <v>9.9600000000000009</v>
      </c>
      <c r="M787">
        <v>1</v>
      </c>
      <c r="N787">
        <v>7</v>
      </c>
      <c r="O787">
        <v>0</v>
      </c>
      <c r="P787">
        <v>1.5</v>
      </c>
      <c r="Q787">
        <v>10.5</v>
      </c>
      <c r="R787" t="s">
        <v>241</v>
      </c>
      <c r="S787">
        <v>0</v>
      </c>
      <c r="T787" t="s">
        <v>52</v>
      </c>
      <c r="U787">
        <v>0</v>
      </c>
      <c r="V787">
        <v>0</v>
      </c>
      <c r="W787">
        <v>410302</v>
      </c>
      <c r="AE787">
        <v>0</v>
      </c>
      <c r="AH787">
        <v>9.9600000000000009</v>
      </c>
      <c r="AP787" t="s">
        <v>177</v>
      </c>
    </row>
    <row r="788" spans="1:42">
      <c r="A788" s="1" t="s">
        <v>46</v>
      </c>
      <c r="B788" s="1" t="s">
        <v>1713</v>
      </c>
      <c r="C788" s="1" t="s">
        <v>1713</v>
      </c>
      <c r="E788" s="4" t="s">
        <v>1714</v>
      </c>
      <c r="G788" s="16"/>
      <c r="I788">
        <v>9.9600000000000009</v>
      </c>
      <c r="M788">
        <v>1</v>
      </c>
      <c r="N788">
        <v>4</v>
      </c>
      <c r="O788">
        <v>0</v>
      </c>
      <c r="P788">
        <v>6.69</v>
      </c>
      <c r="Q788">
        <v>26.75</v>
      </c>
      <c r="R788" t="s">
        <v>1050</v>
      </c>
      <c r="S788">
        <v>0</v>
      </c>
      <c r="T788" t="s">
        <v>52</v>
      </c>
      <c r="U788">
        <v>0</v>
      </c>
      <c r="V788">
        <v>0</v>
      </c>
      <c r="W788">
        <v>400026</v>
      </c>
      <c r="AE788">
        <v>0</v>
      </c>
      <c r="AH788">
        <v>9.9600000000000009</v>
      </c>
      <c r="AP788" t="s">
        <v>187</v>
      </c>
    </row>
    <row r="789" spans="1:42">
      <c r="A789" s="1" t="s">
        <v>46</v>
      </c>
      <c r="B789" s="1" t="s">
        <v>1715</v>
      </c>
      <c r="C789" s="1" t="s">
        <v>1715</v>
      </c>
      <c r="E789" s="4" t="s">
        <v>1716</v>
      </c>
      <c r="G789" s="16"/>
      <c r="M789">
        <v>1</v>
      </c>
      <c r="N789">
        <v>1</v>
      </c>
      <c r="O789">
        <v>0</v>
      </c>
      <c r="P789">
        <v>1.82</v>
      </c>
      <c r="Q789">
        <v>1.82</v>
      </c>
      <c r="R789" t="s">
        <v>241</v>
      </c>
      <c r="S789">
        <v>0</v>
      </c>
      <c r="T789" t="s">
        <v>52</v>
      </c>
      <c r="U789">
        <v>0</v>
      </c>
      <c r="V789">
        <v>0</v>
      </c>
      <c r="W789">
        <v>400119</v>
      </c>
      <c r="AE789">
        <v>0</v>
      </c>
      <c r="AP789" t="s">
        <v>53</v>
      </c>
    </row>
    <row r="790" spans="1:42">
      <c r="A790" s="1" t="s">
        <v>46</v>
      </c>
      <c r="B790" s="1" t="s">
        <v>1717</v>
      </c>
      <c r="C790" s="1" t="s">
        <v>1717</v>
      </c>
      <c r="E790" s="4" t="s">
        <v>1718</v>
      </c>
      <c r="G790" s="16"/>
      <c r="M790">
        <v>1</v>
      </c>
      <c r="N790">
        <v>18</v>
      </c>
      <c r="O790">
        <v>0</v>
      </c>
      <c r="P790">
        <v>1.64</v>
      </c>
      <c r="Q790">
        <v>29.55</v>
      </c>
      <c r="R790" t="s">
        <v>556</v>
      </c>
      <c r="S790">
        <v>0</v>
      </c>
      <c r="T790" t="s">
        <v>52</v>
      </c>
      <c r="U790">
        <v>0</v>
      </c>
      <c r="V790">
        <v>0</v>
      </c>
      <c r="W790">
        <v>400013</v>
      </c>
      <c r="AE790">
        <v>0</v>
      </c>
      <c r="AP790" t="s">
        <v>232</v>
      </c>
    </row>
    <row r="791" spans="1:42">
      <c r="A791" s="1" t="s">
        <v>46</v>
      </c>
      <c r="B791" s="1" t="s">
        <v>1719</v>
      </c>
      <c r="C791" s="1" t="s">
        <v>1719</v>
      </c>
      <c r="E791" s="4" t="s">
        <v>1720</v>
      </c>
      <c r="G791" s="16"/>
      <c r="M791">
        <v>1</v>
      </c>
      <c r="N791">
        <v>311</v>
      </c>
      <c r="O791">
        <v>0</v>
      </c>
      <c r="P791">
        <v>1.5</v>
      </c>
      <c r="Q791">
        <v>466.5</v>
      </c>
      <c r="R791" t="s">
        <v>241</v>
      </c>
      <c r="S791">
        <v>0</v>
      </c>
      <c r="T791" t="s">
        <v>52</v>
      </c>
      <c r="U791">
        <v>0</v>
      </c>
      <c r="V791">
        <v>0</v>
      </c>
      <c r="W791">
        <v>410302</v>
      </c>
      <c r="AE791">
        <v>0</v>
      </c>
      <c r="AP791" t="s">
        <v>177</v>
      </c>
    </row>
    <row r="792" spans="1:42">
      <c r="A792" s="1" t="s">
        <v>46</v>
      </c>
      <c r="B792" s="1" t="s">
        <v>1721</v>
      </c>
      <c r="C792" s="1" t="s">
        <v>1721</v>
      </c>
      <c r="E792" s="4" t="s">
        <v>1722</v>
      </c>
      <c r="G792" s="16"/>
      <c r="I792">
        <v>9.8800000000000008</v>
      </c>
      <c r="M792">
        <v>1</v>
      </c>
      <c r="N792">
        <v>4</v>
      </c>
      <c r="O792">
        <v>0</v>
      </c>
      <c r="P792">
        <v>9.49</v>
      </c>
      <c r="Q792">
        <v>37.97</v>
      </c>
      <c r="R792" t="s">
        <v>1050</v>
      </c>
      <c r="S792">
        <v>0</v>
      </c>
      <c r="T792" t="s">
        <v>52</v>
      </c>
      <c r="U792">
        <v>0</v>
      </c>
      <c r="V792">
        <v>0</v>
      </c>
      <c r="W792">
        <v>400026</v>
      </c>
      <c r="AE792">
        <v>0</v>
      </c>
      <c r="AH792">
        <v>9.8800000000000008</v>
      </c>
      <c r="AP792" t="s">
        <v>187</v>
      </c>
    </row>
    <row r="793" spans="1:42">
      <c r="A793" s="1" t="s">
        <v>46</v>
      </c>
      <c r="B793" s="1" t="s">
        <v>1723</v>
      </c>
      <c r="C793" s="1" t="s">
        <v>1723</v>
      </c>
      <c r="E793" s="4" t="s">
        <v>1724</v>
      </c>
      <c r="G793" s="16"/>
      <c r="M793">
        <v>1</v>
      </c>
      <c r="N793">
        <v>971</v>
      </c>
      <c r="O793">
        <v>0</v>
      </c>
      <c r="P793">
        <v>1.7</v>
      </c>
      <c r="Q793">
        <v>1650.7</v>
      </c>
      <c r="R793" t="s">
        <v>241</v>
      </c>
      <c r="S793">
        <v>0</v>
      </c>
      <c r="T793" t="s">
        <v>52</v>
      </c>
      <c r="U793">
        <v>0</v>
      </c>
      <c r="V793">
        <v>0</v>
      </c>
      <c r="W793">
        <v>400061</v>
      </c>
      <c r="X793" t="s">
        <v>56</v>
      </c>
      <c r="Y793" t="s">
        <v>57</v>
      </c>
      <c r="AE793">
        <v>0</v>
      </c>
      <c r="AP793" t="s">
        <v>169</v>
      </c>
    </row>
    <row r="794" spans="1:42">
      <c r="A794" s="1" t="s">
        <v>46</v>
      </c>
      <c r="B794" s="1" t="s">
        <v>1725</v>
      </c>
      <c r="C794" s="1" t="s">
        <v>1725</v>
      </c>
      <c r="E794" s="4" t="s">
        <v>1726</v>
      </c>
      <c r="G794" s="16"/>
      <c r="I794">
        <v>12.57</v>
      </c>
      <c r="M794">
        <v>1</v>
      </c>
      <c r="N794">
        <v>20</v>
      </c>
      <c r="O794">
        <v>0</v>
      </c>
      <c r="P794">
        <v>8.59</v>
      </c>
      <c r="Q794">
        <v>171.84</v>
      </c>
      <c r="R794" t="s">
        <v>1050</v>
      </c>
      <c r="S794">
        <v>0</v>
      </c>
      <c r="T794" t="s">
        <v>52</v>
      </c>
      <c r="U794">
        <v>0</v>
      </c>
      <c r="V794">
        <v>0</v>
      </c>
      <c r="W794">
        <v>400013</v>
      </c>
      <c r="AE794">
        <v>0</v>
      </c>
      <c r="AH794">
        <v>12.57</v>
      </c>
      <c r="AP794" t="s">
        <v>232</v>
      </c>
    </row>
    <row r="795" spans="1:42">
      <c r="A795" s="1" t="s">
        <v>46</v>
      </c>
      <c r="B795" s="1" t="s">
        <v>1727</v>
      </c>
      <c r="C795" s="1" t="s">
        <v>1727</v>
      </c>
      <c r="E795" s="4" t="s">
        <v>1728</v>
      </c>
      <c r="G795" s="16"/>
      <c r="M795">
        <v>1</v>
      </c>
      <c r="N795">
        <v>211</v>
      </c>
      <c r="O795">
        <v>0</v>
      </c>
      <c r="P795">
        <v>0.45</v>
      </c>
      <c r="Q795">
        <v>94.95</v>
      </c>
      <c r="R795">
        <v>0</v>
      </c>
      <c r="S795">
        <v>0</v>
      </c>
      <c r="T795" t="s">
        <v>52</v>
      </c>
      <c r="U795">
        <v>0</v>
      </c>
      <c r="V795">
        <v>0</v>
      </c>
      <c r="W795">
        <v>400201</v>
      </c>
      <c r="AE795">
        <v>0</v>
      </c>
      <c r="AP795" t="s">
        <v>1395</v>
      </c>
    </row>
    <row r="796" spans="1:42">
      <c r="A796" s="1" t="s">
        <v>46</v>
      </c>
      <c r="B796" s="1" t="s">
        <v>1729</v>
      </c>
      <c r="C796" s="1" t="s">
        <v>1729</v>
      </c>
      <c r="E796" s="4" t="s">
        <v>1730</v>
      </c>
      <c r="G796" s="16"/>
      <c r="M796">
        <v>1</v>
      </c>
      <c r="N796">
        <v>47</v>
      </c>
      <c r="O796">
        <v>0</v>
      </c>
      <c r="P796">
        <v>0.85</v>
      </c>
      <c r="Q796">
        <v>40.07</v>
      </c>
      <c r="R796" t="s">
        <v>556</v>
      </c>
      <c r="S796">
        <v>0</v>
      </c>
      <c r="T796" t="s">
        <v>52</v>
      </c>
      <c r="U796">
        <v>0</v>
      </c>
      <c r="V796">
        <v>0</v>
      </c>
      <c r="W796">
        <v>400013</v>
      </c>
      <c r="AE796">
        <v>0</v>
      </c>
      <c r="AP796" t="s">
        <v>232</v>
      </c>
    </row>
    <row r="797" spans="1:42">
      <c r="A797" s="1" t="s">
        <v>46</v>
      </c>
      <c r="B797" s="1" t="s">
        <v>1731</v>
      </c>
      <c r="C797" s="1" t="s">
        <v>1731</v>
      </c>
      <c r="E797" s="4" t="s">
        <v>1732</v>
      </c>
      <c r="G797" s="16"/>
      <c r="M797">
        <v>1</v>
      </c>
      <c r="N797">
        <v>75</v>
      </c>
      <c r="O797">
        <v>0</v>
      </c>
      <c r="P797">
        <v>0.71</v>
      </c>
      <c r="Q797">
        <v>53.07</v>
      </c>
      <c r="R797" t="s">
        <v>556</v>
      </c>
      <c r="S797">
        <v>0</v>
      </c>
      <c r="T797" t="s">
        <v>52</v>
      </c>
      <c r="U797">
        <v>0</v>
      </c>
      <c r="V797">
        <v>0</v>
      </c>
      <c r="W797">
        <v>400013</v>
      </c>
      <c r="AE797">
        <v>0</v>
      </c>
      <c r="AP797" t="s">
        <v>232</v>
      </c>
    </row>
    <row r="798" spans="1:42">
      <c r="A798" s="1" t="s">
        <v>46</v>
      </c>
      <c r="B798" s="1" t="s">
        <v>1733</v>
      </c>
      <c r="C798" s="1" t="s">
        <v>1733</v>
      </c>
      <c r="E798" s="4" t="s">
        <v>1734</v>
      </c>
      <c r="G798" s="16">
        <v>2.5</v>
      </c>
      <c r="M798">
        <v>1</v>
      </c>
      <c r="N798">
        <v>57</v>
      </c>
      <c r="O798">
        <v>0</v>
      </c>
      <c r="P798">
        <v>1.25</v>
      </c>
      <c r="Q798">
        <v>71.25</v>
      </c>
      <c r="W798">
        <v>400061</v>
      </c>
      <c r="AE798">
        <v>0</v>
      </c>
      <c r="AP798" t="s">
        <v>169</v>
      </c>
    </row>
    <row r="799" spans="1:42">
      <c r="A799" s="1" t="s">
        <v>46</v>
      </c>
      <c r="B799" s="1" t="s">
        <v>1735</v>
      </c>
      <c r="C799" s="1" t="s">
        <v>1735</v>
      </c>
      <c r="E799" s="4" t="s">
        <v>1736</v>
      </c>
      <c r="G799" s="16"/>
      <c r="M799">
        <v>1</v>
      </c>
      <c r="N799">
        <v>-15</v>
      </c>
      <c r="O799">
        <v>0</v>
      </c>
      <c r="AE799">
        <v>0</v>
      </c>
    </row>
    <row r="800" spans="1:42">
      <c r="A800" s="1" t="s">
        <v>46</v>
      </c>
      <c r="B800" s="1" t="s">
        <v>1737</v>
      </c>
      <c r="C800" s="1" t="s">
        <v>1737</v>
      </c>
      <c r="E800" s="4" t="s">
        <v>1738</v>
      </c>
      <c r="G800" s="16">
        <v>2</v>
      </c>
      <c r="M800">
        <v>1</v>
      </c>
      <c r="N800">
        <v>-3</v>
      </c>
      <c r="O800">
        <v>0</v>
      </c>
      <c r="P800">
        <v>1.05</v>
      </c>
      <c r="Q800">
        <v>-3.15</v>
      </c>
      <c r="R800" t="s">
        <v>241</v>
      </c>
      <c r="S800">
        <v>0</v>
      </c>
      <c r="T800" t="s">
        <v>52</v>
      </c>
      <c r="U800">
        <v>0</v>
      </c>
      <c r="V800">
        <v>0</v>
      </c>
      <c r="W800">
        <v>400119</v>
      </c>
      <c r="AE800">
        <v>0</v>
      </c>
      <c r="AP800" t="s">
        <v>53</v>
      </c>
    </row>
    <row r="801" spans="1:42">
      <c r="A801" s="1" t="s">
        <v>46</v>
      </c>
      <c r="B801" s="1" t="s">
        <v>1739</v>
      </c>
      <c r="C801" s="1" t="s">
        <v>1739</v>
      </c>
      <c r="E801" s="4" t="s">
        <v>1740</v>
      </c>
      <c r="G801" s="16"/>
      <c r="M801">
        <v>1</v>
      </c>
      <c r="N801">
        <v>8</v>
      </c>
      <c r="O801">
        <v>0</v>
      </c>
      <c r="P801">
        <v>0.41</v>
      </c>
      <c r="Q801">
        <v>3.24</v>
      </c>
      <c r="R801" t="s">
        <v>556</v>
      </c>
      <c r="S801">
        <v>0</v>
      </c>
      <c r="T801" t="s">
        <v>52</v>
      </c>
      <c r="U801">
        <v>0</v>
      </c>
      <c r="V801">
        <v>0</v>
      </c>
      <c r="W801">
        <v>400013</v>
      </c>
      <c r="AE801">
        <v>0</v>
      </c>
      <c r="AP801" t="s">
        <v>232</v>
      </c>
    </row>
    <row r="802" spans="1:42">
      <c r="A802" s="1" t="s">
        <v>46</v>
      </c>
      <c r="B802" s="1" t="s">
        <v>1741</v>
      </c>
      <c r="C802" s="1" t="s">
        <v>1741</v>
      </c>
      <c r="E802" s="4" t="s">
        <v>1742</v>
      </c>
      <c r="G802" s="16">
        <v>2.5</v>
      </c>
      <c r="M802">
        <v>1</v>
      </c>
      <c r="N802">
        <v>-54</v>
      </c>
      <c r="O802">
        <v>0</v>
      </c>
      <c r="P802">
        <v>0.13</v>
      </c>
      <c r="Q802">
        <v>-7.02</v>
      </c>
      <c r="R802" t="s">
        <v>241</v>
      </c>
      <c r="S802">
        <v>0</v>
      </c>
      <c r="T802" t="s">
        <v>52</v>
      </c>
      <c r="U802">
        <v>0</v>
      </c>
      <c r="V802">
        <v>0</v>
      </c>
      <c r="W802">
        <v>400200</v>
      </c>
      <c r="AE802">
        <v>0</v>
      </c>
      <c r="AP802" t="s">
        <v>771</v>
      </c>
    </row>
    <row r="803" spans="1:42">
      <c r="A803" s="1" t="s">
        <v>46</v>
      </c>
      <c r="B803" s="1" t="s">
        <v>1743</v>
      </c>
      <c r="C803" s="1" t="s">
        <v>1743</v>
      </c>
      <c r="E803" s="4" t="s">
        <v>1744</v>
      </c>
      <c r="G803" s="16"/>
      <c r="I803">
        <v>0.77</v>
      </c>
      <c r="M803">
        <v>1</v>
      </c>
      <c r="N803">
        <v>-3</v>
      </c>
      <c r="O803">
        <v>0</v>
      </c>
      <c r="P803">
        <v>0.52</v>
      </c>
      <c r="Q803">
        <v>-1.55</v>
      </c>
      <c r="R803" t="s">
        <v>1050</v>
      </c>
      <c r="S803">
        <v>0</v>
      </c>
      <c r="T803" t="s">
        <v>52</v>
      </c>
      <c r="U803">
        <v>0</v>
      </c>
      <c r="V803">
        <v>0</v>
      </c>
      <c r="W803">
        <v>400026</v>
      </c>
      <c r="AE803">
        <v>0</v>
      </c>
      <c r="AH803">
        <v>0.77</v>
      </c>
      <c r="AP803" t="s">
        <v>187</v>
      </c>
    </row>
    <row r="804" spans="1:42">
      <c r="A804" s="1" t="s">
        <v>46</v>
      </c>
      <c r="B804" s="1" t="s">
        <v>1745</v>
      </c>
      <c r="C804" s="1" t="s">
        <v>1745</v>
      </c>
      <c r="E804" s="4" t="s">
        <v>1746</v>
      </c>
      <c r="G804" s="16">
        <v>1.75</v>
      </c>
      <c r="M804">
        <v>1</v>
      </c>
      <c r="N804">
        <v>-6</v>
      </c>
      <c r="O804">
        <v>0</v>
      </c>
      <c r="P804">
        <v>0.4</v>
      </c>
      <c r="Q804">
        <v>-2.42</v>
      </c>
      <c r="R804" t="s">
        <v>241</v>
      </c>
      <c r="S804">
        <v>0</v>
      </c>
      <c r="T804" t="s">
        <v>52</v>
      </c>
      <c r="W804">
        <v>400112</v>
      </c>
      <c r="AE804">
        <v>0</v>
      </c>
      <c r="AP804" t="s">
        <v>220</v>
      </c>
    </row>
    <row r="805" spans="1:42">
      <c r="A805" s="1" t="s">
        <v>46</v>
      </c>
      <c r="B805" s="1" t="s">
        <v>1747</v>
      </c>
      <c r="C805" s="1" t="s">
        <v>1747</v>
      </c>
      <c r="E805" s="4" t="s">
        <v>1748</v>
      </c>
      <c r="G805" s="16"/>
      <c r="M805">
        <v>1</v>
      </c>
      <c r="N805">
        <v>56</v>
      </c>
      <c r="O805">
        <v>0</v>
      </c>
      <c r="P805">
        <v>0.35</v>
      </c>
      <c r="Q805">
        <v>19.600000000000001</v>
      </c>
      <c r="R805" t="s">
        <v>241</v>
      </c>
      <c r="S805">
        <v>0</v>
      </c>
      <c r="T805" t="s">
        <v>52</v>
      </c>
      <c r="U805">
        <v>0</v>
      </c>
      <c r="V805">
        <v>0</v>
      </c>
      <c r="W805">
        <v>410302</v>
      </c>
      <c r="AE805">
        <v>0</v>
      </c>
      <c r="AP805" t="s">
        <v>177</v>
      </c>
    </row>
    <row r="806" spans="1:42">
      <c r="A806" s="1" t="s">
        <v>46</v>
      </c>
      <c r="B806" s="1" t="s">
        <v>1749</v>
      </c>
      <c r="C806" s="1" t="s">
        <v>1749</v>
      </c>
      <c r="E806" s="4" t="s">
        <v>1750</v>
      </c>
      <c r="G806" s="16">
        <v>1.5</v>
      </c>
      <c r="M806">
        <v>1</v>
      </c>
      <c r="N806">
        <v>55</v>
      </c>
      <c r="O806">
        <v>0</v>
      </c>
      <c r="P806">
        <v>0.41</v>
      </c>
      <c r="Q806">
        <v>22.65</v>
      </c>
      <c r="R806" t="s">
        <v>556</v>
      </c>
      <c r="S806">
        <v>0</v>
      </c>
      <c r="T806" t="s">
        <v>52</v>
      </c>
      <c r="U806">
        <v>0</v>
      </c>
      <c r="V806">
        <v>0</v>
      </c>
      <c r="W806">
        <v>400013</v>
      </c>
      <c r="AE806">
        <v>0</v>
      </c>
      <c r="AP806" t="s">
        <v>232</v>
      </c>
    </row>
    <row r="807" spans="1:42">
      <c r="A807" s="1" t="s">
        <v>46</v>
      </c>
      <c r="B807" s="1" t="s">
        <v>1751</v>
      </c>
      <c r="C807" s="1" t="s">
        <v>1751</v>
      </c>
      <c r="E807" s="4" t="s">
        <v>1752</v>
      </c>
      <c r="G807" s="16"/>
      <c r="M807">
        <v>1</v>
      </c>
      <c r="N807">
        <v>75</v>
      </c>
      <c r="O807">
        <v>0</v>
      </c>
      <c r="P807">
        <v>0.13</v>
      </c>
      <c r="Q807">
        <v>9.75</v>
      </c>
      <c r="R807" t="s">
        <v>241</v>
      </c>
      <c r="S807">
        <v>0</v>
      </c>
      <c r="T807" t="s">
        <v>52</v>
      </c>
      <c r="U807">
        <v>0</v>
      </c>
      <c r="V807">
        <v>0</v>
      </c>
      <c r="W807">
        <v>410302</v>
      </c>
      <c r="AE807">
        <v>0</v>
      </c>
      <c r="AP807" t="s">
        <v>177</v>
      </c>
    </row>
    <row r="808" spans="1:42">
      <c r="A808" s="1" t="s">
        <v>46</v>
      </c>
      <c r="B808" s="1" t="s">
        <v>1753</v>
      </c>
      <c r="C808" s="1" t="s">
        <v>1753</v>
      </c>
      <c r="E808" s="4" t="s">
        <v>1754</v>
      </c>
      <c r="G808" s="16">
        <v>2.5</v>
      </c>
      <c r="I808">
        <v>0.77</v>
      </c>
      <c r="M808">
        <v>1</v>
      </c>
      <c r="N808">
        <v>13</v>
      </c>
      <c r="O808">
        <v>0</v>
      </c>
      <c r="P808">
        <v>0.56000000000000005</v>
      </c>
      <c r="Q808">
        <v>7.22</v>
      </c>
      <c r="R808" t="s">
        <v>1050</v>
      </c>
      <c r="S808">
        <v>0</v>
      </c>
      <c r="T808" t="s">
        <v>52</v>
      </c>
      <c r="U808">
        <v>0</v>
      </c>
      <c r="V808">
        <v>0</v>
      </c>
      <c r="W808">
        <v>400026</v>
      </c>
      <c r="AE808">
        <v>0</v>
      </c>
      <c r="AH808">
        <v>0.77</v>
      </c>
      <c r="AP808" t="s">
        <v>187</v>
      </c>
    </row>
    <row r="809" spans="1:42">
      <c r="A809" s="1" t="s">
        <v>46</v>
      </c>
      <c r="B809" s="1" t="s">
        <v>1755</v>
      </c>
      <c r="C809" s="1" t="s">
        <v>1755</v>
      </c>
      <c r="E809" s="4" t="s">
        <v>1756</v>
      </c>
      <c r="G809" s="16"/>
      <c r="M809">
        <v>1</v>
      </c>
      <c r="N809">
        <v>-87</v>
      </c>
      <c r="O809">
        <v>0</v>
      </c>
      <c r="P809">
        <v>0.41</v>
      </c>
      <c r="Q809">
        <v>-35.54</v>
      </c>
      <c r="R809" t="s">
        <v>241</v>
      </c>
      <c r="S809">
        <v>0</v>
      </c>
      <c r="T809" t="s">
        <v>52</v>
      </c>
      <c r="W809">
        <v>400112</v>
      </c>
      <c r="AE809">
        <v>0</v>
      </c>
      <c r="AP809" t="s">
        <v>220</v>
      </c>
    </row>
    <row r="810" spans="1:42">
      <c r="A810" s="1" t="s">
        <v>46</v>
      </c>
      <c r="B810" s="1" t="s">
        <v>1757</v>
      </c>
      <c r="C810" s="1" t="s">
        <v>1757</v>
      </c>
      <c r="E810" s="4" t="s">
        <v>1758</v>
      </c>
      <c r="G810" s="16">
        <v>0.75</v>
      </c>
      <c r="I810">
        <v>1.88</v>
      </c>
      <c r="M810">
        <v>1</v>
      </c>
      <c r="N810">
        <v>-6</v>
      </c>
      <c r="O810">
        <v>0</v>
      </c>
      <c r="P810">
        <v>0.93</v>
      </c>
      <c r="Q810">
        <v>-5.61</v>
      </c>
      <c r="R810" t="s">
        <v>1050</v>
      </c>
      <c r="S810">
        <v>0</v>
      </c>
      <c r="T810" t="s">
        <v>52</v>
      </c>
      <c r="W810">
        <v>400078</v>
      </c>
      <c r="AE810">
        <v>0</v>
      </c>
      <c r="AH810">
        <v>1.88</v>
      </c>
      <c r="AP810" t="s">
        <v>1342</v>
      </c>
    </row>
    <row r="811" spans="1:42">
      <c r="A811" s="1" t="s">
        <v>46</v>
      </c>
      <c r="B811" s="1" t="s">
        <v>1759</v>
      </c>
      <c r="C811" s="1" t="s">
        <v>1759</v>
      </c>
      <c r="E811" s="4" t="s">
        <v>1760</v>
      </c>
      <c r="G811" s="16"/>
      <c r="M811">
        <v>1</v>
      </c>
      <c r="N811">
        <v>128</v>
      </c>
      <c r="O811">
        <v>0</v>
      </c>
      <c r="P811">
        <v>0.35</v>
      </c>
      <c r="Q811">
        <v>44.8</v>
      </c>
      <c r="R811" t="s">
        <v>241</v>
      </c>
      <c r="S811">
        <v>0</v>
      </c>
      <c r="T811" t="s">
        <v>209</v>
      </c>
      <c r="U811">
        <v>0</v>
      </c>
      <c r="V811">
        <v>0</v>
      </c>
      <c r="W811">
        <v>400061</v>
      </c>
      <c r="X811" t="s">
        <v>56</v>
      </c>
      <c r="Y811" t="s">
        <v>57</v>
      </c>
      <c r="AE811">
        <v>0</v>
      </c>
      <c r="AP811" t="s">
        <v>169</v>
      </c>
    </row>
    <row r="812" spans="1:42">
      <c r="A812" s="1" t="s">
        <v>46</v>
      </c>
      <c r="B812" s="1" t="s">
        <v>1761</v>
      </c>
      <c r="C812" s="1" t="s">
        <v>1761</v>
      </c>
      <c r="E812" s="4" t="s">
        <v>1762</v>
      </c>
      <c r="G812" s="16">
        <v>2.5</v>
      </c>
      <c r="M812">
        <v>1</v>
      </c>
      <c r="N812">
        <v>477</v>
      </c>
      <c r="O812">
        <v>0</v>
      </c>
      <c r="P812">
        <v>0.35</v>
      </c>
      <c r="Q812">
        <v>166.95</v>
      </c>
      <c r="R812" t="s">
        <v>241</v>
      </c>
      <c r="S812">
        <v>0</v>
      </c>
      <c r="T812" t="s">
        <v>52</v>
      </c>
      <c r="U812">
        <v>0</v>
      </c>
      <c r="V812">
        <v>0</v>
      </c>
      <c r="W812">
        <v>410302</v>
      </c>
      <c r="X812" t="s">
        <v>56</v>
      </c>
      <c r="Y812" t="s">
        <v>57</v>
      </c>
      <c r="AE812">
        <v>0</v>
      </c>
      <c r="AP812" t="s">
        <v>177</v>
      </c>
    </row>
    <row r="813" spans="1:42">
      <c r="A813" s="1" t="s">
        <v>46</v>
      </c>
      <c r="B813" s="1" t="s">
        <v>1763</v>
      </c>
      <c r="C813" s="1" t="s">
        <v>1763</v>
      </c>
      <c r="E813" s="4" t="s">
        <v>1764</v>
      </c>
      <c r="G813" s="16"/>
      <c r="I813">
        <v>1.52</v>
      </c>
      <c r="M813">
        <v>1</v>
      </c>
      <c r="N813">
        <v>-15</v>
      </c>
      <c r="O813">
        <v>0</v>
      </c>
      <c r="P813">
        <v>1.02</v>
      </c>
      <c r="Q813">
        <v>-15.26</v>
      </c>
      <c r="R813" t="s">
        <v>1050</v>
      </c>
      <c r="S813">
        <v>0</v>
      </c>
      <c r="T813" t="s">
        <v>52</v>
      </c>
      <c r="U813">
        <v>0</v>
      </c>
      <c r="V813">
        <v>0</v>
      </c>
      <c r="W813">
        <v>400026</v>
      </c>
      <c r="AE813">
        <v>0</v>
      </c>
      <c r="AH813">
        <v>1.52</v>
      </c>
      <c r="AP813" t="s">
        <v>187</v>
      </c>
    </row>
    <row r="814" spans="1:42">
      <c r="A814" s="1" t="s">
        <v>46</v>
      </c>
      <c r="B814" s="1" t="s">
        <v>1765</v>
      </c>
      <c r="C814" s="1" t="s">
        <v>1765</v>
      </c>
      <c r="E814" s="4" t="s">
        <v>1766</v>
      </c>
      <c r="G814" s="16">
        <v>0.5</v>
      </c>
      <c r="M814">
        <v>1</v>
      </c>
      <c r="N814">
        <v>15</v>
      </c>
      <c r="O814">
        <v>0</v>
      </c>
      <c r="P814">
        <v>1.45</v>
      </c>
      <c r="Q814">
        <v>21.75</v>
      </c>
      <c r="R814" t="s">
        <v>241</v>
      </c>
      <c r="S814">
        <v>0</v>
      </c>
      <c r="T814" t="s">
        <v>52</v>
      </c>
      <c r="U814">
        <v>0</v>
      </c>
      <c r="V814">
        <v>0</v>
      </c>
      <c r="W814">
        <v>400061</v>
      </c>
      <c r="X814" t="s">
        <v>56</v>
      </c>
      <c r="Y814" t="s">
        <v>57</v>
      </c>
      <c r="AE814">
        <v>0</v>
      </c>
      <c r="AP814" t="s">
        <v>169</v>
      </c>
    </row>
    <row r="815" spans="1:42">
      <c r="A815" s="1" t="s">
        <v>46</v>
      </c>
      <c r="B815" s="1" t="s">
        <v>1767</v>
      </c>
      <c r="C815" s="1" t="s">
        <v>1767</v>
      </c>
      <c r="E815" s="4" t="s">
        <v>1768</v>
      </c>
      <c r="G815" s="16"/>
      <c r="M815">
        <v>1</v>
      </c>
      <c r="N815">
        <v>-1</v>
      </c>
      <c r="O815">
        <v>0</v>
      </c>
      <c r="R815" t="s">
        <v>241</v>
      </c>
      <c r="S815">
        <v>0</v>
      </c>
      <c r="T815" t="s">
        <v>52</v>
      </c>
      <c r="U815">
        <v>0</v>
      </c>
      <c r="V815">
        <v>0</v>
      </c>
      <c r="AE815">
        <v>0</v>
      </c>
    </row>
    <row r="816" spans="1:42">
      <c r="A816" s="1" t="s">
        <v>46</v>
      </c>
      <c r="B816" s="1" t="s">
        <v>1769</v>
      </c>
      <c r="C816" s="1" t="s">
        <v>1769</v>
      </c>
      <c r="E816" s="4" t="s">
        <v>1770</v>
      </c>
      <c r="G816" s="16"/>
      <c r="M816">
        <v>1</v>
      </c>
      <c r="N816">
        <v>-2</v>
      </c>
      <c r="O816">
        <v>0</v>
      </c>
      <c r="P816">
        <v>0.91</v>
      </c>
      <c r="Q816">
        <v>-1.82</v>
      </c>
      <c r="R816" t="s">
        <v>241</v>
      </c>
      <c r="S816">
        <v>0</v>
      </c>
      <c r="T816" t="s">
        <v>52</v>
      </c>
      <c r="U816">
        <v>0</v>
      </c>
      <c r="V816">
        <v>0</v>
      </c>
      <c r="W816">
        <v>400119</v>
      </c>
      <c r="AE816">
        <v>0</v>
      </c>
      <c r="AP816" t="s">
        <v>53</v>
      </c>
    </row>
    <row r="817" spans="1:42">
      <c r="A817" s="1" t="s">
        <v>46</v>
      </c>
      <c r="B817" s="1" t="s">
        <v>1771</v>
      </c>
      <c r="C817" s="1" t="s">
        <v>1771</v>
      </c>
      <c r="E817" s="4" t="s">
        <v>1772</v>
      </c>
      <c r="G817" s="16"/>
      <c r="M817">
        <v>1</v>
      </c>
      <c r="N817">
        <v>-2</v>
      </c>
      <c r="O817">
        <v>0</v>
      </c>
      <c r="R817" t="s">
        <v>1050</v>
      </c>
      <c r="S817">
        <v>0</v>
      </c>
      <c r="T817" t="s">
        <v>52</v>
      </c>
      <c r="U817">
        <v>0</v>
      </c>
      <c r="V817">
        <v>0</v>
      </c>
      <c r="AE817">
        <v>0</v>
      </c>
    </row>
    <row r="818" spans="1:42">
      <c r="A818" s="1" t="s">
        <v>46</v>
      </c>
      <c r="B818" s="1" t="s">
        <v>1773</v>
      </c>
      <c r="C818" s="1" t="s">
        <v>1773</v>
      </c>
      <c r="E818" s="4" t="s">
        <v>1774</v>
      </c>
      <c r="G818" s="16"/>
      <c r="M818">
        <v>1</v>
      </c>
      <c r="N818">
        <v>-23</v>
      </c>
      <c r="O818">
        <v>0</v>
      </c>
      <c r="P818">
        <v>0.85</v>
      </c>
      <c r="Q818">
        <v>-19.55</v>
      </c>
      <c r="R818" t="s">
        <v>241</v>
      </c>
      <c r="S818">
        <v>0</v>
      </c>
      <c r="T818" t="s">
        <v>52</v>
      </c>
      <c r="U818">
        <v>0</v>
      </c>
      <c r="V818">
        <v>0</v>
      </c>
      <c r="W818">
        <v>400119</v>
      </c>
      <c r="AE818">
        <v>0</v>
      </c>
      <c r="AP818" t="s">
        <v>53</v>
      </c>
    </row>
    <row r="819" spans="1:42">
      <c r="A819" s="1" t="s">
        <v>46</v>
      </c>
      <c r="B819" s="1" t="s">
        <v>1775</v>
      </c>
      <c r="C819" s="1" t="s">
        <v>1775</v>
      </c>
      <c r="E819" s="4" t="s">
        <v>1776</v>
      </c>
      <c r="G819" s="16"/>
      <c r="I819">
        <v>9.0500000000000007</v>
      </c>
      <c r="M819">
        <v>1</v>
      </c>
      <c r="N819">
        <v>-2</v>
      </c>
      <c r="O819">
        <v>0</v>
      </c>
      <c r="R819" t="s">
        <v>1050</v>
      </c>
      <c r="S819">
        <v>0</v>
      </c>
      <c r="T819" t="s">
        <v>52</v>
      </c>
      <c r="U819">
        <v>0</v>
      </c>
      <c r="V819">
        <v>0</v>
      </c>
      <c r="AE819">
        <v>0</v>
      </c>
      <c r="AH819">
        <v>9.0500000000000007</v>
      </c>
    </row>
    <row r="820" spans="1:42">
      <c r="A820" s="1" t="s">
        <v>46</v>
      </c>
      <c r="B820" s="1" t="s">
        <v>1777</v>
      </c>
      <c r="C820" s="1" t="s">
        <v>1777</v>
      </c>
      <c r="E820" s="4" t="s">
        <v>1778</v>
      </c>
      <c r="G820" s="16"/>
      <c r="M820">
        <v>1</v>
      </c>
      <c r="N820">
        <v>89</v>
      </c>
      <c r="O820">
        <v>0</v>
      </c>
      <c r="P820">
        <v>1.6</v>
      </c>
      <c r="Q820">
        <v>142.4</v>
      </c>
      <c r="R820" t="s">
        <v>241</v>
      </c>
      <c r="S820">
        <v>0</v>
      </c>
      <c r="T820" t="s">
        <v>52</v>
      </c>
      <c r="U820">
        <v>0</v>
      </c>
      <c r="V820">
        <v>0</v>
      </c>
      <c r="W820">
        <v>400061</v>
      </c>
      <c r="AE820">
        <v>0</v>
      </c>
      <c r="AP820" t="s">
        <v>169</v>
      </c>
    </row>
    <row r="821" spans="1:42">
      <c r="A821" s="1" t="s">
        <v>46</v>
      </c>
      <c r="B821" s="1" t="s">
        <v>1779</v>
      </c>
      <c r="C821" s="1" t="s">
        <v>1779</v>
      </c>
      <c r="E821" s="4" t="s">
        <v>1780</v>
      </c>
      <c r="G821" s="16"/>
      <c r="I821">
        <v>6.44</v>
      </c>
      <c r="M821">
        <v>1</v>
      </c>
      <c r="N821">
        <v>14</v>
      </c>
      <c r="O821">
        <v>0</v>
      </c>
      <c r="P821">
        <v>7.93</v>
      </c>
      <c r="Q821">
        <v>110.99</v>
      </c>
      <c r="R821" t="s">
        <v>1050</v>
      </c>
      <c r="S821">
        <v>0</v>
      </c>
      <c r="T821" t="s">
        <v>52</v>
      </c>
      <c r="U821">
        <v>0</v>
      </c>
      <c r="V821">
        <v>0</v>
      </c>
      <c r="W821">
        <v>400013</v>
      </c>
      <c r="AE821">
        <v>0</v>
      </c>
      <c r="AH821">
        <v>6.44</v>
      </c>
      <c r="AP821" t="s">
        <v>232</v>
      </c>
    </row>
    <row r="822" spans="1:42">
      <c r="A822" s="1" t="s">
        <v>46</v>
      </c>
      <c r="B822" s="1" t="s">
        <v>1781</v>
      </c>
      <c r="C822" s="1" t="s">
        <v>1781</v>
      </c>
      <c r="E822" s="4" t="s">
        <v>1782</v>
      </c>
      <c r="G822" s="16">
        <v>0.75</v>
      </c>
      <c r="M822">
        <v>1</v>
      </c>
      <c r="N822">
        <v>-1</v>
      </c>
      <c r="O822">
        <v>0</v>
      </c>
      <c r="R822" t="s">
        <v>783</v>
      </c>
      <c r="T822" t="s">
        <v>52</v>
      </c>
      <c r="AE822">
        <v>0</v>
      </c>
    </row>
    <row r="823" spans="1:42">
      <c r="A823" s="1" t="s">
        <v>46</v>
      </c>
      <c r="B823" s="1" t="s">
        <v>1783</v>
      </c>
      <c r="C823" s="1" t="s">
        <v>1783</v>
      </c>
      <c r="E823" s="4" t="s">
        <v>1784</v>
      </c>
      <c r="G823" s="16"/>
      <c r="M823">
        <v>1</v>
      </c>
      <c r="N823">
        <v>-4</v>
      </c>
      <c r="O823">
        <v>0</v>
      </c>
      <c r="R823" t="s">
        <v>783</v>
      </c>
      <c r="T823" t="s">
        <v>52</v>
      </c>
      <c r="AE823">
        <v>0</v>
      </c>
    </row>
    <row r="824" spans="1:42">
      <c r="A824" s="1" t="s">
        <v>46</v>
      </c>
      <c r="B824" s="1" t="s">
        <v>1785</v>
      </c>
      <c r="C824" s="1" t="s">
        <v>1785</v>
      </c>
      <c r="E824" s="4" t="s">
        <v>1786</v>
      </c>
      <c r="G824" s="16">
        <v>2.5</v>
      </c>
      <c r="M824">
        <v>1</v>
      </c>
      <c r="N824">
        <v>389</v>
      </c>
      <c r="O824">
        <v>0</v>
      </c>
      <c r="P824">
        <v>1.1000000000000001</v>
      </c>
      <c r="Q824">
        <v>427.9</v>
      </c>
      <c r="R824" t="s">
        <v>176</v>
      </c>
      <c r="S824">
        <v>0</v>
      </c>
      <c r="T824" t="s">
        <v>52</v>
      </c>
      <c r="U824">
        <v>0</v>
      </c>
      <c r="V824">
        <v>0</v>
      </c>
      <c r="W824">
        <v>400061</v>
      </c>
      <c r="X824" t="s">
        <v>56</v>
      </c>
      <c r="Y824" t="s">
        <v>57</v>
      </c>
      <c r="AE824">
        <v>0</v>
      </c>
      <c r="AP824" t="s">
        <v>169</v>
      </c>
    </row>
    <row r="825" spans="1:42">
      <c r="A825" s="1" t="s">
        <v>46</v>
      </c>
      <c r="B825" s="1" t="s">
        <v>1787</v>
      </c>
      <c r="C825" s="1" t="s">
        <v>1787</v>
      </c>
      <c r="E825" s="4" t="s">
        <v>1788</v>
      </c>
      <c r="G825" s="16"/>
      <c r="M825">
        <v>1</v>
      </c>
      <c r="N825">
        <v>-7</v>
      </c>
      <c r="O825">
        <v>0</v>
      </c>
      <c r="P825">
        <v>1.6</v>
      </c>
      <c r="Q825">
        <v>-11.2</v>
      </c>
      <c r="R825" t="s">
        <v>783</v>
      </c>
      <c r="S825">
        <v>0</v>
      </c>
      <c r="T825">
        <v>0</v>
      </c>
      <c r="U825">
        <v>0</v>
      </c>
      <c r="V825">
        <v>0</v>
      </c>
      <c r="W825">
        <v>400061</v>
      </c>
      <c r="AE825">
        <v>0</v>
      </c>
      <c r="AP825" t="s">
        <v>169</v>
      </c>
    </row>
    <row r="826" spans="1:42">
      <c r="A826" s="1" t="s">
        <v>46</v>
      </c>
      <c r="B826" s="1" t="s">
        <v>1789</v>
      </c>
      <c r="C826" s="1" t="s">
        <v>1789</v>
      </c>
      <c r="E826" s="4" t="s">
        <v>1790</v>
      </c>
      <c r="G826" s="16"/>
      <c r="M826">
        <v>1</v>
      </c>
      <c r="N826">
        <v>3</v>
      </c>
      <c r="O826">
        <v>0</v>
      </c>
      <c r="P826">
        <v>216.24</v>
      </c>
      <c r="Q826">
        <v>648.73</v>
      </c>
      <c r="W826">
        <v>400120</v>
      </c>
      <c r="AE826">
        <v>0</v>
      </c>
      <c r="AP826" t="s">
        <v>468</v>
      </c>
    </row>
    <row r="827" spans="1:42">
      <c r="A827" s="1" t="s">
        <v>46</v>
      </c>
      <c r="B827" s="1" t="s">
        <v>1791</v>
      </c>
      <c r="C827" s="1" t="s">
        <v>1791</v>
      </c>
      <c r="E827" s="4" t="s">
        <v>1792</v>
      </c>
      <c r="G827" s="16"/>
      <c r="M827">
        <v>1</v>
      </c>
      <c r="N827">
        <v>2</v>
      </c>
      <c r="O827">
        <v>0</v>
      </c>
      <c r="P827">
        <v>177.6</v>
      </c>
      <c r="Q827">
        <v>355.2</v>
      </c>
      <c r="AE827">
        <v>0</v>
      </c>
    </row>
    <row r="828" spans="1:42">
      <c r="A828" s="1" t="s">
        <v>46</v>
      </c>
      <c r="B828" s="1" t="s">
        <v>1793</v>
      </c>
      <c r="C828" s="1" t="s">
        <v>1793</v>
      </c>
      <c r="E828" s="4" t="s">
        <v>1794</v>
      </c>
      <c r="G828" s="16"/>
      <c r="M828">
        <v>1</v>
      </c>
      <c r="N828">
        <v>37</v>
      </c>
      <c r="O828">
        <v>0</v>
      </c>
      <c r="P828">
        <v>26.63</v>
      </c>
      <c r="Q828">
        <v>985.26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400120</v>
      </c>
      <c r="AE828">
        <v>0</v>
      </c>
      <c r="AP828" t="s">
        <v>468</v>
      </c>
    </row>
    <row r="829" spans="1:42">
      <c r="A829" s="1" t="s">
        <v>46</v>
      </c>
      <c r="B829" s="1" t="s">
        <v>1795</v>
      </c>
      <c r="C829" s="1" t="s">
        <v>1795</v>
      </c>
      <c r="E829" s="4" t="s">
        <v>1796</v>
      </c>
      <c r="G829" s="16"/>
      <c r="M829">
        <v>1</v>
      </c>
      <c r="N829">
        <v>14</v>
      </c>
      <c r="O829">
        <v>0</v>
      </c>
      <c r="P829">
        <v>115</v>
      </c>
      <c r="Q829">
        <v>1610</v>
      </c>
      <c r="W829">
        <v>400056</v>
      </c>
      <c r="AE829">
        <v>0</v>
      </c>
      <c r="AP829" t="s">
        <v>1797</v>
      </c>
    </row>
    <row r="830" spans="1:42">
      <c r="A830" s="1" t="s">
        <v>46</v>
      </c>
      <c r="B830" s="1" t="s">
        <v>1798</v>
      </c>
      <c r="C830" s="1" t="s">
        <v>1798</v>
      </c>
      <c r="E830" s="4" t="s">
        <v>1799</v>
      </c>
      <c r="G830" s="16"/>
      <c r="M830">
        <v>1</v>
      </c>
      <c r="N830">
        <v>112</v>
      </c>
      <c r="O830">
        <v>0</v>
      </c>
      <c r="P830">
        <v>117.66</v>
      </c>
      <c r="Q830">
        <v>13177.92</v>
      </c>
      <c r="R830" t="s">
        <v>574</v>
      </c>
      <c r="S830">
        <v>0</v>
      </c>
      <c r="T830" t="s">
        <v>52</v>
      </c>
      <c r="U830">
        <v>0</v>
      </c>
      <c r="V830">
        <v>0</v>
      </c>
      <c r="W830">
        <v>400120</v>
      </c>
      <c r="AE830">
        <v>0</v>
      </c>
      <c r="AP830" t="s">
        <v>468</v>
      </c>
    </row>
    <row r="831" spans="1:42">
      <c r="A831" s="1" t="s">
        <v>46</v>
      </c>
      <c r="B831" s="1" t="s">
        <v>1800</v>
      </c>
      <c r="C831" s="1" t="s">
        <v>1800</v>
      </c>
      <c r="E831" s="4" t="s">
        <v>1801</v>
      </c>
      <c r="G831" s="16"/>
      <c r="I831">
        <v>2.6</v>
      </c>
      <c r="M831">
        <v>1</v>
      </c>
      <c r="N831">
        <v>998</v>
      </c>
      <c r="O831">
        <v>0</v>
      </c>
      <c r="P831">
        <v>1</v>
      </c>
      <c r="Q831">
        <v>998</v>
      </c>
      <c r="R831" t="s">
        <v>172</v>
      </c>
      <c r="S831">
        <v>0</v>
      </c>
      <c r="T831" t="s">
        <v>52</v>
      </c>
      <c r="U831">
        <v>0</v>
      </c>
      <c r="V831">
        <v>0</v>
      </c>
      <c r="W831">
        <v>400112</v>
      </c>
      <c r="X831" t="s">
        <v>56</v>
      </c>
      <c r="Y831" t="s">
        <v>57</v>
      </c>
      <c r="AE831">
        <v>0</v>
      </c>
      <c r="AH831">
        <v>2.6</v>
      </c>
      <c r="AP831" t="s">
        <v>220</v>
      </c>
    </row>
    <row r="832" spans="1:42">
      <c r="A832" s="1" t="s">
        <v>46</v>
      </c>
      <c r="B832" s="1" t="s">
        <v>1802</v>
      </c>
      <c r="C832" s="1" t="s">
        <v>1802</v>
      </c>
      <c r="E832" s="4" t="s">
        <v>1803</v>
      </c>
      <c r="G832" s="16"/>
      <c r="I832">
        <v>2.95</v>
      </c>
      <c r="M832">
        <v>1</v>
      </c>
      <c r="N832">
        <v>1002</v>
      </c>
      <c r="O832">
        <v>0</v>
      </c>
      <c r="P832">
        <v>1.23</v>
      </c>
      <c r="Q832">
        <v>1227.45</v>
      </c>
      <c r="R832" t="s">
        <v>172</v>
      </c>
      <c r="S832">
        <v>0</v>
      </c>
      <c r="T832" t="s">
        <v>52</v>
      </c>
      <c r="U832">
        <v>0</v>
      </c>
      <c r="V832">
        <v>0</v>
      </c>
      <c r="W832">
        <v>400002</v>
      </c>
      <c r="X832" t="s">
        <v>56</v>
      </c>
      <c r="Y832" t="s">
        <v>57</v>
      </c>
      <c r="AE832">
        <v>0</v>
      </c>
      <c r="AH832">
        <v>2.95</v>
      </c>
      <c r="AP832" t="s">
        <v>116</v>
      </c>
    </row>
    <row r="833" spans="1:42">
      <c r="A833" s="1" t="s">
        <v>46</v>
      </c>
      <c r="B833" s="1" t="s">
        <v>1804</v>
      </c>
      <c r="C833" s="1" t="s">
        <v>1804</v>
      </c>
      <c r="E833" s="4" t="s">
        <v>1805</v>
      </c>
      <c r="G833" s="16">
        <v>1.75</v>
      </c>
      <c r="I833">
        <v>4</v>
      </c>
      <c r="M833">
        <v>1</v>
      </c>
      <c r="N833">
        <v>-2</v>
      </c>
      <c r="O833">
        <v>0</v>
      </c>
      <c r="P833">
        <v>1.76</v>
      </c>
      <c r="Q833">
        <v>-3.52</v>
      </c>
      <c r="R833" t="s">
        <v>172</v>
      </c>
      <c r="S833">
        <v>0</v>
      </c>
      <c r="T833" t="s">
        <v>52</v>
      </c>
      <c r="U833">
        <v>0</v>
      </c>
      <c r="V833">
        <v>0</v>
      </c>
      <c r="W833">
        <v>400036</v>
      </c>
      <c r="AE833">
        <v>0</v>
      </c>
      <c r="AH833">
        <v>4</v>
      </c>
      <c r="AP833" t="s">
        <v>315</v>
      </c>
    </row>
    <row r="834" spans="1:42">
      <c r="A834" s="1" t="s">
        <v>46</v>
      </c>
      <c r="B834" s="1" t="s">
        <v>1806</v>
      </c>
      <c r="C834" s="1" t="s">
        <v>1806</v>
      </c>
      <c r="E834" s="4" t="s">
        <v>1807</v>
      </c>
      <c r="G834" s="16"/>
      <c r="I834">
        <v>4</v>
      </c>
      <c r="M834">
        <v>1</v>
      </c>
      <c r="N834">
        <v>360</v>
      </c>
      <c r="O834">
        <v>0</v>
      </c>
      <c r="P834">
        <v>1.25</v>
      </c>
      <c r="Q834">
        <v>450</v>
      </c>
      <c r="R834" t="s">
        <v>172</v>
      </c>
      <c r="S834">
        <v>0</v>
      </c>
      <c r="T834" t="s">
        <v>52</v>
      </c>
      <c r="U834">
        <v>0</v>
      </c>
      <c r="V834">
        <v>0</v>
      </c>
      <c r="W834">
        <v>400112</v>
      </c>
      <c r="X834" t="s">
        <v>56</v>
      </c>
      <c r="Y834" t="s">
        <v>57</v>
      </c>
      <c r="AE834">
        <v>0</v>
      </c>
      <c r="AH834">
        <v>4</v>
      </c>
      <c r="AP834" t="s">
        <v>220</v>
      </c>
    </row>
    <row r="835" spans="1:42">
      <c r="A835" s="1" t="s">
        <v>46</v>
      </c>
      <c r="B835" s="1" t="s">
        <v>1808</v>
      </c>
      <c r="C835" s="1" t="s">
        <v>1808</v>
      </c>
      <c r="E835" s="4" t="s">
        <v>1809</v>
      </c>
      <c r="G835" s="16"/>
      <c r="I835">
        <v>4</v>
      </c>
      <c r="M835">
        <v>1</v>
      </c>
      <c r="N835">
        <v>28</v>
      </c>
      <c r="O835">
        <v>0</v>
      </c>
      <c r="P835">
        <v>2</v>
      </c>
      <c r="Q835">
        <v>56</v>
      </c>
      <c r="R835" t="s">
        <v>172</v>
      </c>
      <c r="S835">
        <v>0</v>
      </c>
      <c r="T835" t="s">
        <v>52</v>
      </c>
      <c r="U835">
        <v>0</v>
      </c>
      <c r="V835">
        <v>0</v>
      </c>
      <c r="W835">
        <v>400002</v>
      </c>
      <c r="AE835">
        <v>0</v>
      </c>
      <c r="AH835">
        <v>4</v>
      </c>
      <c r="AP835" t="s">
        <v>116</v>
      </c>
    </row>
    <row r="836" spans="1:42">
      <c r="A836" s="1" t="s">
        <v>46</v>
      </c>
      <c r="B836" s="1" t="s">
        <v>1810</v>
      </c>
      <c r="C836" s="1" t="s">
        <v>1810</v>
      </c>
      <c r="E836" s="4" t="s">
        <v>1811</v>
      </c>
      <c r="G836" s="16"/>
      <c r="M836">
        <v>1</v>
      </c>
      <c r="N836">
        <v>734</v>
      </c>
      <c r="O836">
        <v>0</v>
      </c>
      <c r="P836">
        <v>0.63</v>
      </c>
      <c r="Q836">
        <v>464.33</v>
      </c>
      <c r="R836">
        <v>0</v>
      </c>
      <c r="S836">
        <v>0</v>
      </c>
      <c r="T836" t="s">
        <v>17</v>
      </c>
      <c r="U836">
        <v>0</v>
      </c>
      <c r="V836">
        <v>0</v>
      </c>
      <c r="W836">
        <v>400215</v>
      </c>
      <c r="X836" t="s">
        <v>56</v>
      </c>
      <c r="Y836" t="s">
        <v>57</v>
      </c>
      <c r="AE836">
        <v>0</v>
      </c>
      <c r="AP836" t="s">
        <v>195</v>
      </c>
    </row>
    <row r="837" spans="1:42">
      <c r="A837" s="1" t="s">
        <v>46</v>
      </c>
      <c r="B837" s="1" t="s">
        <v>1812</v>
      </c>
      <c r="C837" s="1" t="s">
        <v>1812</v>
      </c>
      <c r="E837" s="4" t="s">
        <v>1813</v>
      </c>
      <c r="G837" s="16">
        <v>1.35</v>
      </c>
      <c r="I837">
        <v>3.6</v>
      </c>
      <c r="M837">
        <v>1</v>
      </c>
      <c r="N837">
        <v>519</v>
      </c>
      <c r="O837">
        <v>0</v>
      </c>
      <c r="P837">
        <v>0.94</v>
      </c>
      <c r="Q837">
        <v>486.56</v>
      </c>
      <c r="R837" t="s">
        <v>172</v>
      </c>
      <c r="S837">
        <v>0</v>
      </c>
      <c r="T837" t="s">
        <v>52</v>
      </c>
      <c r="U837">
        <v>0</v>
      </c>
      <c r="V837">
        <v>0</v>
      </c>
      <c r="W837">
        <v>400112</v>
      </c>
      <c r="AE837">
        <v>0</v>
      </c>
      <c r="AH837">
        <v>3.6</v>
      </c>
      <c r="AP837" t="s">
        <v>220</v>
      </c>
    </row>
    <row r="838" spans="1:42">
      <c r="A838" s="1" t="s">
        <v>46</v>
      </c>
      <c r="B838" s="1" t="s">
        <v>1814</v>
      </c>
      <c r="C838" s="1" t="s">
        <v>1814</v>
      </c>
      <c r="E838" s="4" t="s">
        <v>1815</v>
      </c>
      <c r="G838" s="16"/>
      <c r="M838">
        <v>1</v>
      </c>
      <c r="N838">
        <v>-1</v>
      </c>
      <c r="O838">
        <v>0</v>
      </c>
      <c r="P838">
        <v>162.44</v>
      </c>
      <c r="Q838">
        <v>-162.44</v>
      </c>
      <c r="R838">
        <v>0</v>
      </c>
      <c r="S838">
        <v>0</v>
      </c>
      <c r="T838" t="s">
        <v>52</v>
      </c>
      <c r="W838">
        <v>400023</v>
      </c>
      <c r="AE838">
        <v>0</v>
      </c>
      <c r="AP838" t="s">
        <v>369</v>
      </c>
    </row>
    <row r="839" spans="1:42">
      <c r="A839" s="1" t="s">
        <v>46</v>
      </c>
      <c r="B839" s="1" t="s">
        <v>1816</v>
      </c>
      <c r="C839" s="1" t="s">
        <v>1816</v>
      </c>
      <c r="E839" s="4" t="s">
        <v>1817</v>
      </c>
      <c r="G839" s="16"/>
      <c r="M839">
        <v>1</v>
      </c>
      <c r="N839">
        <v>4</v>
      </c>
      <c r="O839">
        <v>0</v>
      </c>
      <c r="P839">
        <v>63.36</v>
      </c>
      <c r="Q839">
        <v>253.44</v>
      </c>
      <c r="R839">
        <v>0</v>
      </c>
      <c r="S839">
        <v>0</v>
      </c>
      <c r="T839" t="s">
        <v>52</v>
      </c>
      <c r="U839">
        <v>0</v>
      </c>
      <c r="V839">
        <v>0</v>
      </c>
      <c r="W839">
        <v>400195</v>
      </c>
      <c r="AE839">
        <v>0</v>
      </c>
      <c r="AP839" t="s">
        <v>380</v>
      </c>
    </row>
    <row r="840" spans="1:42">
      <c r="A840" s="1" t="s">
        <v>46</v>
      </c>
      <c r="B840" s="1" t="s">
        <v>1818</v>
      </c>
      <c r="C840" s="1" t="s">
        <v>1818</v>
      </c>
      <c r="E840" s="4" t="s">
        <v>1819</v>
      </c>
      <c r="G840" s="16"/>
      <c r="I840">
        <v>2</v>
      </c>
      <c r="M840">
        <v>1</v>
      </c>
      <c r="N840">
        <v>1048.45</v>
      </c>
      <c r="O840">
        <v>0</v>
      </c>
      <c r="P840">
        <v>10.98</v>
      </c>
      <c r="Q840">
        <v>11508.08</v>
      </c>
      <c r="R840" t="s">
        <v>172</v>
      </c>
      <c r="S840">
        <v>0</v>
      </c>
      <c r="T840" t="s">
        <v>209</v>
      </c>
      <c r="U840">
        <v>0</v>
      </c>
      <c r="V840">
        <v>0</v>
      </c>
      <c r="W840">
        <v>400002</v>
      </c>
      <c r="X840" t="s">
        <v>56</v>
      </c>
      <c r="Y840" t="s">
        <v>57</v>
      </c>
      <c r="AE840">
        <v>0</v>
      </c>
      <c r="AF840">
        <v>3.6</v>
      </c>
      <c r="AH840">
        <v>2</v>
      </c>
      <c r="AP840" t="s">
        <v>116</v>
      </c>
    </row>
    <row r="841" spans="1:42">
      <c r="A841" s="1" t="s">
        <v>46</v>
      </c>
      <c r="B841" s="1" t="s">
        <v>1820</v>
      </c>
      <c r="C841" s="1" t="s">
        <v>1820</v>
      </c>
      <c r="E841" s="4" t="s">
        <v>1821</v>
      </c>
      <c r="G841" s="16">
        <v>1</v>
      </c>
      <c r="I841">
        <v>20.170000000000002</v>
      </c>
      <c r="M841">
        <v>1</v>
      </c>
      <c r="N841">
        <v>-22</v>
      </c>
      <c r="O841">
        <v>0</v>
      </c>
      <c r="P841">
        <v>69.599999999999994</v>
      </c>
      <c r="Q841">
        <v>-1531.13</v>
      </c>
      <c r="R841" t="s">
        <v>536</v>
      </c>
      <c r="S841">
        <v>0</v>
      </c>
      <c r="T841" t="s">
        <v>209</v>
      </c>
      <c r="U841">
        <v>0</v>
      </c>
      <c r="V841">
        <v>0</v>
      </c>
      <c r="W841">
        <v>400023</v>
      </c>
      <c r="AE841">
        <v>0</v>
      </c>
      <c r="AH841">
        <v>20.170000000000002</v>
      </c>
      <c r="AP841" t="s">
        <v>369</v>
      </c>
    </row>
    <row r="842" spans="1:42">
      <c r="A842" s="1" t="s">
        <v>46</v>
      </c>
      <c r="B842" s="1" t="s">
        <v>1822</v>
      </c>
      <c r="C842" s="1" t="s">
        <v>1822</v>
      </c>
      <c r="E842" s="4" t="s">
        <v>1823</v>
      </c>
      <c r="G842" s="16"/>
      <c r="I842">
        <v>32.270000000000003</v>
      </c>
      <c r="M842">
        <v>1</v>
      </c>
      <c r="N842">
        <v>-20</v>
      </c>
      <c r="O842">
        <v>0</v>
      </c>
      <c r="P842">
        <v>117.22</v>
      </c>
      <c r="Q842">
        <v>-2344.3200000000002</v>
      </c>
      <c r="R842" t="s">
        <v>536</v>
      </c>
      <c r="S842">
        <v>0</v>
      </c>
      <c r="T842" t="s">
        <v>209</v>
      </c>
      <c r="U842">
        <v>0</v>
      </c>
      <c r="V842">
        <v>0</v>
      </c>
      <c r="W842">
        <v>400023</v>
      </c>
      <c r="AE842">
        <v>0</v>
      </c>
      <c r="AH842">
        <v>32.270000000000003</v>
      </c>
      <c r="AP842" t="s">
        <v>369</v>
      </c>
    </row>
    <row r="843" spans="1:42">
      <c r="A843" s="1" t="s">
        <v>46</v>
      </c>
      <c r="B843" s="1" t="s">
        <v>1824</v>
      </c>
      <c r="C843" s="1" t="s">
        <v>1824</v>
      </c>
      <c r="E843" s="4" t="s">
        <v>1825</v>
      </c>
      <c r="G843" s="16"/>
      <c r="I843">
        <v>1</v>
      </c>
      <c r="M843">
        <v>1</v>
      </c>
      <c r="N843">
        <v>1480</v>
      </c>
      <c r="O843">
        <v>0</v>
      </c>
      <c r="P843">
        <v>0.62</v>
      </c>
      <c r="Q843">
        <v>925</v>
      </c>
      <c r="R843" t="s">
        <v>172</v>
      </c>
      <c r="S843">
        <v>0</v>
      </c>
      <c r="T843" t="s">
        <v>52</v>
      </c>
      <c r="U843">
        <v>0</v>
      </c>
      <c r="V843">
        <v>0</v>
      </c>
      <c r="W843">
        <v>400112</v>
      </c>
      <c r="X843" t="s">
        <v>56</v>
      </c>
      <c r="Y843" t="s">
        <v>57</v>
      </c>
      <c r="AE843">
        <v>0</v>
      </c>
      <c r="AF843">
        <v>1.85</v>
      </c>
      <c r="AH843">
        <v>1</v>
      </c>
      <c r="AP843" t="s">
        <v>220</v>
      </c>
    </row>
    <row r="844" spans="1:42">
      <c r="A844" s="1" t="s">
        <v>46</v>
      </c>
      <c r="B844" s="1" t="s">
        <v>1826</v>
      </c>
      <c r="C844" s="1" t="s">
        <v>1826</v>
      </c>
      <c r="E844" s="4" t="s">
        <v>1827</v>
      </c>
      <c r="G844" s="16"/>
      <c r="M844">
        <v>1</v>
      </c>
      <c r="N844">
        <v>191</v>
      </c>
      <c r="O844">
        <v>0</v>
      </c>
      <c r="P844">
        <v>0.14000000000000001</v>
      </c>
      <c r="Q844">
        <v>27.69</v>
      </c>
      <c r="R844" t="s">
        <v>172</v>
      </c>
      <c r="S844">
        <v>0</v>
      </c>
      <c r="T844" t="s">
        <v>52</v>
      </c>
      <c r="U844">
        <v>0</v>
      </c>
      <c r="V844">
        <v>0</v>
      </c>
      <c r="W844">
        <v>400112</v>
      </c>
      <c r="AE844">
        <v>0</v>
      </c>
      <c r="AP844" t="s">
        <v>220</v>
      </c>
    </row>
    <row r="845" spans="1:42">
      <c r="A845" s="1" t="s">
        <v>46</v>
      </c>
      <c r="B845" s="1" t="s">
        <v>1828</v>
      </c>
      <c r="C845" s="1" t="s">
        <v>1828</v>
      </c>
      <c r="E845" s="4" t="s">
        <v>1829</v>
      </c>
      <c r="G845" s="16">
        <v>0.65</v>
      </c>
      <c r="I845">
        <v>1</v>
      </c>
      <c r="M845">
        <v>1</v>
      </c>
      <c r="N845">
        <v>3477</v>
      </c>
      <c r="O845">
        <v>0</v>
      </c>
      <c r="P845">
        <v>0.62</v>
      </c>
      <c r="Q845">
        <v>2173.12</v>
      </c>
      <c r="R845" t="s">
        <v>172</v>
      </c>
      <c r="S845">
        <v>0</v>
      </c>
      <c r="T845" t="s">
        <v>52</v>
      </c>
      <c r="U845">
        <v>0</v>
      </c>
      <c r="V845">
        <v>0</v>
      </c>
      <c r="W845">
        <v>400112</v>
      </c>
      <c r="X845" t="s">
        <v>56</v>
      </c>
      <c r="Y845" t="s">
        <v>57</v>
      </c>
      <c r="AE845">
        <v>0</v>
      </c>
      <c r="AF845">
        <v>1.85</v>
      </c>
      <c r="AH845">
        <v>1</v>
      </c>
      <c r="AP845" t="s">
        <v>220</v>
      </c>
    </row>
    <row r="846" spans="1:42">
      <c r="A846" s="1" t="s">
        <v>46</v>
      </c>
      <c r="B846" s="1" t="s">
        <v>1830</v>
      </c>
      <c r="C846" s="1" t="s">
        <v>1830</v>
      </c>
      <c r="E846" s="4" t="s">
        <v>1831</v>
      </c>
      <c r="G846" s="16">
        <v>1</v>
      </c>
      <c r="I846">
        <v>4.25</v>
      </c>
      <c r="M846">
        <v>1</v>
      </c>
      <c r="N846">
        <v>263</v>
      </c>
      <c r="O846">
        <v>0</v>
      </c>
      <c r="P846">
        <v>2</v>
      </c>
      <c r="Q846">
        <v>526</v>
      </c>
      <c r="R846" t="s">
        <v>172</v>
      </c>
      <c r="S846">
        <v>0</v>
      </c>
      <c r="T846" t="s">
        <v>52</v>
      </c>
      <c r="U846">
        <v>0</v>
      </c>
      <c r="V846">
        <v>0</v>
      </c>
      <c r="W846">
        <v>400112</v>
      </c>
      <c r="X846" t="s">
        <v>56</v>
      </c>
      <c r="Y846" t="s">
        <v>57</v>
      </c>
      <c r="AE846">
        <v>0</v>
      </c>
      <c r="AH846">
        <v>4.25</v>
      </c>
      <c r="AP846" t="s">
        <v>220</v>
      </c>
    </row>
    <row r="847" spans="1:42">
      <c r="A847" s="1" t="s">
        <v>46</v>
      </c>
      <c r="B847" s="1" t="s">
        <v>1832</v>
      </c>
      <c r="C847" s="1" t="s">
        <v>1832</v>
      </c>
      <c r="E847" s="4" t="s">
        <v>1833</v>
      </c>
      <c r="G847" s="16"/>
      <c r="I847">
        <v>1</v>
      </c>
      <c r="M847">
        <v>1</v>
      </c>
      <c r="N847">
        <v>1784</v>
      </c>
      <c r="O847">
        <v>0</v>
      </c>
      <c r="P847">
        <v>0.32</v>
      </c>
      <c r="Q847">
        <v>579.79999999999995</v>
      </c>
      <c r="R847" t="s">
        <v>172</v>
      </c>
      <c r="S847">
        <v>0</v>
      </c>
      <c r="T847" t="s">
        <v>52</v>
      </c>
      <c r="U847">
        <v>0</v>
      </c>
      <c r="V847">
        <v>0</v>
      </c>
      <c r="W847">
        <v>400112</v>
      </c>
      <c r="X847" t="s">
        <v>56</v>
      </c>
      <c r="Y847" t="s">
        <v>57</v>
      </c>
      <c r="AE847">
        <v>0</v>
      </c>
      <c r="AH847">
        <v>1</v>
      </c>
      <c r="AP847" t="s">
        <v>220</v>
      </c>
    </row>
    <row r="848" spans="1:42">
      <c r="A848" s="1" t="s">
        <v>46</v>
      </c>
      <c r="B848" s="1" t="s">
        <v>1834</v>
      </c>
      <c r="C848" s="1" t="s">
        <v>1834</v>
      </c>
      <c r="E848" s="4" t="s">
        <v>1835</v>
      </c>
      <c r="G848" s="16"/>
      <c r="I848">
        <v>0.75</v>
      </c>
      <c r="M848">
        <v>1</v>
      </c>
      <c r="N848">
        <v>165</v>
      </c>
      <c r="O848">
        <v>0</v>
      </c>
      <c r="P848">
        <v>0.41</v>
      </c>
      <c r="Q848">
        <v>68.06</v>
      </c>
      <c r="R848" t="s">
        <v>172</v>
      </c>
      <c r="S848">
        <v>0</v>
      </c>
      <c r="T848" t="s">
        <v>52</v>
      </c>
      <c r="U848">
        <v>0</v>
      </c>
      <c r="V848">
        <v>0</v>
      </c>
      <c r="W848">
        <v>400189</v>
      </c>
      <c r="AE848">
        <v>0</v>
      </c>
      <c r="AF848">
        <v>1</v>
      </c>
      <c r="AH848">
        <v>0.75</v>
      </c>
      <c r="AP848" t="s">
        <v>451</v>
      </c>
    </row>
    <row r="849" spans="1:42">
      <c r="A849" s="1" t="s">
        <v>46</v>
      </c>
      <c r="B849" s="1" t="s">
        <v>1836</v>
      </c>
      <c r="C849" s="1" t="s">
        <v>1836</v>
      </c>
      <c r="E849" s="4" t="s">
        <v>1837</v>
      </c>
      <c r="G849" s="16">
        <v>2.5</v>
      </c>
      <c r="I849">
        <v>2.75</v>
      </c>
      <c r="M849">
        <v>1</v>
      </c>
      <c r="N849">
        <v>-33</v>
      </c>
      <c r="O849">
        <v>0</v>
      </c>
      <c r="P849">
        <v>1.1499999999999999</v>
      </c>
      <c r="Q849">
        <v>-37.950000000000003</v>
      </c>
      <c r="R849" t="s">
        <v>172</v>
      </c>
      <c r="S849">
        <v>0</v>
      </c>
      <c r="T849" t="s">
        <v>52</v>
      </c>
      <c r="U849">
        <v>0</v>
      </c>
      <c r="V849">
        <v>0</v>
      </c>
      <c r="W849">
        <v>400112</v>
      </c>
      <c r="AE849">
        <v>0</v>
      </c>
      <c r="AF849">
        <v>3.75</v>
      </c>
      <c r="AH849">
        <v>2.75</v>
      </c>
      <c r="AP849" t="s">
        <v>220</v>
      </c>
    </row>
    <row r="850" spans="1:42">
      <c r="A850" s="1" t="s">
        <v>46</v>
      </c>
      <c r="B850" s="1" t="s">
        <v>1838</v>
      </c>
      <c r="C850" s="1" t="s">
        <v>1838</v>
      </c>
      <c r="E850" s="4" t="s">
        <v>1839</v>
      </c>
      <c r="G850" s="16"/>
      <c r="I850">
        <v>3.9</v>
      </c>
      <c r="M850">
        <v>1</v>
      </c>
      <c r="N850">
        <v>-4</v>
      </c>
      <c r="O850">
        <v>0</v>
      </c>
      <c r="P850">
        <v>2.97</v>
      </c>
      <c r="Q850">
        <v>-11.9</v>
      </c>
      <c r="R850" t="s">
        <v>172</v>
      </c>
      <c r="S850">
        <v>0</v>
      </c>
      <c r="T850" t="s">
        <v>52</v>
      </c>
      <c r="U850">
        <v>0</v>
      </c>
      <c r="V850">
        <v>0</v>
      </c>
      <c r="W850">
        <v>400013</v>
      </c>
      <c r="AE850">
        <v>0</v>
      </c>
      <c r="AH850">
        <v>3.9</v>
      </c>
      <c r="AP850" t="s">
        <v>232</v>
      </c>
    </row>
    <row r="851" spans="1:42">
      <c r="A851" s="1" t="s">
        <v>46</v>
      </c>
      <c r="B851" s="1" t="s">
        <v>1840</v>
      </c>
      <c r="C851" s="1" t="s">
        <v>1840</v>
      </c>
      <c r="E851" s="4" t="s">
        <v>1841</v>
      </c>
      <c r="G851" s="16"/>
      <c r="I851">
        <v>14.5</v>
      </c>
      <c r="M851">
        <v>1</v>
      </c>
      <c r="N851">
        <v>442</v>
      </c>
      <c r="O851">
        <v>0</v>
      </c>
      <c r="P851">
        <v>0.32</v>
      </c>
      <c r="Q851">
        <v>143.65</v>
      </c>
      <c r="R851" t="s">
        <v>492</v>
      </c>
      <c r="S851">
        <v>0</v>
      </c>
      <c r="T851">
        <v>0</v>
      </c>
      <c r="U851">
        <v>0</v>
      </c>
      <c r="V851">
        <v>0</v>
      </c>
      <c r="W851">
        <v>400112</v>
      </c>
      <c r="X851" t="s">
        <v>56</v>
      </c>
      <c r="Y851" t="s">
        <v>57</v>
      </c>
      <c r="AE851">
        <v>0</v>
      </c>
      <c r="AH851">
        <v>14.5</v>
      </c>
      <c r="AP851" t="s">
        <v>220</v>
      </c>
    </row>
    <row r="852" spans="1:42">
      <c r="A852" s="1" t="s">
        <v>46</v>
      </c>
      <c r="B852" s="1" t="s">
        <v>1842</v>
      </c>
      <c r="C852" s="1" t="s">
        <v>1842</v>
      </c>
      <c r="E852" s="4" t="s">
        <v>1843</v>
      </c>
      <c r="G852" s="16"/>
      <c r="M852">
        <v>1</v>
      </c>
      <c r="N852">
        <v>977</v>
      </c>
      <c r="O852">
        <v>0</v>
      </c>
      <c r="P852">
        <v>1</v>
      </c>
      <c r="Q852">
        <v>977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400112</v>
      </c>
      <c r="X852" t="s">
        <v>56</v>
      </c>
      <c r="Y852" t="s">
        <v>57</v>
      </c>
      <c r="AE852">
        <v>0</v>
      </c>
      <c r="AP852" t="s">
        <v>220</v>
      </c>
    </row>
    <row r="853" spans="1:42">
      <c r="A853" s="1" t="s">
        <v>46</v>
      </c>
      <c r="B853" s="1" t="s">
        <v>1844</v>
      </c>
      <c r="C853" s="1" t="s">
        <v>1844</v>
      </c>
      <c r="E853" s="4" t="s">
        <v>1845</v>
      </c>
      <c r="G853" s="16"/>
      <c r="M853">
        <v>1</v>
      </c>
      <c r="N853">
        <v>177</v>
      </c>
      <c r="O853">
        <v>0</v>
      </c>
      <c r="P853">
        <v>1</v>
      </c>
      <c r="Q853">
        <v>177</v>
      </c>
      <c r="R853" t="s">
        <v>172</v>
      </c>
      <c r="S853">
        <v>0</v>
      </c>
      <c r="T853" t="s">
        <v>52</v>
      </c>
      <c r="U853">
        <v>0</v>
      </c>
      <c r="V853">
        <v>0</v>
      </c>
      <c r="W853">
        <v>400112</v>
      </c>
      <c r="AE853">
        <v>0</v>
      </c>
      <c r="AP853" t="s">
        <v>220</v>
      </c>
    </row>
    <row r="854" spans="1:42">
      <c r="A854" s="1" t="s">
        <v>46</v>
      </c>
      <c r="B854" s="1" t="s">
        <v>1846</v>
      </c>
      <c r="C854" s="1" t="s">
        <v>1846</v>
      </c>
      <c r="E854" s="4" t="s">
        <v>1847</v>
      </c>
      <c r="G854" s="16"/>
      <c r="M854">
        <v>1</v>
      </c>
      <c r="N854">
        <v>992</v>
      </c>
      <c r="O854">
        <v>0</v>
      </c>
      <c r="P854">
        <v>2.75</v>
      </c>
      <c r="Q854">
        <v>2728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400112</v>
      </c>
      <c r="X854" t="s">
        <v>56</v>
      </c>
      <c r="Y854" t="s">
        <v>57</v>
      </c>
      <c r="AE854">
        <v>0</v>
      </c>
      <c r="AP854" t="s">
        <v>220</v>
      </c>
    </row>
    <row r="855" spans="1:42">
      <c r="A855" s="1" t="s">
        <v>46</v>
      </c>
      <c r="B855" s="1" t="s">
        <v>1848</v>
      </c>
      <c r="C855" s="1" t="s">
        <v>1848</v>
      </c>
      <c r="E855" s="4" t="s">
        <v>1849</v>
      </c>
      <c r="G855" s="16"/>
      <c r="M855">
        <v>1</v>
      </c>
      <c r="N855">
        <v>174</v>
      </c>
      <c r="O855">
        <v>0</v>
      </c>
      <c r="P855">
        <v>0.75</v>
      </c>
      <c r="Q855">
        <v>130.5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400112</v>
      </c>
      <c r="AE855">
        <v>0</v>
      </c>
      <c r="AP855" t="s">
        <v>220</v>
      </c>
    </row>
    <row r="856" spans="1:42">
      <c r="A856" s="1" t="s">
        <v>46</v>
      </c>
      <c r="B856" s="1" t="s">
        <v>1850</v>
      </c>
      <c r="C856" s="1" t="s">
        <v>1850</v>
      </c>
      <c r="E856" s="4" t="s">
        <v>1851</v>
      </c>
      <c r="G856" s="16"/>
      <c r="M856">
        <v>1</v>
      </c>
      <c r="N856">
        <v>12</v>
      </c>
      <c r="O856">
        <v>0</v>
      </c>
      <c r="P856">
        <v>16</v>
      </c>
      <c r="Q856">
        <v>192</v>
      </c>
      <c r="R856">
        <v>0</v>
      </c>
      <c r="S856">
        <v>0</v>
      </c>
      <c r="T856">
        <v>0</v>
      </c>
      <c r="W856">
        <v>400139</v>
      </c>
      <c r="AE856">
        <v>0</v>
      </c>
      <c r="AP856" t="s">
        <v>1233</v>
      </c>
    </row>
    <row r="857" spans="1:42">
      <c r="A857" s="1" t="s">
        <v>46</v>
      </c>
      <c r="B857" s="1" t="s">
        <v>1852</v>
      </c>
      <c r="C857" s="1" t="s">
        <v>1852</v>
      </c>
      <c r="E857" s="4" t="s">
        <v>1853</v>
      </c>
      <c r="G857" s="16">
        <v>0.75</v>
      </c>
      <c r="M857">
        <v>1</v>
      </c>
      <c r="N857">
        <v>8</v>
      </c>
      <c r="O857">
        <v>0</v>
      </c>
      <c r="P857">
        <v>1.75</v>
      </c>
      <c r="Q857">
        <v>14</v>
      </c>
      <c r="W857">
        <v>400017</v>
      </c>
      <c r="AE857">
        <v>0</v>
      </c>
      <c r="AP857" t="s">
        <v>49</v>
      </c>
    </row>
    <row r="858" spans="1:42">
      <c r="A858" s="1" t="s">
        <v>46</v>
      </c>
      <c r="B858" s="1" t="s">
        <v>1854</v>
      </c>
      <c r="C858" s="1" t="s">
        <v>1854</v>
      </c>
      <c r="E858" s="4" t="s">
        <v>1855</v>
      </c>
      <c r="G858" s="16">
        <v>1.5</v>
      </c>
      <c r="M858">
        <v>1</v>
      </c>
      <c r="N858">
        <v>5</v>
      </c>
      <c r="O858">
        <v>0</v>
      </c>
      <c r="P858">
        <v>1.25</v>
      </c>
      <c r="Q858">
        <v>6.26</v>
      </c>
      <c r="R858" t="s">
        <v>556</v>
      </c>
      <c r="S858">
        <v>0</v>
      </c>
      <c r="T858" t="s">
        <v>52</v>
      </c>
      <c r="U858">
        <v>0</v>
      </c>
      <c r="V858">
        <v>0</v>
      </c>
      <c r="W858">
        <v>400013</v>
      </c>
      <c r="AE858">
        <v>0</v>
      </c>
      <c r="AP858" t="s">
        <v>232</v>
      </c>
    </row>
    <row r="859" spans="1:42">
      <c r="A859" s="1" t="s">
        <v>46</v>
      </c>
      <c r="B859" s="1" t="s">
        <v>1856</v>
      </c>
      <c r="C859" s="1" t="s">
        <v>1856</v>
      </c>
      <c r="E859" s="4" t="s">
        <v>1857</v>
      </c>
      <c r="G859" s="16">
        <v>2</v>
      </c>
      <c r="M859">
        <v>1</v>
      </c>
      <c r="N859">
        <v>293</v>
      </c>
      <c r="O859">
        <v>0</v>
      </c>
      <c r="P859">
        <v>0.6</v>
      </c>
      <c r="Q859">
        <v>175.8</v>
      </c>
      <c r="R859" t="s">
        <v>241</v>
      </c>
      <c r="S859">
        <v>0</v>
      </c>
      <c r="T859" t="s">
        <v>52</v>
      </c>
      <c r="U859">
        <v>0</v>
      </c>
      <c r="V859">
        <v>0</v>
      </c>
      <c r="W859">
        <v>410302</v>
      </c>
      <c r="AE859">
        <v>0</v>
      </c>
      <c r="AP859" t="s">
        <v>177</v>
      </c>
    </row>
    <row r="860" spans="1:42">
      <c r="A860" s="1" t="s">
        <v>46</v>
      </c>
      <c r="B860" s="1" t="s">
        <v>1858</v>
      </c>
      <c r="C860" s="1" t="s">
        <v>1858</v>
      </c>
      <c r="E860" s="4" t="s">
        <v>1859</v>
      </c>
      <c r="G860" s="16"/>
      <c r="I860">
        <v>2.58</v>
      </c>
      <c r="M860">
        <v>1</v>
      </c>
      <c r="N860">
        <v>23</v>
      </c>
      <c r="O860">
        <v>0</v>
      </c>
      <c r="P860">
        <v>1.73</v>
      </c>
      <c r="Q860">
        <v>39.85</v>
      </c>
      <c r="R860" t="s">
        <v>1050</v>
      </c>
      <c r="S860">
        <v>0</v>
      </c>
      <c r="T860" t="s">
        <v>52</v>
      </c>
      <c r="U860">
        <v>0</v>
      </c>
      <c r="V860">
        <v>0</v>
      </c>
      <c r="W860">
        <v>400026</v>
      </c>
      <c r="AE860">
        <v>0</v>
      </c>
      <c r="AH860">
        <v>2.58</v>
      </c>
      <c r="AP860" t="s">
        <v>187</v>
      </c>
    </row>
    <row r="861" spans="1:42">
      <c r="A861" s="1" t="s">
        <v>46</v>
      </c>
      <c r="B861" s="1" t="s">
        <v>1860</v>
      </c>
      <c r="C861" s="1" t="s">
        <v>1860</v>
      </c>
      <c r="E861" s="4" t="s">
        <v>1861</v>
      </c>
      <c r="G861" s="16"/>
      <c r="I861">
        <v>1.1499999999999999</v>
      </c>
      <c r="M861">
        <v>1</v>
      </c>
      <c r="N861">
        <v>4</v>
      </c>
      <c r="O861">
        <v>0</v>
      </c>
      <c r="P861">
        <v>1.7</v>
      </c>
      <c r="Q861">
        <v>6.78</v>
      </c>
      <c r="R861" t="s">
        <v>1050</v>
      </c>
      <c r="S861">
        <v>0</v>
      </c>
      <c r="T861" t="s">
        <v>52</v>
      </c>
      <c r="U861">
        <v>0</v>
      </c>
      <c r="V861">
        <v>0</v>
      </c>
      <c r="W861">
        <v>400013</v>
      </c>
      <c r="AE861">
        <v>0</v>
      </c>
      <c r="AH861">
        <v>1.1499999999999999</v>
      </c>
      <c r="AP861" t="s">
        <v>232</v>
      </c>
    </row>
    <row r="862" spans="1:42">
      <c r="A862" s="1" t="s">
        <v>46</v>
      </c>
      <c r="B862" s="1" t="s">
        <v>1862</v>
      </c>
      <c r="C862" s="1" t="s">
        <v>1862</v>
      </c>
      <c r="E862" s="4" t="s">
        <v>1863</v>
      </c>
      <c r="G862" s="16"/>
      <c r="M862">
        <v>1</v>
      </c>
      <c r="N862">
        <v>2</v>
      </c>
      <c r="O862">
        <v>0</v>
      </c>
      <c r="P862">
        <v>16.72</v>
      </c>
      <c r="Q862">
        <v>33.44</v>
      </c>
      <c r="R862" t="s">
        <v>556</v>
      </c>
      <c r="S862">
        <v>0</v>
      </c>
      <c r="T862" t="s">
        <v>52</v>
      </c>
      <c r="W862">
        <v>400013</v>
      </c>
      <c r="AE862">
        <v>0</v>
      </c>
      <c r="AP862" t="s">
        <v>232</v>
      </c>
    </row>
    <row r="863" spans="1:42">
      <c r="A863" s="1" t="s">
        <v>46</v>
      </c>
      <c r="B863" s="1" t="s">
        <v>1864</v>
      </c>
      <c r="C863" s="1" t="s">
        <v>1864</v>
      </c>
      <c r="E863" s="4" t="s">
        <v>1865</v>
      </c>
      <c r="G863" s="16"/>
      <c r="M863">
        <v>1</v>
      </c>
      <c r="N863">
        <v>79</v>
      </c>
      <c r="O863">
        <v>0</v>
      </c>
      <c r="P863">
        <v>17</v>
      </c>
      <c r="Q863">
        <v>1343</v>
      </c>
      <c r="R863" t="s">
        <v>241</v>
      </c>
      <c r="S863">
        <v>0</v>
      </c>
      <c r="T863" t="s">
        <v>52</v>
      </c>
      <c r="U863">
        <v>0</v>
      </c>
      <c r="V863">
        <v>0</v>
      </c>
      <c r="W863">
        <v>400028</v>
      </c>
      <c r="AE863">
        <v>0</v>
      </c>
      <c r="AP863" t="s">
        <v>246</v>
      </c>
    </row>
    <row r="864" spans="1:42">
      <c r="A864" s="1" t="s">
        <v>46</v>
      </c>
      <c r="B864" s="1" t="s">
        <v>1866</v>
      </c>
      <c r="C864" s="1" t="s">
        <v>1866</v>
      </c>
      <c r="E864" s="4" t="s">
        <v>1867</v>
      </c>
      <c r="G864" s="16"/>
      <c r="I864">
        <v>32.25</v>
      </c>
      <c r="M864">
        <v>1</v>
      </c>
      <c r="N864">
        <v>9</v>
      </c>
      <c r="O864">
        <v>0</v>
      </c>
      <c r="P864">
        <v>10.88</v>
      </c>
      <c r="Q864">
        <v>97.9</v>
      </c>
      <c r="R864" t="s">
        <v>1050</v>
      </c>
      <c r="S864">
        <v>0</v>
      </c>
      <c r="T864" t="s">
        <v>52</v>
      </c>
      <c r="U864">
        <v>0</v>
      </c>
      <c r="V864">
        <v>0</v>
      </c>
      <c r="W864">
        <v>400013</v>
      </c>
      <c r="AE864">
        <v>0</v>
      </c>
      <c r="AH864">
        <v>32.25</v>
      </c>
      <c r="AP864" t="s">
        <v>232</v>
      </c>
    </row>
    <row r="865" spans="1:42">
      <c r="A865" s="1" t="s">
        <v>46</v>
      </c>
      <c r="B865" s="1" t="s">
        <v>1868</v>
      </c>
      <c r="C865" s="1" t="s">
        <v>1868</v>
      </c>
      <c r="E865" s="4" t="s">
        <v>1869</v>
      </c>
      <c r="G865" s="16"/>
      <c r="M865">
        <v>1</v>
      </c>
      <c r="N865">
        <v>-4</v>
      </c>
      <c r="O865">
        <v>0</v>
      </c>
      <c r="P865">
        <v>1.5</v>
      </c>
      <c r="Q865">
        <v>-6</v>
      </c>
      <c r="R865" t="s">
        <v>241</v>
      </c>
      <c r="S865">
        <v>0</v>
      </c>
      <c r="T865" t="s">
        <v>52</v>
      </c>
      <c r="U865">
        <v>0</v>
      </c>
      <c r="V865">
        <v>0</v>
      </c>
      <c r="W865">
        <v>410302</v>
      </c>
      <c r="AE865">
        <v>0</v>
      </c>
      <c r="AP865" t="s">
        <v>177</v>
      </c>
    </row>
    <row r="866" spans="1:42">
      <c r="A866" s="1" t="s">
        <v>46</v>
      </c>
      <c r="B866" s="1" t="s">
        <v>1870</v>
      </c>
      <c r="C866" s="1" t="s">
        <v>1870</v>
      </c>
      <c r="E866" s="4" t="s">
        <v>1871</v>
      </c>
      <c r="G866" s="16"/>
      <c r="I866">
        <v>35.68</v>
      </c>
      <c r="M866">
        <v>1</v>
      </c>
      <c r="N866">
        <v>35</v>
      </c>
      <c r="O866">
        <v>0</v>
      </c>
      <c r="P866">
        <v>23.96</v>
      </c>
      <c r="Q866">
        <v>838.66</v>
      </c>
      <c r="R866" t="s">
        <v>1050</v>
      </c>
      <c r="S866">
        <v>0</v>
      </c>
      <c r="T866" t="s">
        <v>209</v>
      </c>
      <c r="U866">
        <v>0</v>
      </c>
      <c r="V866">
        <v>0</v>
      </c>
      <c r="W866">
        <v>400026</v>
      </c>
      <c r="AE866">
        <v>0</v>
      </c>
      <c r="AH866">
        <v>35.68</v>
      </c>
      <c r="AP866" t="s">
        <v>187</v>
      </c>
    </row>
    <row r="867" spans="1:42">
      <c r="A867" s="1" t="s">
        <v>46</v>
      </c>
      <c r="B867" s="1" t="s">
        <v>1872</v>
      </c>
      <c r="C867" s="1" t="s">
        <v>1872</v>
      </c>
      <c r="E867" s="4" t="s">
        <v>1873</v>
      </c>
      <c r="G867" s="16"/>
      <c r="M867">
        <v>1</v>
      </c>
      <c r="N867">
        <v>81</v>
      </c>
      <c r="O867">
        <v>0</v>
      </c>
      <c r="P867">
        <v>11.5</v>
      </c>
      <c r="Q867">
        <v>931.5</v>
      </c>
      <c r="R867" t="s">
        <v>241</v>
      </c>
      <c r="S867">
        <v>0</v>
      </c>
      <c r="T867" t="s">
        <v>209</v>
      </c>
      <c r="U867">
        <v>0</v>
      </c>
      <c r="V867">
        <v>0</v>
      </c>
      <c r="W867">
        <v>400061</v>
      </c>
      <c r="X867" t="s">
        <v>56</v>
      </c>
      <c r="Y867" t="s">
        <v>57</v>
      </c>
      <c r="AE867">
        <v>0</v>
      </c>
      <c r="AP867" t="s">
        <v>169</v>
      </c>
    </row>
    <row r="868" spans="1:42">
      <c r="A868" s="1" t="s">
        <v>46</v>
      </c>
      <c r="B868" s="1" t="s">
        <v>1874</v>
      </c>
      <c r="C868" s="1" t="s">
        <v>1874</v>
      </c>
      <c r="E868" s="4" t="s">
        <v>1875</v>
      </c>
      <c r="G868" s="16"/>
      <c r="M868">
        <v>1</v>
      </c>
      <c r="N868">
        <v>21.5</v>
      </c>
      <c r="O868">
        <v>0</v>
      </c>
      <c r="P868">
        <v>12.58</v>
      </c>
      <c r="Q868">
        <v>270.47000000000003</v>
      </c>
      <c r="R868" t="s">
        <v>556</v>
      </c>
      <c r="S868">
        <v>0</v>
      </c>
      <c r="T868" t="s">
        <v>209</v>
      </c>
      <c r="U868">
        <v>0</v>
      </c>
      <c r="V868">
        <v>0</v>
      </c>
      <c r="W868">
        <v>400013</v>
      </c>
      <c r="X868" t="s">
        <v>56</v>
      </c>
      <c r="Y868" t="s">
        <v>57</v>
      </c>
      <c r="AE868">
        <v>0</v>
      </c>
      <c r="AP868" t="s">
        <v>232</v>
      </c>
    </row>
    <row r="869" spans="1:42">
      <c r="E869" s="4" t="s">
        <v>1876</v>
      </c>
      <c r="G869" s="16">
        <v>27</v>
      </c>
    </row>
    <row r="870" spans="1:42">
      <c r="A870" s="1" t="s">
        <v>46</v>
      </c>
      <c r="B870" s="1" t="s">
        <v>1877</v>
      </c>
      <c r="C870" s="1" t="s">
        <v>1877</v>
      </c>
      <c r="E870" s="4" t="s">
        <v>1878</v>
      </c>
      <c r="G870" s="16">
        <v>17</v>
      </c>
      <c r="M870">
        <v>1</v>
      </c>
      <c r="N870">
        <v>-1</v>
      </c>
      <c r="O870">
        <v>0</v>
      </c>
      <c r="AE870">
        <v>0</v>
      </c>
    </row>
    <row r="871" spans="1:42">
      <c r="A871" s="1" t="s">
        <v>46</v>
      </c>
      <c r="B871" s="1" t="s">
        <v>1879</v>
      </c>
      <c r="C871" s="1" t="s">
        <v>1879</v>
      </c>
      <c r="E871" s="4" t="s">
        <v>1880</v>
      </c>
      <c r="G871" s="16"/>
      <c r="M871">
        <v>1</v>
      </c>
      <c r="N871">
        <v>13</v>
      </c>
      <c r="O871">
        <v>0</v>
      </c>
      <c r="P871">
        <v>8.5</v>
      </c>
      <c r="Q871">
        <v>110.5</v>
      </c>
      <c r="R871" t="s">
        <v>241</v>
      </c>
      <c r="S871">
        <v>0</v>
      </c>
      <c r="T871" t="s">
        <v>209</v>
      </c>
      <c r="U871">
        <v>0</v>
      </c>
      <c r="V871">
        <v>0</v>
      </c>
      <c r="W871">
        <v>400200</v>
      </c>
      <c r="AE871">
        <v>0</v>
      </c>
      <c r="AP871" t="s">
        <v>771</v>
      </c>
    </row>
    <row r="872" spans="1:42">
      <c r="A872" s="1" t="s">
        <v>46</v>
      </c>
      <c r="B872" s="1" t="s">
        <v>1881</v>
      </c>
      <c r="C872" s="1" t="s">
        <v>1881</v>
      </c>
      <c r="E872" s="4" t="s">
        <v>1882</v>
      </c>
      <c r="G872" s="16"/>
      <c r="M872">
        <v>1</v>
      </c>
      <c r="N872">
        <v>5</v>
      </c>
      <c r="O872">
        <v>0</v>
      </c>
      <c r="P872">
        <v>2.95</v>
      </c>
      <c r="Q872">
        <v>14.73</v>
      </c>
      <c r="R872" t="s">
        <v>556</v>
      </c>
      <c r="S872">
        <v>0</v>
      </c>
      <c r="T872" t="s">
        <v>52</v>
      </c>
      <c r="U872">
        <v>0</v>
      </c>
      <c r="V872">
        <v>0</v>
      </c>
      <c r="W872">
        <v>400013</v>
      </c>
      <c r="X872" t="s">
        <v>56</v>
      </c>
      <c r="Y872" t="s">
        <v>57</v>
      </c>
      <c r="AE872">
        <v>0</v>
      </c>
      <c r="AP872" t="s">
        <v>232</v>
      </c>
    </row>
    <row r="873" spans="1:42">
      <c r="A873" s="1" t="s">
        <v>46</v>
      </c>
      <c r="B873" s="1" t="s">
        <v>1883</v>
      </c>
      <c r="C873" s="1" t="s">
        <v>1883</v>
      </c>
      <c r="E873" s="4" t="s">
        <v>1884</v>
      </c>
      <c r="G873" s="16"/>
      <c r="M873">
        <v>1</v>
      </c>
      <c r="N873">
        <v>24</v>
      </c>
      <c r="O873">
        <v>0</v>
      </c>
      <c r="P873">
        <v>2.75</v>
      </c>
      <c r="Q873">
        <v>66</v>
      </c>
      <c r="R873" t="s">
        <v>241</v>
      </c>
      <c r="S873">
        <v>0</v>
      </c>
      <c r="T873" t="s">
        <v>52</v>
      </c>
      <c r="U873">
        <v>0</v>
      </c>
      <c r="V873">
        <v>0</v>
      </c>
      <c r="W873">
        <v>410302</v>
      </c>
      <c r="AE873">
        <v>0</v>
      </c>
      <c r="AP873" t="s">
        <v>177</v>
      </c>
    </row>
    <row r="874" spans="1:42">
      <c r="A874" s="1" t="s">
        <v>46</v>
      </c>
      <c r="B874" s="1" t="s">
        <v>1885</v>
      </c>
      <c r="C874" s="1" t="s">
        <v>1885</v>
      </c>
      <c r="E874" s="4" t="s">
        <v>1886</v>
      </c>
      <c r="G874" s="16"/>
      <c r="I874">
        <v>20</v>
      </c>
      <c r="M874">
        <v>1</v>
      </c>
      <c r="N874">
        <v>2</v>
      </c>
      <c r="O874">
        <v>0</v>
      </c>
      <c r="P874">
        <v>11.69</v>
      </c>
      <c r="Q874">
        <v>23.37</v>
      </c>
      <c r="R874" t="s">
        <v>1050</v>
      </c>
      <c r="S874">
        <v>0</v>
      </c>
      <c r="T874" t="s">
        <v>52</v>
      </c>
      <c r="U874">
        <v>0</v>
      </c>
      <c r="V874">
        <v>0</v>
      </c>
      <c r="W874">
        <v>400026</v>
      </c>
      <c r="AE874">
        <v>0</v>
      </c>
      <c r="AH874">
        <v>20</v>
      </c>
      <c r="AP874" t="s">
        <v>187</v>
      </c>
    </row>
    <row r="875" spans="1:42">
      <c r="A875" s="1" t="s">
        <v>46</v>
      </c>
      <c r="B875" s="1" t="s">
        <v>1887</v>
      </c>
      <c r="C875" s="1" t="s">
        <v>1887</v>
      </c>
      <c r="E875" s="4" t="s">
        <v>1888</v>
      </c>
      <c r="G875" s="16"/>
      <c r="M875">
        <v>1</v>
      </c>
      <c r="N875">
        <v>140</v>
      </c>
      <c r="O875">
        <v>0</v>
      </c>
      <c r="P875">
        <v>0.16</v>
      </c>
      <c r="Q875">
        <v>23.1</v>
      </c>
      <c r="T875" t="s">
        <v>52</v>
      </c>
      <c r="W875">
        <v>410302</v>
      </c>
      <c r="AE875">
        <v>0</v>
      </c>
      <c r="AP875" t="s">
        <v>177</v>
      </c>
    </row>
    <row r="876" spans="1:42">
      <c r="A876" s="1" t="s">
        <v>46</v>
      </c>
      <c r="B876" s="1" t="s">
        <v>1889</v>
      </c>
      <c r="C876" s="1" t="s">
        <v>1889</v>
      </c>
      <c r="E876" s="4" t="s">
        <v>1890</v>
      </c>
      <c r="G876" s="16">
        <v>30</v>
      </c>
      <c r="M876">
        <v>1</v>
      </c>
      <c r="N876">
        <v>9</v>
      </c>
      <c r="O876">
        <v>0</v>
      </c>
      <c r="P876">
        <v>1.07</v>
      </c>
      <c r="Q876">
        <v>9.6</v>
      </c>
      <c r="R876" t="s">
        <v>556</v>
      </c>
      <c r="S876">
        <v>0</v>
      </c>
      <c r="T876" t="s">
        <v>52</v>
      </c>
      <c r="U876">
        <v>0</v>
      </c>
      <c r="V876">
        <v>0</v>
      </c>
      <c r="W876">
        <v>400013</v>
      </c>
      <c r="X876" t="s">
        <v>56</v>
      </c>
      <c r="Y876" t="s">
        <v>57</v>
      </c>
      <c r="AE876">
        <v>0</v>
      </c>
      <c r="AP876" t="s">
        <v>232</v>
      </c>
    </row>
    <row r="877" spans="1:42">
      <c r="A877" s="1" t="s">
        <v>46</v>
      </c>
      <c r="B877" s="1" t="s">
        <v>1891</v>
      </c>
      <c r="C877" s="1" t="s">
        <v>1891</v>
      </c>
      <c r="E877" s="4" t="s">
        <v>1892</v>
      </c>
      <c r="G877" s="16"/>
      <c r="M877">
        <v>1</v>
      </c>
      <c r="N877">
        <v>399</v>
      </c>
      <c r="O877">
        <v>0</v>
      </c>
      <c r="P877">
        <v>0.4</v>
      </c>
      <c r="Q877">
        <v>159.6</v>
      </c>
      <c r="R877" t="s">
        <v>241</v>
      </c>
      <c r="S877">
        <v>0</v>
      </c>
      <c r="T877" t="s">
        <v>52</v>
      </c>
      <c r="U877">
        <v>0</v>
      </c>
      <c r="V877">
        <v>0</v>
      </c>
      <c r="W877">
        <v>400200</v>
      </c>
      <c r="AE877">
        <v>0</v>
      </c>
      <c r="AP877" t="s">
        <v>771</v>
      </c>
    </row>
    <row r="878" spans="1:42">
      <c r="A878" s="1" t="s">
        <v>46</v>
      </c>
      <c r="B878" s="1" t="s">
        <v>1893</v>
      </c>
      <c r="C878" s="1" t="s">
        <v>1893</v>
      </c>
      <c r="E878" s="4" t="s">
        <v>1894</v>
      </c>
      <c r="G878" s="16"/>
      <c r="I878">
        <v>1.95</v>
      </c>
      <c r="M878">
        <v>1</v>
      </c>
      <c r="N878">
        <v>-6</v>
      </c>
      <c r="O878">
        <v>0</v>
      </c>
      <c r="P878">
        <v>1.31</v>
      </c>
      <c r="Q878">
        <v>-7.85</v>
      </c>
      <c r="R878" t="s">
        <v>1050</v>
      </c>
      <c r="S878">
        <v>0</v>
      </c>
      <c r="T878" t="s">
        <v>52</v>
      </c>
      <c r="U878">
        <v>0</v>
      </c>
      <c r="V878">
        <v>0</v>
      </c>
      <c r="W878">
        <v>400026</v>
      </c>
      <c r="AE878">
        <v>0</v>
      </c>
      <c r="AH878">
        <v>1.95</v>
      </c>
      <c r="AP878" t="s">
        <v>187</v>
      </c>
    </row>
    <row r="879" spans="1:42">
      <c r="A879" s="1" t="s">
        <v>46</v>
      </c>
      <c r="B879" s="1" t="s">
        <v>1895</v>
      </c>
      <c r="C879" s="1" t="s">
        <v>1895</v>
      </c>
      <c r="E879" s="4" t="s">
        <v>1896</v>
      </c>
      <c r="G879" s="16"/>
      <c r="M879">
        <v>1</v>
      </c>
      <c r="N879">
        <v>33</v>
      </c>
      <c r="O879">
        <v>0</v>
      </c>
      <c r="P879">
        <v>1.35</v>
      </c>
      <c r="Q879">
        <v>44.4</v>
      </c>
      <c r="R879" t="s">
        <v>556</v>
      </c>
      <c r="S879">
        <v>0</v>
      </c>
      <c r="T879" t="s">
        <v>52</v>
      </c>
      <c r="U879">
        <v>0</v>
      </c>
      <c r="V879">
        <v>0</v>
      </c>
      <c r="W879">
        <v>400013</v>
      </c>
      <c r="X879" t="s">
        <v>56</v>
      </c>
      <c r="Y879" t="s">
        <v>57</v>
      </c>
      <c r="AE879">
        <v>0</v>
      </c>
      <c r="AP879" t="s">
        <v>232</v>
      </c>
    </row>
    <row r="880" spans="1:42">
      <c r="A880" s="1" t="s">
        <v>46</v>
      </c>
      <c r="B880" s="1" t="s">
        <v>1897</v>
      </c>
      <c r="C880" s="1" t="s">
        <v>1897</v>
      </c>
      <c r="E880" s="4" t="s">
        <v>1898</v>
      </c>
      <c r="G880" s="16"/>
      <c r="M880">
        <v>1</v>
      </c>
      <c r="N880">
        <v>37</v>
      </c>
      <c r="O880">
        <v>0</v>
      </c>
      <c r="P880">
        <v>0.4</v>
      </c>
      <c r="Q880">
        <v>14.8</v>
      </c>
      <c r="R880" t="s">
        <v>241</v>
      </c>
      <c r="S880">
        <v>0</v>
      </c>
      <c r="T880" t="s">
        <v>52</v>
      </c>
      <c r="U880">
        <v>0</v>
      </c>
      <c r="V880">
        <v>0</v>
      </c>
      <c r="W880">
        <v>410302</v>
      </c>
      <c r="AE880">
        <v>0</v>
      </c>
      <c r="AP880" t="s">
        <v>177</v>
      </c>
    </row>
    <row r="881" spans="1:42">
      <c r="A881" s="1" t="s">
        <v>46</v>
      </c>
      <c r="B881" s="1" t="s">
        <v>1899</v>
      </c>
      <c r="C881" s="1" t="s">
        <v>1899</v>
      </c>
      <c r="E881" s="4" t="s">
        <v>1900</v>
      </c>
      <c r="G881" s="16"/>
      <c r="I881">
        <v>3</v>
      </c>
      <c r="M881">
        <v>1</v>
      </c>
      <c r="N881">
        <v>26</v>
      </c>
      <c r="O881">
        <v>0</v>
      </c>
      <c r="P881">
        <v>2.0099999999999998</v>
      </c>
      <c r="Q881">
        <v>52.34</v>
      </c>
      <c r="R881" t="s">
        <v>1050</v>
      </c>
      <c r="S881">
        <v>0</v>
      </c>
      <c r="T881" t="s">
        <v>52</v>
      </c>
      <c r="U881">
        <v>0</v>
      </c>
      <c r="V881">
        <v>0</v>
      </c>
      <c r="W881">
        <v>400026</v>
      </c>
      <c r="AE881">
        <v>0</v>
      </c>
      <c r="AH881">
        <v>3</v>
      </c>
      <c r="AP881" t="s">
        <v>187</v>
      </c>
    </row>
    <row r="882" spans="1:42">
      <c r="A882" s="1" t="s">
        <v>46</v>
      </c>
      <c r="B882" s="1" t="s">
        <v>1901</v>
      </c>
      <c r="C882" s="1" t="s">
        <v>1901</v>
      </c>
      <c r="E882" s="4" t="s">
        <v>1902</v>
      </c>
      <c r="G882" s="16">
        <v>100</v>
      </c>
      <c r="I882">
        <v>2</v>
      </c>
      <c r="M882">
        <v>1</v>
      </c>
      <c r="N882">
        <v>295</v>
      </c>
      <c r="O882">
        <v>0</v>
      </c>
      <c r="P882">
        <v>0.55000000000000004</v>
      </c>
      <c r="Q882">
        <v>162.25</v>
      </c>
      <c r="R882">
        <v>0</v>
      </c>
      <c r="S882">
        <v>0</v>
      </c>
      <c r="T882" t="s">
        <v>52</v>
      </c>
      <c r="U882">
        <v>0</v>
      </c>
      <c r="V882">
        <v>0</v>
      </c>
      <c r="W882">
        <v>400033</v>
      </c>
      <c r="AE882">
        <v>0</v>
      </c>
      <c r="AH882">
        <v>2</v>
      </c>
      <c r="AP882" t="s">
        <v>126</v>
      </c>
    </row>
    <row r="883" spans="1:42">
      <c r="A883" s="1" t="s">
        <v>46</v>
      </c>
      <c r="B883" s="1" t="s">
        <v>1903</v>
      </c>
      <c r="C883" s="1" t="s">
        <v>1903</v>
      </c>
      <c r="E883" s="4" t="s">
        <v>1904</v>
      </c>
      <c r="G883" s="16"/>
      <c r="M883">
        <v>1</v>
      </c>
      <c r="N883">
        <v>4797</v>
      </c>
      <c r="O883">
        <v>0</v>
      </c>
      <c r="P883">
        <v>2.13</v>
      </c>
      <c r="Q883">
        <v>10196.02</v>
      </c>
      <c r="R883">
        <v>0</v>
      </c>
      <c r="S883">
        <v>0</v>
      </c>
      <c r="T883" t="s">
        <v>52</v>
      </c>
      <c r="U883">
        <v>0</v>
      </c>
      <c r="V883">
        <v>0</v>
      </c>
      <c r="W883">
        <v>400013</v>
      </c>
      <c r="X883" t="s">
        <v>56</v>
      </c>
      <c r="Y883" t="s">
        <v>57</v>
      </c>
      <c r="AE883">
        <v>0</v>
      </c>
      <c r="AP883" t="s">
        <v>232</v>
      </c>
    </row>
    <row r="884" spans="1:42">
      <c r="A884" s="1" t="s">
        <v>46</v>
      </c>
      <c r="B884" s="1" t="s">
        <v>1905</v>
      </c>
      <c r="C884" s="1" t="s">
        <v>1905</v>
      </c>
      <c r="E884" s="4" t="s">
        <v>1906</v>
      </c>
      <c r="G884" s="16"/>
      <c r="M884">
        <v>1</v>
      </c>
      <c r="N884">
        <v>365</v>
      </c>
      <c r="O884">
        <v>0</v>
      </c>
      <c r="P884">
        <v>3.46</v>
      </c>
      <c r="Q884">
        <v>1264.54</v>
      </c>
      <c r="R884">
        <v>0</v>
      </c>
      <c r="S884">
        <v>0</v>
      </c>
      <c r="T884" t="s">
        <v>52</v>
      </c>
      <c r="U884">
        <v>0</v>
      </c>
      <c r="V884">
        <v>0</v>
      </c>
      <c r="W884">
        <v>400013</v>
      </c>
      <c r="AE884">
        <v>0</v>
      </c>
      <c r="AP884" t="s">
        <v>232</v>
      </c>
    </row>
    <row r="885" spans="1:42">
      <c r="A885" s="1" t="s">
        <v>46</v>
      </c>
      <c r="B885" s="1" t="s">
        <v>1907</v>
      </c>
      <c r="C885" s="1" t="s">
        <v>1907</v>
      </c>
      <c r="E885" s="4" t="s">
        <v>1908</v>
      </c>
      <c r="G885" s="16"/>
      <c r="M885">
        <v>1</v>
      </c>
      <c r="N885">
        <v>21</v>
      </c>
      <c r="O885">
        <v>0</v>
      </c>
      <c r="P885">
        <v>0.64</v>
      </c>
      <c r="Q885">
        <v>13.37</v>
      </c>
      <c r="R885" t="s">
        <v>556</v>
      </c>
      <c r="S885">
        <v>0</v>
      </c>
      <c r="T885" t="s">
        <v>52</v>
      </c>
      <c r="U885">
        <v>0</v>
      </c>
      <c r="V885">
        <v>0</v>
      </c>
      <c r="W885">
        <v>400013</v>
      </c>
      <c r="X885" t="s">
        <v>56</v>
      </c>
      <c r="Y885" t="s">
        <v>57</v>
      </c>
      <c r="AE885">
        <v>0</v>
      </c>
      <c r="AP885" t="s">
        <v>232</v>
      </c>
    </row>
    <row r="886" spans="1:42">
      <c r="A886" s="1" t="s">
        <v>46</v>
      </c>
      <c r="B886" s="1" t="s">
        <v>1909</v>
      </c>
      <c r="C886" s="1" t="s">
        <v>1909</v>
      </c>
      <c r="E886" s="4" t="s">
        <v>1910</v>
      </c>
      <c r="G886" s="16"/>
      <c r="M886">
        <v>1</v>
      </c>
      <c r="N886">
        <v>168</v>
      </c>
      <c r="O886">
        <v>0</v>
      </c>
      <c r="P886">
        <v>0.3</v>
      </c>
      <c r="Q886">
        <v>50.4</v>
      </c>
      <c r="R886" t="s">
        <v>241</v>
      </c>
      <c r="S886">
        <v>0</v>
      </c>
      <c r="T886" t="s">
        <v>52</v>
      </c>
      <c r="U886">
        <v>0</v>
      </c>
      <c r="V886">
        <v>0</v>
      </c>
      <c r="W886">
        <v>410302</v>
      </c>
      <c r="AE886">
        <v>0</v>
      </c>
      <c r="AP886" t="s">
        <v>177</v>
      </c>
    </row>
    <row r="887" spans="1:42">
      <c r="A887" s="1" t="s">
        <v>46</v>
      </c>
      <c r="B887" s="1" t="s">
        <v>1911</v>
      </c>
      <c r="C887" s="1" t="s">
        <v>1911</v>
      </c>
      <c r="E887" s="4" t="s">
        <v>1912</v>
      </c>
      <c r="G887" s="16"/>
      <c r="I887">
        <v>1.2</v>
      </c>
      <c r="M887">
        <v>1</v>
      </c>
      <c r="N887">
        <v>-10</v>
      </c>
      <c r="O887">
        <v>0</v>
      </c>
      <c r="P887">
        <v>0.8</v>
      </c>
      <c r="Q887">
        <v>-8.0299999999999994</v>
      </c>
      <c r="R887" t="s">
        <v>1050</v>
      </c>
      <c r="S887">
        <v>0</v>
      </c>
      <c r="T887" t="s">
        <v>52</v>
      </c>
      <c r="U887">
        <v>0</v>
      </c>
      <c r="V887">
        <v>0</v>
      </c>
      <c r="W887">
        <v>400026</v>
      </c>
      <c r="AE887">
        <v>0</v>
      </c>
      <c r="AH887">
        <v>1.2</v>
      </c>
      <c r="AP887" t="s">
        <v>187</v>
      </c>
    </row>
    <row r="888" spans="1:42">
      <c r="A888" s="1" t="s">
        <v>46</v>
      </c>
      <c r="B888" s="1" t="s">
        <v>1913</v>
      </c>
      <c r="C888" s="1" t="s">
        <v>1913</v>
      </c>
      <c r="E888" s="4" t="s">
        <v>1914</v>
      </c>
      <c r="G888" s="16"/>
      <c r="M888">
        <v>1</v>
      </c>
      <c r="N888">
        <v>18</v>
      </c>
      <c r="O888">
        <v>0</v>
      </c>
      <c r="P888">
        <v>1.24</v>
      </c>
      <c r="Q888">
        <v>22.27</v>
      </c>
      <c r="R888" t="s">
        <v>176</v>
      </c>
      <c r="S888">
        <v>0</v>
      </c>
      <c r="T888" t="s">
        <v>52</v>
      </c>
      <c r="U888">
        <v>0</v>
      </c>
      <c r="V888">
        <v>0</v>
      </c>
      <c r="W888">
        <v>400061</v>
      </c>
      <c r="X888" t="s">
        <v>56</v>
      </c>
      <c r="Y888" t="s">
        <v>57</v>
      </c>
      <c r="AE888">
        <v>0</v>
      </c>
      <c r="AP888" t="s">
        <v>169</v>
      </c>
    </row>
    <row r="889" spans="1:42">
      <c r="A889" s="1" t="s">
        <v>46</v>
      </c>
      <c r="B889" s="1" t="s">
        <v>1915</v>
      </c>
      <c r="C889" s="1" t="s">
        <v>1915</v>
      </c>
      <c r="E889" s="4" t="s">
        <v>1916</v>
      </c>
      <c r="G889" s="16"/>
      <c r="M889">
        <v>1</v>
      </c>
      <c r="N889">
        <v>-21</v>
      </c>
      <c r="O889">
        <v>0</v>
      </c>
      <c r="P889">
        <v>5</v>
      </c>
      <c r="Q889">
        <v>-105</v>
      </c>
      <c r="R889" t="s">
        <v>241</v>
      </c>
      <c r="S889">
        <v>0</v>
      </c>
      <c r="T889" t="s">
        <v>52</v>
      </c>
      <c r="U889">
        <v>0</v>
      </c>
      <c r="V889">
        <v>0</v>
      </c>
      <c r="W889">
        <v>410302</v>
      </c>
      <c r="AE889">
        <v>0</v>
      </c>
      <c r="AP889" t="s">
        <v>177</v>
      </c>
    </row>
    <row r="890" spans="1:42">
      <c r="A890" s="1" t="s">
        <v>46</v>
      </c>
      <c r="B890" s="1" t="s">
        <v>1917</v>
      </c>
      <c r="C890" s="1" t="s">
        <v>1917</v>
      </c>
      <c r="E890" s="4" t="s">
        <v>1918</v>
      </c>
      <c r="G890" s="16"/>
      <c r="M890">
        <v>1</v>
      </c>
      <c r="N890">
        <v>180</v>
      </c>
      <c r="O890">
        <v>0</v>
      </c>
      <c r="P890">
        <v>5.5</v>
      </c>
      <c r="Q890">
        <v>990</v>
      </c>
      <c r="R890" t="s">
        <v>241</v>
      </c>
      <c r="S890">
        <v>0</v>
      </c>
      <c r="T890" t="s">
        <v>52</v>
      </c>
      <c r="U890">
        <v>0</v>
      </c>
      <c r="V890">
        <v>0</v>
      </c>
      <c r="W890">
        <v>410302</v>
      </c>
      <c r="AE890">
        <v>0</v>
      </c>
      <c r="AP890" t="s">
        <v>177</v>
      </c>
    </row>
    <row r="891" spans="1:42">
      <c r="A891" s="1" t="s">
        <v>46</v>
      </c>
      <c r="B891" s="1" t="s">
        <v>1919</v>
      </c>
      <c r="C891" s="1" t="s">
        <v>1919</v>
      </c>
      <c r="E891" s="4" t="s">
        <v>1920</v>
      </c>
      <c r="G891" s="16"/>
      <c r="I891">
        <v>30</v>
      </c>
      <c r="M891">
        <v>1</v>
      </c>
      <c r="N891">
        <v>20</v>
      </c>
      <c r="O891">
        <v>0</v>
      </c>
      <c r="P891">
        <v>15.26</v>
      </c>
      <c r="Q891">
        <v>305.25</v>
      </c>
      <c r="R891" t="s">
        <v>1050</v>
      </c>
      <c r="S891">
        <v>0</v>
      </c>
      <c r="T891" t="s">
        <v>52</v>
      </c>
      <c r="U891">
        <v>0</v>
      </c>
      <c r="V891">
        <v>0</v>
      </c>
      <c r="W891">
        <v>400026</v>
      </c>
      <c r="AE891">
        <v>0</v>
      </c>
      <c r="AH891">
        <v>30</v>
      </c>
      <c r="AP891" t="s">
        <v>187</v>
      </c>
    </row>
    <row r="892" spans="1:42">
      <c r="A892" s="1" t="s">
        <v>46</v>
      </c>
      <c r="B892" s="1" t="s">
        <v>1921</v>
      </c>
      <c r="C892" s="1" t="s">
        <v>1921</v>
      </c>
      <c r="E892" s="4" t="s">
        <v>1922</v>
      </c>
      <c r="G892" s="16"/>
      <c r="M892">
        <v>1</v>
      </c>
      <c r="N892">
        <v>-17</v>
      </c>
      <c r="O892">
        <v>0</v>
      </c>
      <c r="R892" t="s">
        <v>241</v>
      </c>
      <c r="T892" t="s">
        <v>52</v>
      </c>
      <c r="AE892">
        <v>0</v>
      </c>
    </row>
    <row r="893" spans="1:42">
      <c r="A893" s="1" t="s">
        <v>46</v>
      </c>
      <c r="B893" s="1" t="s">
        <v>1923</v>
      </c>
      <c r="C893" s="1" t="s">
        <v>1923</v>
      </c>
      <c r="E893" s="4" t="s">
        <v>1924</v>
      </c>
      <c r="G893" s="16"/>
      <c r="M893">
        <v>1</v>
      </c>
      <c r="N893">
        <v>-15</v>
      </c>
      <c r="O893">
        <v>0</v>
      </c>
      <c r="P893">
        <v>4.5</v>
      </c>
      <c r="Q893">
        <v>-67.5</v>
      </c>
      <c r="R893" t="s">
        <v>241</v>
      </c>
      <c r="S893">
        <v>0</v>
      </c>
      <c r="T893" t="s">
        <v>52</v>
      </c>
      <c r="U893">
        <v>0</v>
      </c>
      <c r="V893">
        <v>0</v>
      </c>
      <c r="W893">
        <v>410302</v>
      </c>
      <c r="AE893">
        <v>0</v>
      </c>
      <c r="AP893" t="s">
        <v>177</v>
      </c>
    </row>
    <row r="894" spans="1:42">
      <c r="A894" s="1" t="s">
        <v>46</v>
      </c>
      <c r="B894" s="1" t="s">
        <v>1925</v>
      </c>
      <c r="C894" s="1" t="s">
        <v>1925</v>
      </c>
      <c r="E894" s="4" t="s">
        <v>1926</v>
      </c>
      <c r="G894" s="16"/>
      <c r="I894">
        <v>17.8</v>
      </c>
      <c r="M894">
        <v>1</v>
      </c>
      <c r="N894">
        <v>3</v>
      </c>
      <c r="O894">
        <v>0</v>
      </c>
      <c r="P894">
        <v>11.95</v>
      </c>
      <c r="Q894">
        <v>35.85</v>
      </c>
      <c r="R894" t="s">
        <v>1050</v>
      </c>
      <c r="S894">
        <v>0</v>
      </c>
      <c r="T894" t="s">
        <v>52</v>
      </c>
      <c r="U894">
        <v>0</v>
      </c>
      <c r="V894">
        <v>0</v>
      </c>
      <c r="W894">
        <v>400026</v>
      </c>
      <c r="AE894">
        <v>0</v>
      </c>
      <c r="AH894">
        <v>17.8</v>
      </c>
      <c r="AP894" t="s">
        <v>187</v>
      </c>
    </row>
    <row r="895" spans="1:42">
      <c r="A895" s="1" t="s">
        <v>46</v>
      </c>
      <c r="B895" s="1" t="s">
        <v>1927</v>
      </c>
      <c r="C895" s="1" t="s">
        <v>1927</v>
      </c>
      <c r="E895" s="4" t="s">
        <v>1928</v>
      </c>
      <c r="G895" s="16"/>
      <c r="M895">
        <v>1</v>
      </c>
      <c r="N895">
        <v>57</v>
      </c>
      <c r="O895">
        <v>0</v>
      </c>
      <c r="P895">
        <v>4.75</v>
      </c>
      <c r="Q895">
        <v>270.75</v>
      </c>
      <c r="R895" t="s">
        <v>241</v>
      </c>
      <c r="S895">
        <v>0</v>
      </c>
      <c r="T895" t="s">
        <v>52</v>
      </c>
      <c r="U895">
        <v>0</v>
      </c>
      <c r="V895">
        <v>0</v>
      </c>
      <c r="W895">
        <v>410302</v>
      </c>
      <c r="AE895">
        <v>0</v>
      </c>
      <c r="AP895" t="s">
        <v>177</v>
      </c>
    </row>
    <row r="896" spans="1:42">
      <c r="A896" s="1" t="s">
        <v>46</v>
      </c>
      <c r="B896" s="1" t="s">
        <v>1929</v>
      </c>
      <c r="C896" s="1" t="s">
        <v>1929</v>
      </c>
      <c r="E896" s="4" t="s">
        <v>1930</v>
      </c>
      <c r="G896" s="16"/>
      <c r="I896">
        <v>20.57</v>
      </c>
      <c r="M896">
        <v>1</v>
      </c>
      <c r="N896">
        <v>21</v>
      </c>
      <c r="O896">
        <v>0</v>
      </c>
      <c r="P896">
        <v>13.82</v>
      </c>
      <c r="Q896">
        <v>290.14</v>
      </c>
      <c r="R896" t="s">
        <v>1050</v>
      </c>
      <c r="S896">
        <v>0</v>
      </c>
      <c r="T896" t="s">
        <v>52</v>
      </c>
      <c r="U896">
        <v>0</v>
      </c>
      <c r="V896">
        <v>0</v>
      </c>
      <c r="W896">
        <v>400026</v>
      </c>
      <c r="AE896">
        <v>0</v>
      </c>
      <c r="AH896">
        <v>20.57</v>
      </c>
      <c r="AP896" t="s">
        <v>187</v>
      </c>
    </row>
    <row r="897" spans="1:42">
      <c r="A897" s="1" t="s">
        <v>46</v>
      </c>
      <c r="B897" s="1" t="s">
        <v>1931</v>
      </c>
      <c r="C897" s="1" t="s">
        <v>1931</v>
      </c>
      <c r="E897" s="4" t="s">
        <v>1932</v>
      </c>
      <c r="G897" s="16"/>
      <c r="M897">
        <v>1</v>
      </c>
      <c r="N897">
        <v>-1</v>
      </c>
      <c r="O897">
        <v>0</v>
      </c>
      <c r="P897">
        <v>1.21</v>
      </c>
      <c r="Q897">
        <v>-1.21</v>
      </c>
      <c r="R897" t="s">
        <v>556</v>
      </c>
      <c r="S897">
        <v>0</v>
      </c>
      <c r="T897" t="s">
        <v>52</v>
      </c>
      <c r="U897">
        <v>0</v>
      </c>
      <c r="V897">
        <v>0</v>
      </c>
      <c r="W897">
        <v>400013</v>
      </c>
      <c r="X897" t="s">
        <v>56</v>
      </c>
      <c r="Y897" t="s">
        <v>57</v>
      </c>
      <c r="AE897">
        <v>0</v>
      </c>
      <c r="AP897" t="s">
        <v>232</v>
      </c>
    </row>
    <row r="898" spans="1:42">
      <c r="A898" s="1" t="s">
        <v>46</v>
      </c>
      <c r="B898" s="1" t="s">
        <v>1933</v>
      </c>
      <c r="C898" s="1" t="s">
        <v>1933</v>
      </c>
      <c r="E898" s="4" t="s">
        <v>1934</v>
      </c>
      <c r="G898" s="16"/>
      <c r="M898">
        <v>1</v>
      </c>
      <c r="N898">
        <v>11</v>
      </c>
      <c r="O898">
        <v>0</v>
      </c>
      <c r="P898">
        <v>1.08</v>
      </c>
      <c r="Q898">
        <v>11.87</v>
      </c>
      <c r="R898" t="s">
        <v>556</v>
      </c>
      <c r="S898">
        <v>0</v>
      </c>
      <c r="T898" t="s">
        <v>52</v>
      </c>
      <c r="U898">
        <v>0</v>
      </c>
      <c r="V898">
        <v>0</v>
      </c>
      <c r="W898">
        <v>400013</v>
      </c>
      <c r="AE898">
        <v>0</v>
      </c>
      <c r="AP898" t="s">
        <v>232</v>
      </c>
    </row>
    <row r="899" spans="1:42">
      <c r="A899" s="1" t="s">
        <v>46</v>
      </c>
      <c r="B899" s="1" t="s">
        <v>1935</v>
      </c>
      <c r="C899" s="1" t="s">
        <v>1935</v>
      </c>
      <c r="E899" s="4" t="s">
        <v>1936</v>
      </c>
      <c r="G899" s="16"/>
      <c r="M899">
        <v>1</v>
      </c>
      <c r="N899">
        <v>41</v>
      </c>
      <c r="O899">
        <v>0</v>
      </c>
      <c r="P899">
        <v>1.66</v>
      </c>
      <c r="Q899">
        <v>68.06</v>
      </c>
      <c r="R899" t="s">
        <v>176</v>
      </c>
      <c r="S899">
        <v>0</v>
      </c>
      <c r="T899" t="s">
        <v>52</v>
      </c>
      <c r="U899">
        <v>0</v>
      </c>
      <c r="V899">
        <v>0</v>
      </c>
      <c r="W899">
        <v>400061</v>
      </c>
      <c r="X899" t="s">
        <v>56</v>
      </c>
      <c r="Y899" t="s">
        <v>57</v>
      </c>
      <c r="AE899">
        <v>0</v>
      </c>
      <c r="AP899" t="s">
        <v>169</v>
      </c>
    </row>
    <row r="900" spans="1:42">
      <c r="A900" s="1" t="s">
        <v>46</v>
      </c>
      <c r="B900" s="1" t="s">
        <v>1937</v>
      </c>
      <c r="C900" s="1" t="s">
        <v>1937</v>
      </c>
      <c r="E900" s="4" t="s">
        <v>1938</v>
      </c>
      <c r="G900" s="16"/>
      <c r="M900">
        <v>1</v>
      </c>
      <c r="N900">
        <v>1</v>
      </c>
      <c r="O900">
        <v>0</v>
      </c>
      <c r="R900" t="s">
        <v>241</v>
      </c>
      <c r="S900">
        <v>0</v>
      </c>
      <c r="T900" t="s">
        <v>52</v>
      </c>
      <c r="U900">
        <v>0</v>
      </c>
      <c r="V900">
        <v>0</v>
      </c>
      <c r="AE900">
        <v>0</v>
      </c>
    </row>
    <row r="901" spans="1:42">
      <c r="A901" s="1" t="s">
        <v>46</v>
      </c>
      <c r="B901" s="1" t="s">
        <v>1939</v>
      </c>
      <c r="C901" s="1" t="s">
        <v>1939</v>
      </c>
      <c r="E901" s="4" t="s">
        <v>1940</v>
      </c>
      <c r="G901" s="16"/>
      <c r="I901">
        <v>13.5</v>
      </c>
      <c r="M901">
        <v>1</v>
      </c>
      <c r="N901">
        <v>5</v>
      </c>
      <c r="O901">
        <v>0</v>
      </c>
      <c r="P901">
        <v>9.7200000000000006</v>
      </c>
      <c r="Q901">
        <v>48.62</v>
      </c>
      <c r="R901" t="s">
        <v>1050</v>
      </c>
      <c r="S901">
        <v>0</v>
      </c>
      <c r="T901" t="s">
        <v>52</v>
      </c>
      <c r="U901">
        <v>0</v>
      </c>
      <c r="V901">
        <v>0</v>
      </c>
      <c r="W901">
        <v>400026</v>
      </c>
      <c r="AE901">
        <v>0</v>
      </c>
      <c r="AH901">
        <v>13.5</v>
      </c>
      <c r="AP901" t="s">
        <v>187</v>
      </c>
    </row>
    <row r="902" spans="1:42">
      <c r="A902" s="1" t="s">
        <v>46</v>
      </c>
      <c r="B902" s="1" t="s">
        <v>1941</v>
      </c>
      <c r="C902" s="1" t="s">
        <v>1941</v>
      </c>
      <c r="E902" s="4" t="s">
        <v>1942</v>
      </c>
      <c r="G902" s="16"/>
      <c r="M902">
        <v>1</v>
      </c>
      <c r="N902">
        <v>19</v>
      </c>
      <c r="O902">
        <v>0</v>
      </c>
      <c r="P902">
        <v>0.5</v>
      </c>
      <c r="Q902">
        <v>9.5</v>
      </c>
      <c r="R902" t="s">
        <v>241</v>
      </c>
      <c r="S902">
        <v>0</v>
      </c>
      <c r="T902" t="s">
        <v>52</v>
      </c>
      <c r="U902">
        <v>0</v>
      </c>
      <c r="V902">
        <v>0</v>
      </c>
      <c r="W902">
        <v>410302</v>
      </c>
      <c r="X902" t="s">
        <v>56</v>
      </c>
      <c r="Y902" t="s">
        <v>57</v>
      </c>
      <c r="AE902">
        <v>0</v>
      </c>
      <c r="AP902" t="s">
        <v>177</v>
      </c>
    </row>
    <row r="903" spans="1:42">
      <c r="A903" s="1" t="s">
        <v>46</v>
      </c>
      <c r="B903" s="1" t="s">
        <v>1943</v>
      </c>
      <c r="C903" s="1" t="s">
        <v>1943</v>
      </c>
      <c r="E903" s="4" t="s">
        <v>1944</v>
      </c>
      <c r="G903" s="16"/>
      <c r="M903">
        <v>1</v>
      </c>
      <c r="N903">
        <v>88</v>
      </c>
      <c r="O903">
        <v>0</v>
      </c>
      <c r="P903">
        <v>0.65</v>
      </c>
      <c r="Q903">
        <v>57.2</v>
      </c>
      <c r="R903" t="s">
        <v>241</v>
      </c>
      <c r="S903">
        <v>0</v>
      </c>
      <c r="T903" t="s">
        <v>52</v>
      </c>
      <c r="U903">
        <v>0</v>
      </c>
      <c r="V903">
        <v>0</v>
      </c>
      <c r="W903">
        <v>410302</v>
      </c>
      <c r="X903" t="s">
        <v>56</v>
      </c>
      <c r="Y903" t="s">
        <v>57</v>
      </c>
      <c r="AE903">
        <v>0</v>
      </c>
      <c r="AP903" t="s">
        <v>177</v>
      </c>
    </row>
    <row r="904" spans="1:42">
      <c r="A904" s="1" t="s">
        <v>46</v>
      </c>
      <c r="B904" s="1" t="s">
        <v>1945</v>
      </c>
      <c r="C904" s="1" t="s">
        <v>1945</v>
      </c>
      <c r="E904" s="4" t="s">
        <v>1946</v>
      </c>
      <c r="G904" s="16"/>
      <c r="M904">
        <v>1</v>
      </c>
      <c r="N904">
        <v>-92</v>
      </c>
      <c r="O904">
        <v>0</v>
      </c>
      <c r="P904">
        <v>0.25</v>
      </c>
      <c r="Q904">
        <v>-23</v>
      </c>
      <c r="R904" t="s">
        <v>241</v>
      </c>
      <c r="S904">
        <v>0</v>
      </c>
      <c r="T904" t="s">
        <v>52</v>
      </c>
      <c r="U904">
        <v>0</v>
      </c>
      <c r="V904">
        <v>0</v>
      </c>
      <c r="W904">
        <v>410302</v>
      </c>
      <c r="AE904">
        <v>0</v>
      </c>
      <c r="AP904" t="s">
        <v>177</v>
      </c>
    </row>
    <row r="905" spans="1:42">
      <c r="A905" s="1" t="s">
        <v>46</v>
      </c>
      <c r="B905" s="1" t="s">
        <v>1947</v>
      </c>
      <c r="C905" s="1" t="s">
        <v>1947</v>
      </c>
      <c r="E905" s="4" t="s">
        <v>1948</v>
      </c>
      <c r="G905" s="16"/>
      <c r="I905">
        <v>1.2</v>
      </c>
      <c r="M905">
        <v>1</v>
      </c>
      <c r="N905">
        <v>-21</v>
      </c>
      <c r="O905">
        <v>0</v>
      </c>
      <c r="P905">
        <v>0.81</v>
      </c>
      <c r="Q905">
        <v>-16.920000000000002</v>
      </c>
      <c r="R905" t="s">
        <v>1050</v>
      </c>
      <c r="S905">
        <v>0</v>
      </c>
      <c r="T905" t="s">
        <v>52</v>
      </c>
      <c r="U905">
        <v>0</v>
      </c>
      <c r="V905">
        <v>0</v>
      </c>
      <c r="W905">
        <v>400026</v>
      </c>
      <c r="AE905">
        <v>0</v>
      </c>
      <c r="AH905">
        <v>1.2</v>
      </c>
      <c r="AP905" t="s">
        <v>187</v>
      </c>
    </row>
    <row r="906" spans="1:42">
      <c r="A906" s="1" t="s">
        <v>46</v>
      </c>
      <c r="B906" s="1" t="s">
        <v>1949</v>
      </c>
      <c r="C906" s="1" t="s">
        <v>1949</v>
      </c>
      <c r="E906" s="4" t="s">
        <v>1950</v>
      </c>
      <c r="G906" s="16"/>
      <c r="M906">
        <v>1</v>
      </c>
      <c r="N906">
        <v>164</v>
      </c>
      <c r="O906">
        <v>0</v>
      </c>
      <c r="P906">
        <v>0.65</v>
      </c>
      <c r="Q906">
        <v>106.6</v>
      </c>
      <c r="R906" t="s">
        <v>241</v>
      </c>
      <c r="S906">
        <v>0</v>
      </c>
      <c r="T906" t="s">
        <v>52</v>
      </c>
      <c r="U906">
        <v>0</v>
      </c>
      <c r="V906">
        <v>0</v>
      </c>
      <c r="W906">
        <v>410302</v>
      </c>
      <c r="AE906">
        <v>0</v>
      </c>
      <c r="AP906" t="s">
        <v>177</v>
      </c>
    </row>
    <row r="907" spans="1:42">
      <c r="A907" s="1" t="s">
        <v>46</v>
      </c>
      <c r="B907" s="1" t="s">
        <v>1951</v>
      </c>
      <c r="C907" s="1" t="s">
        <v>1951</v>
      </c>
      <c r="E907" s="4" t="s">
        <v>1952</v>
      </c>
      <c r="G907" s="16"/>
      <c r="I907">
        <v>3.21</v>
      </c>
      <c r="M907">
        <v>1</v>
      </c>
      <c r="N907">
        <v>24</v>
      </c>
      <c r="O907">
        <v>0</v>
      </c>
      <c r="P907">
        <v>2.16</v>
      </c>
      <c r="Q907">
        <v>51.74</v>
      </c>
      <c r="R907" t="s">
        <v>1050</v>
      </c>
      <c r="S907">
        <v>0</v>
      </c>
      <c r="T907" t="s">
        <v>52</v>
      </c>
      <c r="U907">
        <v>0</v>
      </c>
      <c r="V907">
        <v>0</v>
      </c>
      <c r="W907">
        <v>400026</v>
      </c>
      <c r="AE907">
        <v>0</v>
      </c>
      <c r="AH907">
        <v>3.21</v>
      </c>
      <c r="AP907" t="s">
        <v>187</v>
      </c>
    </row>
    <row r="908" spans="1:42">
      <c r="A908" s="1" t="s">
        <v>46</v>
      </c>
      <c r="B908" s="1" t="s">
        <v>1953</v>
      </c>
      <c r="C908" s="1" t="s">
        <v>1953</v>
      </c>
      <c r="E908" s="4" t="s">
        <v>1954</v>
      </c>
      <c r="G908" s="16"/>
      <c r="M908">
        <v>1</v>
      </c>
      <c r="N908">
        <v>4</v>
      </c>
      <c r="O908">
        <v>0</v>
      </c>
      <c r="P908">
        <v>0.49</v>
      </c>
      <c r="Q908">
        <v>1.97</v>
      </c>
      <c r="R908" t="s">
        <v>556</v>
      </c>
      <c r="S908">
        <v>0</v>
      </c>
      <c r="T908" t="s">
        <v>52</v>
      </c>
      <c r="U908">
        <v>0</v>
      </c>
      <c r="V908">
        <v>0</v>
      </c>
      <c r="W908">
        <v>400013</v>
      </c>
      <c r="X908" t="s">
        <v>56</v>
      </c>
      <c r="Y908" t="s">
        <v>57</v>
      </c>
      <c r="AE908">
        <v>0</v>
      </c>
      <c r="AP908" t="s">
        <v>232</v>
      </c>
    </row>
    <row r="909" spans="1:42">
      <c r="A909" s="1" t="s">
        <v>46</v>
      </c>
      <c r="B909" s="1" t="s">
        <v>1955</v>
      </c>
      <c r="C909" s="1" t="s">
        <v>1955</v>
      </c>
      <c r="E909" s="4" t="s">
        <v>1956</v>
      </c>
      <c r="G909" s="16"/>
      <c r="M909">
        <v>1</v>
      </c>
      <c r="N909">
        <v>116</v>
      </c>
      <c r="O909">
        <v>0</v>
      </c>
      <c r="P909">
        <v>0.3</v>
      </c>
      <c r="Q909">
        <v>34.799999999999997</v>
      </c>
      <c r="R909" t="s">
        <v>241</v>
      </c>
      <c r="S909">
        <v>0</v>
      </c>
      <c r="T909" t="s">
        <v>52</v>
      </c>
      <c r="U909">
        <v>0</v>
      </c>
      <c r="V909">
        <v>0</v>
      </c>
      <c r="W909">
        <v>410302</v>
      </c>
      <c r="AE909">
        <v>0</v>
      </c>
      <c r="AP909" t="s">
        <v>177</v>
      </c>
    </row>
    <row r="910" spans="1:42">
      <c r="A910" s="1" t="s">
        <v>46</v>
      </c>
      <c r="B910" s="1" t="s">
        <v>1957</v>
      </c>
      <c r="C910" s="1" t="s">
        <v>1957</v>
      </c>
      <c r="E910" s="4" t="s">
        <v>1958</v>
      </c>
      <c r="G910" s="16"/>
      <c r="I910">
        <v>1.2</v>
      </c>
      <c r="M910">
        <v>1</v>
      </c>
      <c r="N910">
        <v>15</v>
      </c>
      <c r="O910">
        <v>0</v>
      </c>
      <c r="P910">
        <v>0.8</v>
      </c>
      <c r="Q910">
        <v>12.04</v>
      </c>
      <c r="R910" t="s">
        <v>1050</v>
      </c>
      <c r="S910">
        <v>0</v>
      </c>
      <c r="T910" t="s">
        <v>52</v>
      </c>
      <c r="U910">
        <v>0</v>
      </c>
      <c r="V910">
        <v>0</v>
      </c>
      <c r="W910">
        <v>400026</v>
      </c>
      <c r="AE910">
        <v>0</v>
      </c>
      <c r="AH910">
        <v>1.2</v>
      </c>
      <c r="AP910" t="s">
        <v>187</v>
      </c>
    </row>
    <row r="911" spans="1:42">
      <c r="A911" s="1" t="s">
        <v>46</v>
      </c>
      <c r="B911" s="1" t="s">
        <v>1959</v>
      </c>
      <c r="C911" s="1" t="s">
        <v>1959</v>
      </c>
      <c r="E911" s="4" t="s">
        <v>1960</v>
      </c>
      <c r="G911" s="16"/>
      <c r="M911">
        <v>1</v>
      </c>
      <c r="N911">
        <v>-34</v>
      </c>
      <c r="O911">
        <v>0</v>
      </c>
      <c r="P911">
        <v>0.55000000000000004</v>
      </c>
      <c r="Q911">
        <v>-18.7</v>
      </c>
      <c r="R911" t="s">
        <v>241</v>
      </c>
      <c r="S911">
        <v>0</v>
      </c>
      <c r="T911" t="s">
        <v>52</v>
      </c>
      <c r="U911">
        <v>0</v>
      </c>
      <c r="V911">
        <v>0</v>
      </c>
      <c r="W911">
        <v>410302</v>
      </c>
      <c r="AE911">
        <v>0</v>
      </c>
      <c r="AP911" t="s">
        <v>177</v>
      </c>
    </row>
    <row r="912" spans="1:42">
      <c r="A912" s="1" t="s">
        <v>46</v>
      </c>
      <c r="B912" s="1" t="s">
        <v>1961</v>
      </c>
      <c r="C912" s="1" t="s">
        <v>1961</v>
      </c>
      <c r="E912" s="4" t="s">
        <v>1962</v>
      </c>
      <c r="G912" s="16"/>
      <c r="I912">
        <v>3.21</v>
      </c>
      <c r="M912">
        <v>1</v>
      </c>
      <c r="N912">
        <v>18</v>
      </c>
      <c r="O912">
        <v>0</v>
      </c>
      <c r="P912">
        <v>1.87</v>
      </c>
      <c r="Q912">
        <v>33.659999999999997</v>
      </c>
      <c r="R912" t="s">
        <v>1050</v>
      </c>
      <c r="S912">
        <v>0</v>
      </c>
      <c r="T912" t="s">
        <v>52</v>
      </c>
      <c r="U912">
        <v>0</v>
      </c>
      <c r="V912">
        <v>0</v>
      </c>
      <c r="W912">
        <v>400026</v>
      </c>
      <c r="AE912">
        <v>0</v>
      </c>
      <c r="AH912">
        <v>3.21</v>
      </c>
      <c r="AP912" t="s">
        <v>187</v>
      </c>
    </row>
    <row r="913" spans="1:42">
      <c r="A913" s="1" t="s">
        <v>46</v>
      </c>
      <c r="B913" s="1" t="s">
        <v>1963</v>
      </c>
      <c r="C913" s="1" t="s">
        <v>1963</v>
      </c>
      <c r="E913" s="4" t="s">
        <v>1964</v>
      </c>
      <c r="G913" s="16"/>
      <c r="M913">
        <v>1</v>
      </c>
      <c r="N913">
        <v>16</v>
      </c>
      <c r="O913">
        <v>0</v>
      </c>
      <c r="P913">
        <v>13.6</v>
      </c>
      <c r="Q913">
        <v>217.6</v>
      </c>
      <c r="R913">
        <v>0</v>
      </c>
      <c r="S913">
        <v>0</v>
      </c>
      <c r="T913" t="s">
        <v>52</v>
      </c>
      <c r="U913">
        <v>0</v>
      </c>
      <c r="V913">
        <v>0</v>
      </c>
      <c r="W913">
        <v>400045</v>
      </c>
      <c r="AE913">
        <v>0</v>
      </c>
      <c r="AP913" t="s">
        <v>217</v>
      </c>
    </row>
    <row r="914" spans="1:42">
      <c r="A914" s="1" t="s">
        <v>46</v>
      </c>
      <c r="B914" s="1" t="s">
        <v>1965</v>
      </c>
      <c r="C914" s="1" t="s">
        <v>1965</v>
      </c>
      <c r="E914" s="4" t="s">
        <v>1966</v>
      </c>
      <c r="G914" s="16"/>
      <c r="M914">
        <v>1</v>
      </c>
      <c r="N914">
        <v>14</v>
      </c>
      <c r="O914">
        <v>0</v>
      </c>
      <c r="P914">
        <v>8.1</v>
      </c>
      <c r="Q914">
        <v>113.4</v>
      </c>
      <c r="R914">
        <v>0</v>
      </c>
      <c r="S914">
        <v>0</v>
      </c>
      <c r="T914" t="s">
        <v>52</v>
      </c>
      <c r="W914">
        <v>400128</v>
      </c>
      <c r="AE914">
        <v>0</v>
      </c>
      <c r="AP914" t="s">
        <v>1180</v>
      </c>
    </row>
    <row r="915" spans="1:42">
      <c r="A915" s="1" t="s">
        <v>46</v>
      </c>
      <c r="B915" s="1" t="s">
        <v>1967</v>
      </c>
      <c r="C915" s="1" t="s">
        <v>1967</v>
      </c>
      <c r="E915" s="4" t="s">
        <v>1968</v>
      </c>
      <c r="G915" s="16"/>
      <c r="M915">
        <v>1</v>
      </c>
      <c r="N915">
        <v>42</v>
      </c>
      <c r="O915">
        <v>0</v>
      </c>
      <c r="P915">
        <v>5.75</v>
      </c>
      <c r="Q915">
        <v>241.5</v>
      </c>
      <c r="R915">
        <v>0</v>
      </c>
      <c r="S915">
        <v>0</v>
      </c>
      <c r="T915" t="s">
        <v>52</v>
      </c>
      <c r="U915">
        <v>0</v>
      </c>
      <c r="V915">
        <v>0</v>
      </c>
      <c r="W915">
        <v>400002</v>
      </c>
      <c r="AE915">
        <v>0</v>
      </c>
      <c r="AP915" t="s">
        <v>116</v>
      </c>
    </row>
    <row r="916" spans="1:42">
      <c r="A916" s="1" t="s">
        <v>46</v>
      </c>
      <c r="B916" s="1" t="s">
        <v>1969</v>
      </c>
      <c r="C916" s="1" t="s">
        <v>1969</v>
      </c>
      <c r="E916" s="4" t="s">
        <v>1970</v>
      </c>
      <c r="G916" s="16"/>
      <c r="M916">
        <v>1</v>
      </c>
      <c r="N916">
        <v>20</v>
      </c>
      <c r="O916">
        <v>0</v>
      </c>
      <c r="P916">
        <v>6.5</v>
      </c>
      <c r="Q916">
        <v>130</v>
      </c>
      <c r="R916" t="s">
        <v>176</v>
      </c>
      <c r="S916">
        <v>0</v>
      </c>
      <c r="T916" t="s">
        <v>52</v>
      </c>
      <c r="U916">
        <v>0</v>
      </c>
      <c r="V916">
        <v>0</v>
      </c>
      <c r="W916">
        <v>400061</v>
      </c>
      <c r="X916" t="s">
        <v>56</v>
      </c>
      <c r="Y916" t="s">
        <v>57</v>
      </c>
      <c r="AE916">
        <v>0</v>
      </c>
      <c r="AP916" t="s">
        <v>169</v>
      </c>
    </row>
    <row r="917" spans="1:42">
      <c r="A917" s="1" t="s">
        <v>46</v>
      </c>
      <c r="B917" s="1" t="s">
        <v>1971</v>
      </c>
      <c r="C917" s="1" t="s">
        <v>1971</v>
      </c>
      <c r="E917" s="4" t="s">
        <v>1972</v>
      </c>
      <c r="G917" s="16"/>
      <c r="M917">
        <v>1</v>
      </c>
      <c r="N917">
        <v>-13</v>
      </c>
      <c r="O917">
        <v>0</v>
      </c>
      <c r="P917">
        <v>17</v>
      </c>
      <c r="Q917">
        <v>-221</v>
      </c>
      <c r="R917">
        <v>0</v>
      </c>
      <c r="S917">
        <v>0</v>
      </c>
      <c r="T917" t="s">
        <v>52</v>
      </c>
      <c r="W917">
        <v>400002</v>
      </c>
      <c r="AE917">
        <v>0</v>
      </c>
      <c r="AP917" t="s">
        <v>116</v>
      </c>
    </row>
    <row r="918" spans="1:42">
      <c r="A918" s="1" t="s">
        <v>46</v>
      </c>
      <c r="B918" s="1" t="s">
        <v>1973</v>
      </c>
      <c r="C918" s="1" t="s">
        <v>1973</v>
      </c>
      <c r="E918" s="4" t="s">
        <v>1974</v>
      </c>
      <c r="G918" s="16"/>
      <c r="M918">
        <v>1</v>
      </c>
      <c r="N918">
        <v>48</v>
      </c>
      <c r="O918">
        <v>0</v>
      </c>
      <c r="P918">
        <v>1.55</v>
      </c>
      <c r="Q918">
        <v>74.400000000000006</v>
      </c>
      <c r="R918" t="s">
        <v>176</v>
      </c>
      <c r="S918">
        <v>0</v>
      </c>
      <c r="T918" t="s">
        <v>52</v>
      </c>
      <c r="U918">
        <v>0</v>
      </c>
      <c r="V918">
        <v>0</v>
      </c>
      <c r="W918">
        <v>400061</v>
      </c>
      <c r="X918" t="s">
        <v>56</v>
      </c>
      <c r="Y918" t="s">
        <v>57</v>
      </c>
      <c r="AE918">
        <v>0</v>
      </c>
      <c r="AP918" t="s">
        <v>169</v>
      </c>
    </row>
    <row r="919" spans="1:42">
      <c r="A919" s="1" t="s">
        <v>46</v>
      </c>
      <c r="B919" s="1" t="s">
        <v>1975</v>
      </c>
      <c r="C919" s="1" t="s">
        <v>1975</v>
      </c>
      <c r="E919" s="4" t="s">
        <v>1976</v>
      </c>
      <c r="G919" s="16"/>
      <c r="M919">
        <v>1</v>
      </c>
      <c r="N919">
        <v>58</v>
      </c>
      <c r="O919">
        <v>0</v>
      </c>
      <c r="P919">
        <v>2.0499999999999998</v>
      </c>
      <c r="Q919">
        <v>118.9</v>
      </c>
      <c r="R919" t="s">
        <v>176</v>
      </c>
      <c r="S919">
        <v>0</v>
      </c>
      <c r="T919" t="s">
        <v>52</v>
      </c>
      <c r="U919">
        <v>0</v>
      </c>
      <c r="V919">
        <v>0</v>
      </c>
      <c r="W919">
        <v>400061</v>
      </c>
      <c r="X919" t="s">
        <v>56</v>
      </c>
      <c r="Y919" t="s">
        <v>57</v>
      </c>
      <c r="AE919">
        <v>0</v>
      </c>
      <c r="AP919" t="s">
        <v>169</v>
      </c>
    </row>
    <row r="920" spans="1:42">
      <c r="A920" s="1" t="s">
        <v>46</v>
      </c>
      <c r="B920" s="1" t="s">
        <v>1977</v>
      </c>
      <c r="C920" s="1" t="s">
        <v>1977</v>
      </c>
      <c r="E920" s="4" t="s">
        <v>1978</v>
      </c>
      <c r="G920" s="16"/>
      <c r="M920">
        <v>1</v>
      </c>
      <c r="N920">
        <v>-2</v>
      </c>
      <c r="O920">
        <v>0</v>
      </c>
      <c r="P920">
        <v>109.67</v>
      </c>
      <c r="Q920">
        <v>-219.34</v>
      </c>
      <c r="R920" t="s">
        <v>574</v>
      </c>
      <c r="S920">
        <v>0</v>
      </c>
      <c r="T920" t="s">
        <v>52</v>
      </c>
      <c r="U920">
        <v>0</v>
      </c>
      <c r="V920">
        <v>0</v>
      </c>
      <c r="W920">
        <v>400013</v>
      </c>
      <c r="AE920">
        <v>0</v>
      </c>
      <c r="AP920" t="s">
        <v>232</v>
      </c>
    </row>
    <row r="921" spans="1:42">
      <c r="A921" s="1" t="s">
        <v>46</v>
      </c>
      <c r="B921" s="1" t="s">
        <v>1979</v>
      </c>
      <c r="C921" s="1" t="s">
        <v>1979</v>
      </c>
      <c r="E921" s="4" t="s">
        <v>1980</v>
      </c>
      <c r="G921" s="16"/>
      <c r="I921">
        <v>110</v>
      </c>
      <c r="M921">
        <v>1</v>
      </c>
      <c r="N921">
        <v>3</v>
      </c>
      <c r="O921">
        <v>0</v>
      </c>
      <c r="P921">
        <v>109.67</v>
      </c>
      <c r="Q921">
        <v>329</v>
      </c>
      <c r="R921" t="s">
        <v>574</v>
      </c>
      <c r="S921">
        <v>0</v>
      </c>
      <c r="T921" t="s">
        <v>52</v>
      </c>
      <c r="U921">
        <v>0</v>
      </c>
      <c r="V921">
        <v>0</v>
      </c>
      <c r="W921">
        <v>400013</v>
      </c>
      <c r="AE921">
        <v>0</v>
      </c>
      <c r="AH921">
        <v>110</v>
      </c>
      <c r="AP921" t="s">
        <v>232</v>
      </c>
    </row>
    <row r="922" spans="1:42">
      <c r="A922" s="1" t="s">
        <v>46</v>
      </c>
      <c r="B922" s="1" t="s">
        <v>1981</v>
      </c>
      <c r="C922" s="1" t="s">
        <v>1981</v>
      </c>
      <c r="E922" s="4" t="s">
        <v>1982</v>
      </c>
      <c r="G922" s="16"/>
      <c r="M922">
        <v>1</v>
      </c>
      <c r="N922">
        <v>-3</v>
      </c>
      <c r="O922">
        <v>0</v>
      </c>
      <c r="AE922">
        <v>0</v>
      </c>
    </row>
    <row r="923" spans="1:42">
      <c r="A923" s="1" t="s">
        <v>46</v>
      </c>
      <c r="B923" s="1" t="s">
        <v>1983</v>
      </c>
      <c r="C923" s="1" t="s">
        <v>1983</v>
      </c>
      <c r="E923" s="4" t="s">
        <v>1984</v>
      </c>
      <c r="G923" s="16"/>
      <c r="I923">
        <v>75</v>
      </c>
      <c r="M923">
        <v>1</v>
      </c>
      <c r="N923">
        <v>3</v>
      </c>
      <c r="O923">
        <v>0</v>
      </c>
      <c r="P923">
        <v>41</v>
      </c>
      <c r="Q923">
        <v>123</v>
      </c>
      <c r="R923" t="s">
        <v>589</v>
      </c>
      <c r="S923">
        <v>0</v>
      </c>
      <c r="T923" t="s">
        <v>52</v>
      </c>
      <c r="W923">
        <v>400011</v>
      </c>
      <c r="AE923">
        <v>0</v>
      </c>
      <c r="AH923">
        <v>75</v>
      </c>
      <c r="AP923" t="s">
        <v>617</v>
      </c>
    </row>
    <row r="924" spans="1:42">
      <c r="A924" s="1" t="s">
        <v>46</v>
      </c>
      <c r="B924" s="1" t="s">
        <v>1985</v>
      </c>
      <c r="C924" s="1" t="s">
        <v>1985</v>
      </c>
      <c r="E924" s="4" t="s">
        <v>1986</v>
      </c>
      <c r="G924" s="16"/>
      <c r="M924">
        <v>1</v>
      </c>
      <c r="N924">
        <v>0</v>
      </c>
      <c r="O924">
        <v>0</v>
      </c>
      <c r="P924">
        <v>338</v>
      </c>
      <c r="Q924">
        <v>0</v>
      </c>
      <c r="R924" t="s">
        <v>589</v>
      </c>
      <c r="S924">
        <v>0</v>
      </c>
      <c r="T924" t="s">
        <v>52</v>
      </c>
      <c r="U924">
        <v>0</v>
      </c>
      <c r="V924">
        <v>0</v>
      </c>
      <c r="W924">
        <v>400011</v>
      </c>
      <c r="AE924">
        <v>0</v>
      </c>
      <c r="AP924" t="s">
        <v>617</v>
      </c>
    </row>
    <row r="925" spans="1:42">
      <c r="A925" s="1" t="s">
        <v>46</v>
      </c>
      <c r="B925" s="1" t="s">
        <v>1987</v>
      </c>
      <c r="C925" s="1" t="s">
        <v>1987</v>
      </c>
      <c r="E925" s="4" t="s">
        <v>1988</v>
      </c>
      <c r="G925" s="16"/>
      <c r="M925">
        <v>1</v>
      </c>
      <c r="N925">
        <v>4</v>
      </c>
      <c r="O925">
        <v>0</v>
      </c>
      <c r="P925">
        <v>0.75</v>
      </c>
      <c r="Q925">
        <v>3</v>
      </c>
      <c r="W925">
        <v>400017</v>
      </c>
      <c r="AE925">
        <v>0</v>
      </c>
      <c r="AP925" t="s">
        <v>49</v>
      </c>
    </row>
    <row r="926" spans="1:42">
      <c r="A926" s="1" t="s">
        <v>46</v>
      </c>
      <c r="B926" s="1" t="s">
        <v>1989</v>
      </c>
      <c r="C926" s="1" t="s">
        <v>1989</v>
      </c>
      <c r="E926" s="4" t="s">
        <v>1990</v>
      </c>
      <c r="G926" s="16"/>
      <c r="M926">
        <v>1</v>
      </c>
      <c r="N926">
        <v>2</v>
      </c>
      <c r="O926">
        <v>0</v>
      </c>
      <c r="P926">
        <v>2.5</v>
      </c>
      <c r="Q926">
        <v>5</v>
      </c>
      <c r="W926">
        <v>400017</v>
      </c>
      <c r="AE926">
        <v>0</v>
      </c>
      <c r="AP926" t="s">
        <v>49</v>
      </c>
    </row>
    <row r="927" spans="1:42">
      <c r="A927" s="1" t="s">
        <v>46</v>
      </c>
      <c r="B927" s="1" t="s">
        <v>1991</v>
      </c>
      <c r="C927" s="1" t="s">
        <v>1991</v>
      </c>
      <c r="E927" s="4" t="s">
        <v>1992</v>
      </c>
      <c r="G927" s="16"/>
      <c r="M927">
        <v>1</v>
      </c>
      <c r="N927">
        <v>2</v>
      </c>
      <c r="O927">
        <v>0</v>
      </c>
      <c r="P927">
        <v>6.5</v>
      </c>
      <c r="Q927">
        <v>13</v>
      </c>
      <c r="W927">
        <v>400017</v>
      </c>
      <c r="AE927">
        <v>0</v>
      </c>
      <c r="AP927" t="s">
        <v>49</v>
      </c>
    </row>
    <row r="928" spans="1:42">
      <c r="A928" s="1" t="s">
        <v>46</v>
      </c>
      <c r="B928" s="1" t="s">
        <v>1993</v>
      </c>
      <c r="C928" s="1" t="s">
        <v>1993</v>
      </c>
      <c r="E928" s="4" t="s">
        <v>1994</v>
      </c>
      <c r="G928" s="16"/>
      <c r="M928">
        <v>1</v>
      </c>
      <c r="N928">
        <v>2</v>
      </c>
      <c r="O928">
        <v>0</v>
      </c>
      <c r="P928">
        <v>8.5</v>
      </c>
      <c r="Q928">
        <v>17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400017</v>
      </c>
      <c r="AE928">
        <v>0</v>
      </c>
      <c r="AP928" t="s">
        <v>49</v>
      </c>
    </row>
    <row r="929" spans="1:42">
      <c r="A929" s="1" t="s">
        <v>46</v>
      </c>
      <c r="B929" s="1" t="s">
        <v>1995</v>
      </c>
      <c r="C929" s="1" t="s">
        <v>1995</v>
      </c>
      <c r="E929" s="4" t="s">
        <v>1996</v>
      </c>
      <c r="G929" s="16"/>
      <c r="M929">
        <v>1</v>
      </c>
      <c r="N929">
        <v>1</v>
      </c>
      <c r="O929">
        <v>0</v>
      </c>
      <c r="P929">
        <v>35</v>
      </c>
      <c r="Q929">
        <v>35</v>
      </c>
      <c r="W929">
        <v>400111</v>
      </c>
      <c r="AE929">
        <v>0</v>
      </c>
      <c r="AP929" t="s">
        <v>646</v>
      </c>
    </row>
    <row r="930" spans="1:42">
      <c r="A930" s="1" t="s">
        <v>46</v>
      </c>
      <c r="B930" s="1" t="s">
        <v>1997</v>
      </c>
      <c r="C930" s="1" t="s">
        <v>1997</v>
      </c>
      <c r="E930" s="4" t="s">
        <v>1998</v>
      </c>
      <c r="G930" s="16"/>
      <c r="M930">
        <v>1</v>
      </c>
      <c r="N930">
        <v>10</v>
      </c>
      <c r="O930">
        <v>0</v>
      </c>
      <c r="P930">
        <v>27.5</v>
      </c>
      <c r="Q930">
        <v>275</v>
      </c>
      <c r="R930">
        <v>0</v>
      </c>
      <c r="S930">
        <v>0</v>
      </c>
      <c r="T930" t="s">
        <v>17</v>
      </c>
      <c r="U930">
        <v>0</v>
      </c>
      <c r="V930">
        <v>0</v>
      </c>
      <c r="W930">
        <v>400120</v>
      </c>
      <c r="AE930">
        <v>0</v>
      </c>
      <c r="AP930" t="s">
        <v>468</v>
      </c>
    </row>
    <row r="931" spans="1:42">
      <c r="A931" s="1" t="s">
        <v>46</v>
      </c>
      <c r="B931" s="1" t="s">
        <v>1999</v>
      </c>
      <c r="C931" s="1" t="s">
        <v>1999</v>
      </c>
      <c r="E931" s="4" t="s">
        <v>2000</v>
      </c>
      <c r="G931" s="16"/>
      <c r="M931">
        <v>1</v>
      </c>
      <c r="N931">
        <v>3</v>
      </c>
      <c r="O931">
        <v>0</v>
      </c>
      <c r="P931">
        <v>27.75</v>
      </c>
      <c r="Q931">
        <v>83.25</v>
      </c>
      <c r="W931">
        <v>400120</v>
      </c>
      <c r="AE931">
        <v>0</v>
      </c>
      <c r="AP931" t="s">
        <v>468</v>
      </c>
    </row>
    <row r="932" spans="1:42">
      <c r="A932" s="1" t="s">
        <v>46</v>
      </c>
      <c r="B932" s="1" t="s">
        <v>2001</v>
      </c>
      <c r="C932" s="1" t="s">
        <v>2001</v>
      </c>
      <c r="E932" s="4" t="s">
        <v>2002</v>
      </c>
      <c r="G932" s="16"/>
      <c r="I932">
        <v>4</v>
      </c>
      <c r="M932">
        <v>1</v>
      </c>
      <c r="N932">
        <v>74</v>
      </c>
      <c r="O932">
        <v>0</v>
      </c>
      <c r="P932">
        <v>1.88</v>
      </c>
      <c r="Q932">
        <v>138.75</v>
      </c>
      <c r="R932" t="s">
        <v>172</v>
      </c>
      <c r="S932">
        <v>0</v>
      </c>
      <c r="T932" t="s">
        <v>52</v>
      </c>
      <c r="U932">
        <v>0</v>
      </c>
      <c r="V932">
        <v>0</v>
      </c>
      <c r="W932">
        <v>400112</v>
      </c>
      <c r="AE932">
        <v>0</v>
      </c>
      <c r="AH932">
        <v>4</v>
      </c>
      <c r="AP932" t="s">
        <v>220</v>
      </c>
    </row>
    <row r="933" spans="1:42">
      <c r="A933" s="1" t="s">
        <v>46</v>
      </c>
      <c r="B933" s="1" t="s">
        <v>2003</v>
      </c>
      <c r="C933" s="1" t="s">
        <v>2003</v>
      </c>
      <c r="E933" s="4" t="s">
        <v>2004</v>
      </c>
      <c r="G933" s="16"/>
      <c r="I933">
        <v>5.5</v>
      </c>
      <c r="M933">
        <v>1</v>
      </c>
      <c r="N933">
        <v>13</v>
      </c>
      <c r="O933">
        <v>0</v>
      </c>
      <c r="P933">
        <v>2.25</v>
      </c>
      <c r="Q933">
        <v>29.25</v>
      </c>
      <c r="R933" t="s">
        <v>172</v>
      </c>
      <c r="S933">
        <v>0</v>
      </c>
      <c r="T933" t="s">
        <v>52</v>
      </c>
      <c r="U933">
        <v>0</v>
      </c>
      <c r="V933">
        <v>0</v>
      </c>
      <c r="W933">
        <v>400112</v>
      </c>
      <c r="AE933">
        <v>0</v>
      </c>
      <c r="AH933">
        <v>5.5</v>
      </c>
      <c r="AP933" t="s">
        <v>220</v>
      </c>
    </row>
    <row r="934" spans="1:42">
      <c r="A934" s="1" t="s">
        <v>46</v>
      </c>
      <c r="B934" s="1" t="s">
        <v>2005</v>
      </c>
      <c r="C934" s="1" t="s">
        <v>2005</v>
      </c>
      <c r="E934" s="4" t="s">
        <v>2006</v>
      </c>
      <c r="G934" s="16">
        <v>4.5</v>
      </c>
      <c r="M934">
        <v>1</v>
      </c>
      <c r="N934">
        <v>157</v>
      </c>
      <c r="O934">
        <v>0</v>
      </c>
      <c r="P934">
        <v>0.83</v>
      </c>
      <c r="Q934">
        <v>130.66</v>
      </c>
      <c r="R934">
        <v>0</v>
      </c>
      <c r="S934">
        <v>0</v>
      </c>
      <c r="T934" t="s">
        <v>17</v>
      </c>
      <c r="U934">
        <v>0</v>
      </c>
      <c r="V934">
        <v>0</v>
      </c>
      <c r="W934">
        <v>400128</v>
      </c>
      <c r="AE934">
        <v>0</v>
      </c>
      <c r="AP934" t="s">
        <v>1180</v>
      </c>
    </row>
    <row r="935" spans="1:42">
      <c r="A935" s="1" t="s">
        <v>46</v>
      </c>
      <c r="B935" s="1" t="s">
        <v>2007</v>
      </c>
      <c r="C935" s="1" t="s">
        <v>2007</v>
      </c>
      <c r="E935" s="4" t="s">
        <v>2008</v>
      </c>
      <c r="G935" s="16">
        <v>5</v>
      </c>
      <c r="I935">
        <v>4</v>
      </c>
      <c r="M935">
        <v>1</v>
      </c>
      <c r="N935">
        <v>77</v>
      </c>
      <c r="O935">
        <v>0</v>
      </c>
      <c r="P935">
        <v>1.1000000000000001</v>
      </c>
      <c r="Q935">
        <v>84.41</v>
      </c>
      <c r="R935" t="s">
        <v>172</v>
      </c>
      <c r="S935">
        <v>0</v>
      </c>
      <c r="T935" t="s">
        <v>52</v>
      </c>
      <c r="U935">
        <v>0</v>
      </c>
      <c r="V935">
        <v>0</v>
      </c>
      <c r="W935">
        <v>400194</v>
      </c>
      <c r="AE935">
        <v>0</v>
      </c>
      <c r="AH935">
        <v>4</v>
      </c>
      <c r="AP935" t="s">
        <v>173</v>
      </c>
    </row>
    <row r="936" spans="1:42">
      <c r="A936" s="1" t="s">
        <v>46</v>
      </c>
      <c r="B936" s="1" t="s">
        <v>2009</v>
      </c>
      <c r="C936" s="1" t="s">
        <v>2009</v>
      </c>
      <c r="E936" s="4" t="s">
        <v>2010</v>
      </c>
      <c r="G936" s="16">
        <v>7.5</v>
      </c>
      <c r="I936">
        <v>5.55</v>
      </c>
      <c r="M936">
        <v>1</v>
      </c>
      <c r="N936">
        <v>132.18</v>
      </c>
      <c r="O936">
        <v>0</v>
      </c>
      <c r="P936">
        <v>16.8</v>
      </c>
      <c r="Q936">
        <v>2220.62</v>
      </c>
      <c r="R936" t="s">
        <v>172</v>
      </c>
      <c r="S936">
        <v>0</v>
      </c>
      <c r="T936" t="s">
        <v>209</v>
      </c>
      <c r="U936">
        <v>0</v>
      </c>
      <c r="V936">
        <v>0</v>
      </c>
      <c r="W936">
        <v>400002</v>
      </c>
      <c r="X936" t="s">
        <v>56</v>
      </c>
      <c r="Y936" t="s">
        <v>57</v>
      </c>
      <c r="AE936">
        <v>0</v>
      </c>
      <c r="AH936">
        <v>5.55</v>
      </c>
      <c r="AP936" t="s">
        <v>116</v>
      </c>
    </row>
    <row r="937" spans="1:42">
      <c r="A937" s="1" t="s">
        <v>46</v>
      </c>
      <c r="B937" s="1" t="s">
        <v>2011</v>
      </c>
      <c r="C937" s="1" t="s">
        <v>2011</v>
      </c>
      <c r="E937" s="4" t="s">
        <v>2012</v>
      </c>
      <c r="G937" s="16">
        <v>4</v>
      </c>
      <c r="I937">
        <v>2.8</v>
      </c>
      <c r="M937">
        <v>1</v>
      </c>
      <c r="N937">
        <v>75</v>
      </c>
      <c r="O937">
        <v>0</v>
      </c>
      <c r="P937">
        <v>1</v>
      </c>
      <c r="Q937">
        <v>75</v>
      </c>
      <c r="R937" t="s">
        <v>172</v>
      </c>
      <c r="S937">
        <v>0</v>
      </c>
      <c r="T937" t="s">
        <v>52</v>
      </c>
      <c r="U937">
        <v>0</v>
      </c>
      <c r="V937">
        <v>0</v>
      </c>
      <c r="W937">
        <v>400112</v>
      </c>
      <c r="AE937">
        <v>0</v>
      </c>
      <c r="AH937">
        <v>2.8</v>
      </c>
      <c r="AP937" t="s">
        <v>220</v>
      </c>
    </row>
    <row r="938" spans="1:42">
      <c r="A938" s="1" t="s">
        <v>46</v>
      </c>
      <c r="B938" s="1" t="s">
        <v>2013</v>
      </c>
      <c r="C938" s="1" t="s">
        <v>2013</v>
      </c>
      <c r="E938" s="4" t="s">
        <v>2014</v>
      </c>
      <c r="G938" s="16">
        <v>7</v>
      </c>
      <c r="I938">
        <v>2.8</v>
      </c>
      <c r="M938">
        <v>1</v>
      </c>
      <c r="N938">
        <v>159</v>
      </c>
      <c r="O938">
        <v>0</v>
      </c>
      <c r="P938">
        <v>1</v>
      </c>
      <c r="Q938">
        <v>159</v>
      </c>
      <c r="R938" t="s">
        <v>172</v>
      </c>
      <c r="S938">
        <v>0</v>
      </c>
      <c r="T938" t="s">
        <v>52</v>
      </c>
      <c r="U938">
        <v>0</v>
      </c>
      <c r="V938">
        <v>0</v>
      </c>
      <c r="W938">
        <v>400112</v>
      </c>
      <c r="AE938">
        <v>0</v>
      </c>
      <c r="AH938">
        <v>2.8</v>
      </c>
      <c r="AP938" t="s">
        <v>220</v>
      </c>
    </row>
    <row r="939" spans="1:42">
      <c r="A939" s="1" t="s">
        <v>46</v>
      </c>
      <c r="B939" s="1" t="s">
        <v>2015</v>
      </c>
      <c r="C939" s="1" t="s">
        <v>2015</v>
      </c>
      <c r="E939" s="4" t="s">
        <v>2016</v>
      </c>
      <c r="G939" s="16">
        <v>7</v>
      </c>
      <c r="I939">
        <v>1.6</v>
      </c>
      <c r="M939">
        <v>1</v>
      </c>
      <c r="N939">
        <v>108</v>
      </c>
      <c r="O939">
        <v>0</v>
      </c>
      <c r="P939">
        <v>0.69</v>
      </c>
      <c r="Q939">
        <v>74.25</v>
      </c>
      <c r="R939" t="s">
        <v>172</v>
      </c>
      <c r="S939">
        <v>0</v>
      </c>
      <c r="T939" t="s">
        <v>52</v>
      </c>
      <c r="U939">
        <v>0</v>
      </c>
      <c r="V939">
        <v>0</v>
      </c>
      <c r="W939">
        <v>400112</v>
      </c>
      <c r="AE939">
        <v>0</v>
      </c>
      <c r="AH939">
        <v>1.6</v>
      </c>
      <c r="AP939" t="s">
        <v>220</v>
      </c>
    </row>
    <row r="940" spans="1:42">
      <c r="A940" s="1" t="s">
        <v>46</v>
      </c>
      <c r="B940" s="1" t="s">
        <v>2017</v>
      </c>
      <c r="C940" s="1" t="s">
        <v>2017</v>
      </c>
      <c r="E940" s="4" t="s">
        <v>2018</v>
      </c>
      <c r="G940" s="16">
        <v>6.5</v>
      </c>
      <c r="I940">
        <v>1.6</v>
      </c>
      <c r="M940">
        <v>1</v>
      </c>
      <c r="N940">
        <v>4</v>
      </c>
      <c r="O940">
        <v>0</v>
      </c>
      <c r="P940">
        <v>2.4300000000000002</v>
      </c>
      <c r="Q940">
        <v>9.7200000000000006</v>
      </c>
      <c r="R940" t="s">
        <v>172</v>
      </c>
      <c r="S940">
        <v>0</v>
      </c>
      <c r="T940" t="s">
        <v>52</v>
      </c>
      <c r="U940">
        <v>0</v>
      </c>
      <c r="V940">
        <v>0</v>
      </c>
      <c r="W940">
        <v>400194</v>
      </c>
      <c r="AE940">
        <v>0</v>
      </c>
      <c r="AH940">
        <v>1.6</v>
      </c>
      <c r="AP940" t="s">
        <v>173</v>
      </c>
    </row>
    <row r="941" spans="1:42">
      <c r="A941" s="1" t="s">
        <v>46</v>
      </c>
      <c r="B941" s="1" t="s">
        <v>2019</v>
      </c>
      <c r="C941" s="1" t="s">
        <v>2019</v>
      </c>
      <c r="E941" s="4" t="s">
        <v>2020</v>
      </c>
      <c r="G941" s="16">
        <v>4</v>
      </c>
      <c r="M941">
        <v>1</v>
      </c>
      <c r="N941">
        <v>277</v>
      </c>
      <c r="O941">
        <v>0</v>
      </c>
      <c r="P941">
        <v>1.75</v>
      </c>
      <c r="Q941">
        <v>484.75</v>
      </c>
      <c r="R941">
        <v>0</v>
      </c>
      <c r="S941">
        <v>0</v>
      </c>
      <c r="T941" t="s">
        <v>52</v>
      </c>
      <c r="U941">
        <v>0</v>
      </c>
      <c r="V941">
        <v>0</v>
      </c>
      <c r="W941">
        <v>400017</v>
      </c>
      <c r="X941" t="s">
        <v>56</v>
      </c>
      <c r="Y941" t="s">
        <v>57</v>
      </c>
      <c r="AE941">
        <v>0</v>
      </c>
      <c r="AP941" t="s">
        <v>49</v>
      </c>
    </row>
    <row r="942" spans="1:42">
      <c r="A942" s="1" t="s">
        <v>46</v>
      </c>
      <c r="B942" s="1" t="s">
        <v>2021</v>
      </c>
      <c r="C942" s="1" t="s">
        <v>2021</v>
      </c>
      <c r="E942" s="4" t="s">
        <v>2022</v>
      </c>
      <c r="G942" s="16">
        <v>4.5</v>
      </c>
      <c r="M942">
        <v>1</v>
      </c>
      <c r="N942">
        <v>125</v>
      </c>
      <c r="O942">
        <v>0</v>
      </c>
      <c r="P942">
        <v>2</v>
      </c>
      <c r="Q942">
        <v>250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400158</v>
      </c>
      <c r="X942" t="s">
        <v>56</v>
      </c>
      <c r="Y942" t="s">
        <v>57</v>
      </c>
      <c r="AE942">
        <v>0</v>
      </c>
      <c r="AP942" t="s">
        <v>61</v>
      </c>
    </row>
    <row r="943" spans="1:42">
      <c r="A943" s="1" t="s">
        <v>46</v>
      </c>
      <c r="B943" s="1" t="s">
        <v>2023</v>
      </c>
      <c r="C943" s="1" t="s">
        <v>2023</v>
      </c>
      <c r="E943" s="4" t="s">
        <v>2024</v>
      </c>
      <c r="G943" s="16">
        <v>1</v>
      </c>
      <c r="M943">
        <v>1</v>
      </c>
      <c r="N943">
        <v>298</v>
      </c>
      <c r="O943">
        <v>0</v>
      </c>
      <c r="P943">
        <v>1.4</v>
      </c>
      <c r="Q943">
        <v>417.2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400045</v>
      </c>
      <c r="AE943">
        <v>0</v>
      </c>
      <c r="AP943" t="s">
        <v>217</v>
      </c>
    </row>
    <row r="944" spans="1:42">
      <c r="A944" s="1" t="s">
        <v>46</v>
      </c>
      <c r="B944" s="1" t="s">
        <v>2025</v>
      </c>
      <c r="C944" s="1" t="s">
        <v>2025</v>
      </c>
      <c r="E944" s="4" t="s">
        <v>2026</v>
      </c>
      <c r="G944" s="16"/>
      <c r="M944">
        <v>1</v>
      </c>
      <c r="N944">
        <v>-100</v>
      </c>
      <c r="O944">
        <v>0</v>
      </c>
      <c r="P944">
        <v>1.2</v>
      </c>
      <c r="Q944">
        <v>-120</v>
      </c>
      <c r="R944" t="s">
        <v>172</v>
      </c>
      <c r="S944">
        <v>0</v>
      </c>
      <c r="T944" t="s">
        <v>52</v>
      </c>
      <c r="U944">
        <v>0</v>
      </c>
      <c r="V944">
        <v>0</v>
      </c>
      <c r="W944">
        <v>400045</v>
      </c>
      <c r="AE944">
        <v>0</v>
      </c>
      <c r="AP944" t="s">
        <v>217</v>
      </c>
    </row>
    <row r="945" spans="1:42">
      <c r="A945" s="1" t="s">
        <v>46</v>
      </c>
      <c r="B945" s="1" t="s">
        <v>2027</v>
      </c>
      <c r="C945" s="1" t="s">
        <v>2027</v>
      </c>
      <c r="E945" s="4" t="s">
        <v>2028</v>
      </c>
      <c r="G945" s="16">
        <v>10</v>
      </c>
      <c r="M945">
        <v>1</v>
      </c>
      <c r="N945">
        <v>250</v>
      </c>
      <c r="O945">
        <v>0</v>
      </c>
      <c r="P945">
        <v>0.01</v>
      </c>
      <c r="Q945">
        <v>3.5</v>
      </c>
      <c r="R945">
        <v>0</v>
      </c>
      <c r="S945">
        <v>0</v>
      </c>
      <c r="T945" t="s">
        <v>52</v>
      </c>
      <c r="U945">
        <v>0</v>
      </c>
      <c r="V945">
        <v>0</v>
      </c>
      <c r="W945">
        <v>400017</v>
      </c>
      <c r="X945" t="s">
        <v>56</v>
      </c>
      <c r="Y945" t="s">
        <v>57</v>
      </c>
      <c r="AE945">
        <v>0</v>
      </c>
      <c r="AP945" t="s">
        <v>49</v>
      </c>
    </row>
    <row r="946" spans="1:42">
      <c r="A946" s="1" t="s">
        <v>46</v>
      </c>
      <c r="B946" s="1" t="s">
        <v>2029</v>
      </c>
      <c r="C946" s="1" t="s">
        <v>2029</v>
      </c>
      <c r="E946" s="4" t="s">
        <v>2030</v>
      </c>
      <c r="G946" s="16">
        <v>0.75</v>
      </c>
      <c r="M946">
        <v>1</v>
      </c>
      <c r="N946">
        <v>200</v>
      </c>
      <c r="O946">
        <v>0</v>
      </c>
      <c r="P946">
        <v>0.02</v>
      </c>
      <c r="Q946">
        <v>3.6</v>
      </c>
      <c r="R946">
        <v>0</v>
      </c>
      <c r="S946">
        <v>0</v>
      </c>
      <c r="T946" t="s">
        <v>52</v>
      </c>
      <c r="U946">
        <v>0</v>
      </c>
      <c r="V946">
        <v>0</v>
      </c>
      <c r="W946">
        <v>400017</v>
      </c>
      <c r="X946" t="s">
        <v>56</v>
      </c>
      <c r="Y946" t="s">
        <v>57</v>
      </c>
      <c r="AE946">
        <v>0</v>
      </c>
      <c r="AP946" t="s">
        <v>49</v>
      </c>
    </row>
    <row r="947" spans="1:42">
      <c r="A947" s="1" t="s">
        <v>46</v>
      </c>
      <c r="B947" s="1" t="s">
        <v>2031</v>
      </c>
      <c r="C947" s="1" t="s">
        <v>2031</v>
      </c>
      <c r="E947" s="4" t="s">
        <v>2032</v>
      </c>
      <c r="G947" s="16">
        <v>0.75</v>
      </c>
      <c r="I947">
        <v>3.75</v>
      </c>
      <c r="M947">
        <v>1</v>
      </c>
      <c r="N947">
        <v>39</v>
      </c>
      <c r="O947">
        <v>0</v>
      </c>
      <c r="P947">
        <v>1.37</v>
      </c>
      <c r="Q947">
        <v>53.62</v>
      </c>
      <c r="R947" t="s">
        <v>579</v>
      </c>
      <c r="S947">
        <v>0</v>
      </c>
      <c r="T947" t="s">
        <v>52</v>
      </c>
      <c r="U947">
        <v>0</v>
      </c>
      <c r="V947">
        <v>0</v>
      </c>
      <c r="W947">
        <v>400013</v>
      </c>
      <c r="AE947">
        <v>0</v>
      </c>
      <c r="AH947">
        <v>3.75</v>
      </c>
      <c r="AP947" t="s">
        <v>232</v>
      </c>
    </row>
    <row r="948" spans="1:42">
      <c r="A948" s="1" t="s">
        <v>46</v>
      </c>
      <c r="B948" s="1" t="s">
        <v>2033</v>
      </c>
      <c r="C948" s="1" t="s">
        <v>2033</v>
      </c>
      <c r="E948" s="4" t="s">
        <v>2034</v>
      </c>
      <c r="G948" s="16">
        <v>1</v>
      </c>
      <c r="M948">
        <v>1</v>
      </c>
      <c r="N948">
        <v>-31</v>
      </c>
      <c r="O948">
        <v>0</v>
      </c>
      <c r="P948">
        <v>1.58</v>
      </c>
      <c r="Q948">
        <v>-48.89</v>
      </c>
      <c r="R948" t="s">
        <v>579</v>
      </c>
      <c r="S948">
        <v>0</v>
      </c>
      <c r="T948" t="s">
        <v>52</v>
      </c>
      <c r="U948">
        <v>0</v>
      </c>
      <c r="V948">
        <v>0</v>
      </c>
      <c r="W948">
        <v>400013</v>
      </c>
      <c r="AE948">
        <v>0</v>
      </c>
      <c r="AP948" t="s">
        <v>232</v>
      </c>
    </row>
    <row r="949" spans="1:42">
      <c r="A949" s="1" t="s">
        <v>46</v>
      </c>
      <c r="B949" s="1" t="s">
        <v>2035</v>
      </c>
      <c r="C949" s="1" t="s">
        <v>2035</v>
      </c>
      <c r="E949" s="4" t="s">
        <v>2036</v>
      </c>
      <c r="G949" s="16">
        <v>1</v>
      </c>
      <c r="M949">
        <v>1</v>
      </c>
      <c r="N949">
        <v>30</v>
      </c>
      <c r="O949">
        <v>0</v>
      </c>
      <c r="P949">
        <v>1.92</v>
      </c>
      <c r="Q949">
        <v>57.54</v>
      </c>
      <c r="R949" t="s">
        <v>556</v>
      </c>
      <c r="S949">
        <v>0</v>
      </c>
      <c r="T949" t="s">
        <v>52</v>
      </c>
      <c r="U949">
        <v>0</v>
      </c>
      <c r="V949">
        <v>0</v>
      </c>
      <c r="W949">
        <v>400013</v>
      </c>
      <c r="X949" t="s">
        <v>56</v>
      </c>
      <c r="Y949" t="s">
        <v>57</v>
      </c>
      <c r="AE949">
        <v>0</v>
      </c>
      <c r="AP949" t="s">
        <v>232</v>
      </c>
    </row>
    <row r="950" spans="1:42">
      <c r="A950" s="1" t="s">
        <v>46</v>
      </c>
      <c r="B950" s="1" t="s">
        <v>2037</v>
      </c>
      <c r="C950" s="1" t="s">
        <v>2037</v>
      </c>
      <c r="E950" s="4" t="s">
        <v>2038</v>
      </c>
      <c r="G950" s="16"/>
      <c r="I950">
        <v>4</v>
      </c>
      <c r="M950">
        <v>1</v>
      </c>
      <c r="N950">
        <v>-8</v>
      </c>
      <c r="O950">
        <v>0</v>
      </c>
      <c r="P950">
        <v>1.61</v>
      </c>
      <c r="Q950">
        <v>-12.87</v>
      </c>
      <c r="R950" t="s">
        <v>579</v>
      </c>
      <c r="S950">
        <v>0</v>
      </c>
      <c r="T950">
        <v>0</v>
      </c>
      <c r="U950">
        <v>0</v>
      </c>
      <c r="V950">
        <v>0</v>
      </c>
      <c r="W950">
        <v>400136</v>
      </c>
      <c r="AE950">
        <v>0</v>
      </c>
      <c r="AH950">
        <v>4</v>
      </c>
      <c r="AP950" t="s">
        <v>732</v>
      </c>
    </row>
    <row r="951" spans="1:42">
      <c r="A951" s="1" t="s">
        <v>46</v>
      </c>
      <c r="B951" s="1" t="s">
        <v>2039</v>
      </c>
      <c r="C951" s="1" t="s">
        <v>2039</v>
      </c>
      <c r="E951" s="4" t="s">
        <v>2040</v>
      </c>
      <c r="G951" s="16"/>
      <c r="M951">
        <v>1</v>
      </c>
      <c r="N951">
        <v>130</v>
      </c>
      <c r="O951">
        <v>0</v>
      </c>
      <c r="P951">
        <v>1.65</v>
      </c>
      <c r="Q951">
        <v>214.89</v>
      </c>
      <c r="R951" t="s">
        <v>579</v>
      </c>
      <c r="S951">
        <v>0</v>
      </c>
      <c r="T951">
        <v>0</v>
      </c>
      <c r="U951">
        <v>0</v>
      </c>
      <c r="V951">
        <v>0</v>
      </c>
      <c r="W951">
        <v>400013</v>
      </c>
      <c r="AE951">
        <v>0</v>
      </c>
      <c r="AP951" t="s">
        <v>232</v>
      </c>
    </row>
    <row r="952" spans="1:42">
      <c r="A952" s="1" t="s">
        <v>46</v>
      </c>
      <c r="B952" s="1" t="s">
        <v>2041</v>
      </c>
      <c r="C952" s="1" t="s">
        <v>2041</v>
      </c>
      <c r="E952" s="4" t="s">
        <v>2042</v>
      </c>
      <c r="G952" s="16"/>
      <c r="M952">
        <v>1</v>
      </c>
      <c r="N952">
        <v>103</v>
      </c>
      <c r="O952">
        <v>0</v>
      </c>
      <c r="P952">
        <v>1.45</v>
      </c>
      <c r="Q952">
        <v>149.35</v>
      </c>
      <c r="R952" t="s">
        <v>241</v>
      </c>
      <c r="S952">
        <v>0</v>
      </c>
      <c r="T952" t="s">
        <v>52</v>
      </c>
      <c r="U952">
        <v>0</v>
      </c>
      <c r="V952">
        <v>0</v>
      </c>
      <c r="W952">
        <v>410302</v>
      </c>
      <c r="AE952">
        <v>0</v>
      </c>
      <c r="AP952" t="s">
        <v>177</v>
      </c>
    </row>
    <row r="953" spans="1:42">
      <c r="A953" s="1" t="s">
        <v>46</v>
      </c>
      <c r="B953" s="1" t="s">
        <v>2043</v>
      </c>
      <c r="C953" s="1" t="s">
        <v>2043</v>
      </c>
      <c r="E953" s="4" t="s">
        <v>2044</v>
      </c>
      <c r="G953" s="16"/>
      <c r="M953">
        <v>1</v>
      </c>
      <c r="N953">
        <v>1</v>
      </c>
      <c r="O953">
        <v>0</v>
      </c>
      <c r="P953">
        <v>1.53</v>
      </c>
      <c r="Q953">
        <v>1.53</v>
      </c>
      <c r="R953" t="s">
        <v>579</v>
      </c>
      <c r="T953" t="s">
        <v>52</v>
      </c>
      <c r="W953">
        <v>400004</v>
      </c>
      <c r="AE953">
        <v>0</v>
      </c>
      <c r="AP953" t="s">
        <v>352</v>
      </c>
    </row>
    <row r="954" spans="1:42">
      <c r="A954" s="1" t="s">
        <v>46</v>
      </c>
      <c r="B954" s="1" t="s">
        <v>2045</v>
      </c>
      <c r="C954" s="1" t="s">
        <v>2045</v>
      </c>
      <c r="E954" s="4" t="s">
        <v>2046</v>
      </c>
      <c r="G954" s="16"/>
      <c r="M954">
        <v>1</v>
      </c>
      <c r="N954">
        <v>1125</v>
      </c>
      <c r="O954">
        <v>0</v>
      </c>
      <c r="P954">
        <v>0.25</v>
      </c>
      <c r="Q954">
        <v>281.25</v>
      </c>
      <c r="R954">
        <v>0</v>
      </c>
      <c r="S954">
        <v>0</v>
      </c>
      <c r="T954" t="s">
        <v>52</v>
      </c>
      <c r="U954">
        <v>0</v>
      </c>
      <c r="V954">
        <v>0</v>
      </c>
      <c r="W954">
        <v>400103</v>
      </c>
      <c r="AE954">
        <v>0</v>
      </c>
      <c r="AP954" t="s">
        <v>261</v>
      </c>
    </row>
    <row r="955" spans="1:42">
      <c r="A955" s="1" t="s">
        <v>46</v>
      </c>
      <c r="B955" s="1" t="s">
        <v>2047</v>
      </c>
      <c r="C955" s="1" t="s">
        <v>2047</v>
      </c>
      <c r="E955" s="4" t="s">
        <v>2048</v>
      </c>
      <c r="G955" s="16"/>
      <c r="M955">
        <v>1</v>
      </c>
      <c r="N955">
        <v>-38</v>
      </c>
      <c r="O955">
        <v>0</v>
      </c>
      <c r="R955">
        <v>0</v>
      </c>
      <c r="S955">
        <v>0</v>
      </c>
      <c r="T955" t="s">
        <v>17</v>
      </c>
      <c r="AE955">
        <v>0</v>
      </c>
    </row>
    <row r="956" spans="1:42">
      <c r="A956" s="1" t="s">
        <v>46</v>
      </c>
      <c r="B956" s="1" t="s">
        <v>2049</v>
      </c>
      <c r="C956" s="1" t="s">
        <v>2049</v>
      </c>
      <c r="E956" s="4" t="s">
        <v>2050</v>
      </c>
      <c r="G956" s="16"/>
      <c r="M956">
        <v>1</v>
      </c>
      <c r="N956">
        <v>31</v>
      </c>
      <c r="O956">
        <v>0</v>
      </c>
      <c r="P956">
        <v>3.16</v>
      </c>
      <c r="Q956">
        <v>98.12</v>
      </c>
      <c r="R956" t="s">
        <v>579</v>
      </c>
      <c r="S956">
        <v>0</v>
      </c>
      <c r="T956">
        <v>0</v>
      </c>
      <c r="U956">
        <v>0</v>
      </c>
      <c r="V956">
        <v>0</v>
      </c>
      <c r="W956">
        <v>400013</v>
      </c>
      <c r="AE956">
        <v>0</v>
      </c>
      <c r="AP956" t="s">
        <v>232</v>
      </c>
    </row>
    <row r="957" spans="1:42">
      <c r="A957" s="1" t="s">
        <v>46</v>
      </c>
      <c r="B957" s="1" t="s">
        <v>2051</v>
      </c>
      <c r="C957" s="1" t="s">
        <v>2051</v>
      </c>
      <c r="E957" s="4" t="s">
        <v>2052</v>
      </c>
      <c r="G957" s="16"/>
      <c r="M957">
        <v>1</v>
      </c>
      <c r="N957">
        <v>-9</v>
      </c>
      <c r="O957">
        <v>0</v>
      </c>
      <c r="P957">
        <v>0.95</v>
      </c>
      <c r="Q957">
        <v>-8.57</v>
      </c>
      <c r="R957" t="s">
        <v>556</v>
      </c>
      <c r="S957">
        <v>0</v>
      </c>
      <c r="T957" t="s">
        <v>52</v>
      </c>
      <c r="W957">
        <v>400013</v>
      </c>
      <c r="AE957">
        <v>0</v>
      </c>
      <c r="AP957" t="s">
        <v>232</v>
      </c>
    </row>
    <row r="958" spans="1:42">
      <c r="A958" s="1" t="s">
        <v>46</v>
      </c>
      <c r="B958" s="1" t="s">
        <v>2053</v>
      </c>
      <c r="C958" s="1" t="s">
        <v>2053</v>
      </c>
      <c r="E958" s="4" t="s">
        <v>2054</v>
      </c>
      <c r="G958" s="16">
        <v>0.75</v>
      </c>
      <c r="M958">
        <v>1</v>
      </c>
      <c r="N958">
        <v>5</v>
      </c>
      <c r="O958">
        <v>0</v>
      </c>
      <c r="P958">
        <v>9</v>
      </c>
      <c r="Q958">
        <v>45</v>
      </c>
      <c r="R958" t="s">
        <v>176</v>
      </c>
      <c r="S958">
        <v>0</v>
      </c>
      <c r="T958" t="s">
        <v>52</v>
      </c>
      <c r="U958">
        <v>0</v>
      </c>
      <c r="V958">
        <v>0</v>
      </c>
      <c r="W958">
        <v>400061</v>
      </c>
      <c r="X958" t="s">
        <v>56</v>
      </c>
      <c r="Y958" t="s">
        <v>57</v>
      </c>
      <c r="AE958">
        <v>0</v>
      </c>
      <c r="AP958" t="s">
        <v>169</v>
      </c>
    </row>
    <row r="959" spans="1:42">
      <c r="A959" s="1" t="s">
        <v>46</v>
      </c>
      <c r="B959" s="1" t="s">
        <v>2055</v>
      </c>
      <c r="C959" s="1" t="s">
        <v>2055</v>
      </c>
      <c r="E959" s="4" t="s">
        <v>2056</v>
      </c>
      <c r="G959" s="16">
        <v>0.75</v>
      </c>
      <c r="M959">
        <v>1</v>
      </c>
      <c r="N959">
        <v>3</v>
      </c>
      <c r="O959">
        <v>0</v>
      </c>
      <c r="P959">
        <v>31.67</v>
      </c>
      <c r="Q959">
        <v>95.02</v>
      </c>
      <c r="R959" t="s">
        <v>556</v>
      </c>
      <c r="S959">
        <v>0</v>
      </c>
      <c r="T959" t="s">
        <v>52</v>
      </c>
      <c r="U959">
        <v>0</v>
      </c>
      <c r="V959">
        <v>0</v>
      </c>
      <c r="W959">
        <v>400013</v>
      </c>
      <c r="X959" t="s">
        <v>56</v>
      </c>
      <c r="Y959" t="s">
        <v>57</v>
      </c>
      <c r="AE959">
        <v>0</v>
      </c>
      <c r="AP959" t="s">
        <v>232</v>
      </c>
    </row>
    <row r="960" spans="1:42">
      <c r="A960" s="1" t="s">
        <v>46</v>
      </c>
      <c r="B960" s="1" t="s">
        <v>2057</v>
      </c>
      <c r="C960" s="1" t="s">
        <v>2057</v>
      </c>
      <c r="E960" s="4" t="s">
        <v>2058</v>
      </c>
      <c r="G960" s="16">
        <v>1</v>
      </c>
      <c r="M960">
        <v>1</v>
      </c>
      <c r="N960">
        <v>20</v>
      </c>
      <c r="O960">
        <v>0</v>
      </c>
      <c r="P960">
        <v>31.41</v>
      </c>
      <c r="Q960">
        <v>628.14</v>
      </c>
      <c r="R960" t="s">
        <v>556</v>
      </c>
      <c r="S960">
        <v>0</v>
      </c>
      <c r="T960" t="s">
        <v>52</v>
      </c>
      <c r="U960">
        <v>0</v>
      </c>
      <c r="V960">
        <v>0</v>
      </c>
      <c r="W960">
        <v>400013</v>
      </c>
      <c r="X960" t="s">
        <v>56</v>
      </c>
      <c r="Y960" t="s">
        <v>57</v>
      </c>
      <c r="AE960">
        <v>0</v>
      </c>
      <c r="AP960" t="s">
        <v>232</v>
      </c>
    </row>
    <row r="961" spans="1:42">
      <c r="A961" s="1" t="s">
        <v>46</v>
      </c>
      <c r="B961" s="1" t="s">
        <v>2059</v>
      </c>
      <c r="C961" s="1" t="s">
        <v>2059</v>
      </c>
      <c r="E961" s="4" t="s">
        <v>2060</v>
      </c>
      <c r="G961" s="16">
        <v>1</v>
      </c>
      <c r="M961">
        <v>1</v>
      </c>
      <c r="N961">
        <v>40</v>
      </c>
      <c r="O961">
        <v>0</v>
      </c>
      <c r="P961">
        <v>24</v>
      </c>
      <c r="Q961">
        <v>960</v>
      </c>
      <c r="R961" t="s">
        <v>241</v>
      </c>
      <c r="S961">
        <v>0</v>
      </c>
      <c r="T961" t="s">
        <v>52</v>
      </c>
      <c r="U961">
        <v>0</v>
      </c>
      <c r="V961">
        <v>0</v>
      </c>
      <c r="W961">
        <v>410302</v>
      </c>
      <c r="AE961">
        <v>0</v>
      </c>
      <c r="AP961" t="s">
        <v>177</v>
      </c>
    </row>
    <row r="962" spans="1:42">
      <c r="A962" s="1" t="s">
        <v>46</v>
      </c>
      <c r="B962" s="1" t="s">
        <v>2061</v>
      </c>
      <c r="C962" s="1" t="s">
        <v>2061</v>
      </c>
      <c r="E962" s="4" t="s">
        <v>2062</v>
      </c>
      <c r="G962" s="16"/>
      <c r="M962">
        <v>1</v>
      </c>
      <c r="N962">
        <v>-27</v>
      </c>
      <c r="O962">
        <v>0</v>
      </c>
      <c r="P962">
        <v>2.25</v>
      </c>
      <c r="Q962">
        <v>-60.75</v>
      </c>
      <c r="R962">
        <v>0</v>
      </c>
      <c r="S962">
        <v>0</v>
      </c>
      <c r="T962" t="s">
        <v>52</v>
      </c>
      <c r="W962">
        <v>400112</v>
      </c>
      <c r="AE962">
        <v>0</v>
      </c>
      <c r="AP962" t="s">
        <v>220</v>
      </c>
    </row>
    <row r="963" spans="1:42">
      <c r="A963" s="1" t="s">
        <v>46</v>
      </c>
      <c r="B963" s="1" t="s">
        <v>2063</v>
      </c>
      <c r="C963" s="1" t="s">
        <v>2063</v>
      </c>
      <c r="E963" s="4" t="s">
        <v>2064</v>
      </c>
      <c r="G963" s="16"/>
      <c r="M963">
        <v>1</v>
      </c>
      <c r="N963">
        <v>338</v>
      </c>
      <c r="O963">
        <v>0</v>
      </c>
      <c r="P963">
        <v>1.75</v>
      </c>
      <c r="Q963">
        <v>591.5</v>
      </c>
      <c r="R963" t="s">
        <v>579</v>
      </c>
      <c r="S963">
        <v>0</v>
      </c>
      <c r="T963">
        <v>0</v>
      </c>
      <c r="U963">
        <v>0</v>
      </c>
      <c r="V963">
        <v>0</v>
      </c>
      <c r="W963">
        <v>400112</v>
      </c>
      <c r="X963" t="s">
        <v>56</v>
      </c>
      <c r="Y963" t="s">
        <v>57</v>
      </c>
      <c r="AE963">
        <v>0</v>
      </c>
      <c r="AP963" t="s">
        <v>220</v>
      </c>
    </row>
    <row r="964" spans="1:42">
      <c r="A964" s="1" t="s">
        <v>46</v>
      </c>
      <c r="B964" s="1" t="s">
        <v>2065</v>
      </c>
      <c r="C964" s="1" t="s">
        <v>2065</v>
      </c>
      <c r="E964" s="4" t="s">
        <v>2066</v>
      </c>
      <c r="G964" s="16"/>
      <c r="M964">
        <v>1</v>
      </c>
      <c r="N964">
        <v>4</v>
      </c>
      <c r="O964">
        <v>0</v>
      </c>
      <c r="P964">
        <v>29.3</v>
      </c>
      <c r="Q964">
        <v>117.2</v>
      </c>
      <c r="R964" t="s">
        <v>556</v>
      </c>
      <c r="S964">
        <v>0</v>
      </c>
      <c r="T964" t="s">
        <v>52</v>
      </c>
      <c r="U964">
        <v>0</v>
      </c>
      <c r="V964">
        <v>0</v>
      </c>
      <c r="W964">
        <v>400013</v>
      </c>
      <c r="AE964">
        <v>0</v>
      </c>
      <c r="AP964" t="s">
        <v>232</v>
      </c>
    </row>
    <row r="965" spans="1:42">
      <c r="A965" s="1" t="s">
        <v>46</v>
      </c>
      <c r="B965" s="1" t="s">
        <v>2067</v>
      </c>
      <c r="C965" s="1" t="s">
        <v>2067</v>
      </c>
      <c r="E965" s="4" t="s">
        <v>2068</v>
      </c>
      <c r="G965" s="16"/>
      <c r="M965">
        <v>1</v>
      </c>
      <c r="N965">
        <v>-1</v>
      </c>
      <c r="O965">
        <v>0</v>
      </c>
      <c r="P965">
        <v>86</v>
      </c>
      <c r="Q965">
        <v>-86</v>
      </c>
      <c r="R965">
        <v>0</v>
      </c>
      <c r="S965">
        <v>0</v>
      </c>
      <c r="T965" t="s">
        <v>52</v>
      </c>
      <c r="W965">
        <v>400044</v>
      </c>
      <c r="AE965">
        <v>0</v>
      </c>
      <c r="AP965" t="s">
        <v>628</v>
      </c>
    </row>
    <row r="966" spans="1:42">
      <c r="A966" s="1" t="s">
        <v>46</v>
      </c>
      <c r="B966" s="1" t="s">
        <v>2069</v>
      </c>
      <c r="C966" s="1" t="s">
        <v>2069</v>
      </c>
      <c r="E966" s="4" t="s">
        <v>2070</v>
      </c>
      <c r="G966" s="16"/>
      <c r="M966">
        <v>1</v>
      </c>
      <c r="N966">
        <v>3</v>
      </c>
      <c r="O966">
        <v>0</v>
      </c>
      <c r="P966">
        <v>55</v>
      </c>
      <c r="Q966">
        <v>165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400191</v>
      </c>
      <c r="AE966">
        <v>0</v>
      </c>
      <c r="AP966" t="s">
        <v>2071</v>
      </c>
    </row>
    <row r="967" spans="1:42">
      <c r="A967" s="1" t="s">
        <v>46</v>
      </c>
      <c r="B967" s="1" t="s">
        <v>2072</v>
      </c>
      <c r="C967" s="1" t="s">
        <v>2072</v>
      </c>
      <c r="E967" s="4" t="s">
        <v>2073</v>
      </c>
      <c r="G967" s="16"/>
      <c r="I967">
        <v>77</v>
      </c>
      <c r="M967">
        <v>1</v>
      </c>
      <c r="N967">
        <v>66</v>
      </c>
      <c r="O967">
        <v>0</v>
      </c>
      <c r="P967">
        <v>76.59</v>
      </c>
      <c r="Q967">
        <v>5054.9399999999996</v>
      </c>
      <c r="R967">
        <v>0</v>
      </c>
      <c r="S967">
        <v>0</v>
      </c>
      <c r="T967" t="s">
        <v>52</v>
      </c>
      <c r="U967">
        <v>0</v>
      </c>
      <c r="V967">
        <v>0</v>
      </c>
      <c r="W967">
        <v>400012</v>
      </c>
      <c r="AE967">
        <v>0</v>
      </c>
      <c r="AH967">
        <v>77</v>
      </c>
      <c r="AP967" t="s">
        <v>582</v>
      </c>
    </row>
    <row r="968" spans="1:42">
      <c r="A968" s="1" t="s">
        <v>46</v>
      </c>
      <c r="B968" s="1" t="s">
        <v>2074</v>
      </c>
      <c r="C968" s="1" t="s">
        <v>2074</v>
      </c>
      <c r="E968" s="4" t="s">
        <v>2075</v>
      </c>
      <c r="G968" s="16"/>
      <c r="M968">
        <v>1</v>
      </c>
      <c r="N968">
        <v>411</v>
      </c>
      <c r="O968">
        <v>0</v>
      </c>
      <c r="P968">
        <v>49</v>
      </c>
      <c r="Q968">
        <v>20139</v>
      </c>
      <c r="R968">
        <v>0</v>
      </c>
      <c r="S968">
        <v>0</v>
      </c>
      <c r="T968" t="s">
        <v>52</v>
      </c>
      <c r="U968">
        <v>0</v>
      </c>
      <c r="V968">
        <v>0</v>
      </c>
      <c r="W968">
        <v>400114</v>
      </c>
      <c r="X968" t="s">
        <v>56</v>
      </c>
      <c r="Y968" t="s">
        <v>57</v>
      </c>
      <c r="AE968">
        <v>0</v>
      </c>
      <c r="AP968" t="s">
        <v>2076</v>
      </c>
    </row>
    <row r="969" spans="1:42">
      <c r="A969" s="1" t="s">
        <v>46</v>
      </c>
      <c r="B969" s="1" t="s">
        <v>2077</v>
      </c>
      <c r="C969" s="1" t="s">
        <v>2077</v>
      </c>
      <c r="E969" s="4" t="s">
        <v>2078</v>
      </c>
      <c r="G969" s="16"/>
      <c r="M969">
        <v>1</v>
      </c>
      <c r="N969">
        <v>14</v>
      </c>
      <c r="O969">
        <v>0</v>
      </c>
      <c r="P969">
        <v>21</v>
      </c>
      <c r="Q969">
        <v>294</v>
      </c>
      <c r="R969" t="s">
        <v>241</v>
      </c>
      <c r="S969">
        <v>0</v>
      </c>
      <c r="T969" t="s">
        <v>209</v>
      </c>
      <c r="U969">
        <v>0</v>
      </c>
      <c r="V969">
        <v>0</v>
      </c>
      <c r="W969">
        <v>400061</v>
      </c>
      <c r="AE969">
        <v>0</v>
      </c>
      <c r="AP969" t="s">
        <v>169</v>
      </c>
    </row>
    <row r="970" spans="1:42">
      <c r="A970" s="1" t="s">
        <v>46</v>
      </c>
      <c r="B970" s="1" t="s">
        <v>2079</v>
      </c>
      <c r="C970" s="1" t="s">
        <v>2079</v>
      </c>
      <c r="E970" s="4" t="s">
        <v>2080</v>
      </c>
      <c r="G970" s="16"/>
      <c r="M970">
        <v>1</v>
      </c>
      <c r="N970">
        <v>-124.95</v>
      </c>
      <c r="O970">
        <v>0</v>
      </c>
      <c r="P970">
        <v>8.25</v>
      </c>
      <c r="Q970">
        <v>-1030.8399999999999</v>
      </c>
      <c r="R970" t="s">
        <v>579</v>
      </c>
      <c r="S970">
        <v>0</v>
      </c>
      <c r="T970" t="s">
        <v>209</v>
      </c>
      <c r="U970">
        <v>0</v>
      </c>
      <c r="V970">
        <v>0</v>
      </c>
      <c r="W970">
        <v>400002</v>
      </c>
      <c r="X970" t="s">
        <v>56</v>
      </c>
      <c r="Y970" t="s">
        <v>57</v>
      </c>
      <c r="AE970">
        <v>0</v>
      </c>
      <c r="AP970" t="s">
        <v>116</v>
      </c>
    </row>
    <row r="971" spans="1:42">
      <c r="A971" s="1" t="s">
        <v>46</v>
      </c>
      <c r="B971" s="1" t="s">
        <v>2081</v>
      </c>
      <c r="C971" s="1" t="s">
        <v>2081</v>
      </c>
      <c r="E971" s="4" t="s">
        <v>2082</v>
      </c>
      <c r="G971" s="16"/>
      <c r="M971">
        <v>1</v>
      </c>
      <c r="N971">
        <v>33.159999999999997</v>
      </c>
      <c r="O971">
        <v>0</v>
      </c>
      <c r="P971">
        <v>3.53</v>
      </c>
      <c r="Q971">
        <v>116.94</v>
      </c>
      <c r="R971" t="s">
        <v>556</v>
      </c>
      <c r="S971">
        <v>0</v>
      </c>
      <c r="T971" t="s">
        <v>209</v>
      </c>
      <c r="U971">
        <v>0</v>
      </c>
      <c r="V971">
        <v>0</v>
      </c>
      <c r="W971">
        <v>400013</v>
      </c>
      <c r="X971" t="s">
        <v>56</v>
      </c>
      <c r="Y971" t="s">
        <v>57</v>
      </c>
      <c r="AE971">
        <v>0</v>
      </c>
      <c r="AP971" t="s">
        <v>232</v>
      </c>
    </row>
    <row r="972" spans="1:42">
      <c r="A972" s="1" t="s">
        <v>46</v>
      </c>
      <c r="B972" s="1" t="s">
        <v>2083</v>
      </c>
      <c r="C972" s="1" t="s">
        <v>2083</v>
      </c>
      <c r="E972" s="4" t="s">
        <v>2084</v>
      </c>
      <c r="G972" s="16"/>
      <c r="M972">
        <v>1</v>
      </c>
      <c r="N972">
        <v>55.5</v>
      </c>
      <c r="O972">
        <v>0</v>
      </c>
      <c r="P972">
        <v>12</v>
      </c>
      <c r="Q972">
        <v>666</v>
      </c>
      <c r="R972" t="s">
        <v>241</v>
      </c>
      <c r="S972">
        <v>0</v>
      </c>
      <c r="T972" t="s">
        <v>209</v>
      </c>
      <c r="U972">
        <v>0</v>
      </c>
      <c r="V972">
        <v>0</v>
      </c>
      <c r="W972">
        <v>400013</v>
      </c>
      <c r="AE972">
        <v>0</v>
      </c>
      <c r="AP972" t="s">
        <v>232</v>
      </c>
    </row>
    <row r="973" spans="1:42">
      <c r="A973" s="1" t="s">
        <v>46</v>
      </c>
      <c r="B973" s="1" t="s">
        <v>2085</v>
      </c>
      <c r="C973" s="1" t="s">
        <v>2085</v>
      </c>
      <c r="E973" s="4" t="s">
        <v>2086</v>
      </c>
      <c r="G973" s="16"/>
      <c r="I973">
        <v>34.72</v>
      </c>
      <c r="M973">
        <v>1</v>
      </c>
      <c r="N973">
        <v>1</v>
      </c>
      <c r="O973">
        <v>0</v>
      </c>
      <c r="P973">
        <v>25.19</v>
      </c>
      <c r="Q973">
        <v>25.19</v>
      </c>
      <c r="R973" t="s">
        <v>1050</v>
      </c>
      <c r="S973">
        <v>0</v>
      </c>
      <c r="T973" t="s">
        <v>209</v>
      </c>
      <c r="U973">
        <v>0</v>
      </c>
      <c r="V973">
        <v>0</v>
      </c>
      <c r="W973">
        <v>400013</v>
      </c>
      <c r="AE973">
        <v>0</v>
      </c>
      <c r="AH973">
        <v>34.72</v>
      </c>
      <c r="AP973" t="s">
        <v>232</v>
      </c>
    </row>
    <row r="974" spans="1:42">
      <c r="A974" s="1" t="s">
        <v>46</v>
      </c>
      <c r="B974" s="1" t="s">
        <v>2087</v>
      </c>
      <c r="C974" s="1" t="s">
        <v>2087</v>
      </c>
      <c r="E974" s="4" t="s">
        <v>2088</v>
      </c>
      <c r="G974" s="16"/>
      <c r="M974">
        <v>1</v>
      </c>
      <c r="N974">
        <v>17</v>
      </c>
      <c r="O974">
        <v>0</v>
      </c>
      <c r="P974">
        <v>3.87</v>
      </c>
      <c r="Q974">
        <v>65.77</v>
      </c>
      <c r="R974" t="s">
        <v>556</v>
      </c>
      <c r="S974">
        <v>0</v>
      </c>
      <c r="T974" t="s">
        <v>52</v>
      </c>
      <c r="U974">
        <v>0</v>
      </c>
      <c r="V974">
        <v>0</v>
      </c>
      <c r="W974">
        <v>400013</v>
      </c>
      <c r="X974" t="s">
        <v>56</v>
      </c>
      <c r="Y974" t="s">
        <v>57</v>
      </c>
      <c r="AE974">
        <v>0</v>
      </c>
      <c r="AP974" t="s">
        <v>232</v>
      </c>
    </row>
    <row r="975" spans="1:42">
      <c r="A975" s="1" t="s">
        <v>46</v>
      </c>
      <c r="B975" s="1" t="s">
        <v>2089</v>
      </c>
      <c r="C975" s="1" t="s">
        <v>2089</v>
      </c>
      <c r="E975" s="4" t="s">
        <v>2090</v>
      </c>
      <c r="G975" s="16">
        <v>9</v>
      </c>
      <c r="M975">
        <v>1</v>
      </c>
      <c r="N975">
        <v>230</v>
      </c>
      <c r="O975">
        <v>0</v>
      </c>
      <c r="P975">
        <v>32</v>
      </c>
      <c r="Q975">
        <v>7360</v>
      </c>
      <c r="R975">
        <v>0</v>
      </c>
      <c r="S975">
        <v>0</v>
      </c>
      <c r="T975" t="s">
        <v>52</v>
      </c>
      <c r="U975">
        <v>0</v>
      </c>
      <c r="V975">
        <v>0</v>
      </c>
      <c r="W975">
        <v>400130</v>
      </c>
      <c r="X975" t="s">
        <v>56</v>
      </c>
      <c r="Y975" t="s">
        <v>57</v>
      </c>
      <c r="AE975">
        <v>0</v>
      </c>
      <c r="AP975" t="s">
        <v>139</v>
      </c>
    </row>
    <row r="976" spans="1:42">
      <c r="A976" s="1" t="s">
        <v>46</v>
      </c>
      <c r="B976" s="1" t="s">
        <v>2091</v>
      </c>
      <c r="C976" s="1" t="s">
        <v>2091</v>
      </c>
      <c r="E976" s="4" t="s">
        <v>2092</v>
      </c>
      <c r="G976" s="16"/>
      <c r="M976">
        <v>1</v>
      </c>
      <c r="N976">
        <v>60</v>
      </c>
      <c r="O976">
        <v>0</v>
      </c>
      <c r="P976">
        <v>1.54</v>
      </c>
      <c r="Q976">
        <v>92.57</v>
      </c>
      <c r="R976" t="s">
        <v>556</v>
      </c>
      <c r="S976">
        <v>0</v>
      </c>
      <c r="T976" t="s">
        <v>52</v>
      </c>
      <c r="U976">
        <v>0</v>
      </c>
      <c r="V976">
        <v>0</v>
      </c>
      <c r="W976">
        <v>400013</v>
      </c>
      <c r="X976" t="s">
        <v>56</v>
      </c>
      <c r="Y976" t="s">
        <v>57</v>
      </c>
      <c r="AE976">
        <v>0</v>
      </c>
      <c r="AP976" t="s">
        <v>232</v>
      </c>
    </row>
    <row r="977" spans="1:42">
      <c r="A977" s="1" t="s">
        <v>46</v>
      </c>
      <c r="B977" s="1" t="s">
        <v>2093</v>
      </c>
      <c r="C977" s="1" t="s">
        <v>2093</v>
      </c>
      <c r="E977" s="4" t="s">
        <v>2094</v>
      </c>
      <c r="G977" s="16"/>
      <c r="M977">
        <v>1</v>
      </c>
      <c r="N977">
        <v>16</v>
      </c>
      <c r="O977">
        <v>0</v>
      </c>
      <c r="P977">
        <v>1.69</v>
      </c>
      <c r="Q977">
        <v>27.09</v>
      </c>
      <c r="R977" t="s">
        <v>556</v>
      </c>
      <c r="S977">
        <v>0</v>
      </c>
      <c r="T977" t="s">
        <v>52</v>
      </c>
      <c r="U977">
        <v>0</v>
      </c>
      <c r="V977">
        <v>0</v>
      </c>
      <c r="W977">
        <v>400013</v>
      </c>
      <c r="AE977">
        <v>0</v>
      </c>
      <c r="AP977" t="s">
        <v>232</v>
      </c>
    </row>
    <row r="978" spans="1:42">
      <c r="A978" s="1" t="s">
        <v>46</v>
      </c>
      <c r="B978" s="1" t="s">
        <v>2095</v>
      </c>
      <c r="C978" s="1" t="s">
        <v>2095</v>
      </c>
      <c r="E978" s="4" t="s">
        <v>2096</v>
      </c>
      <c r="G978" s="16"/>
      <c r="I978">
        <v>2.5</v>
      </c>
      <c r="M978">
        <v>1</v>
      </c>
      <c r="N978">
        <v>540</v>
      </c>
      <c r="O978">
        <v>0</v>
      </c>
      <c r="P978">
        <v>1.2</v>
      </c>
      <c r="Q978">
        <v>650.48</v>
      </c>
      <c r="R978" t="s">
        <v>579</v>
      </c>
      <c r="S978">
        <v>0</v>
      </c>
      <c r="T978" t="s">
        <v>52</v>
      </c>
      <c r="U978">
        <v>0</v>
      </c>
      <c r="V978">
        <v>0</v>
      </c>
      <c r="W978">
        <v>400013</v>
      </c>
      <c r="X978" t="s">
        <v>56</v>
      </c>
      <c r="Y978" t="s">
        <v>57</v>
      </c>
      <c r="AE978">
        <v>0</v>
      </c>
      <c r="AH978">
        <v>2.5</v>
      </c>
      <c r="AP978" t="s">
        <v>232</v>
      </c>
    </row>
    <row r="979" spans="1:42">
      <c r="A979" s="1" t="s">
        <v>46</v>
      </c>
      <c r="B979" s="1" t="s">
        <v>2097</v>
      </c>
      <c r="C979" s="1" t="s">
        <v>2097</v>
      </c>
      <c r="E979" s="4" t="s">
        <v>2098</v>
      </c>
      <c r="G979" s="16"/>
      <c r="M979">
        <v>1</v>
      </c>
      <c r="N979">
        <v>239</v>
      </c>
      <c r="O979">
        <v>0</v>
      </c>
      <c r="P979">
        <v>0.8</v>
      </c>
      <c r="Q979">
        <v>191.2</v>
      </c>
      <c r="R979" t="s">
        <v>241</v>
      </c>
      <c r="S979">
        <v>0</v>
      </c>
      <c r="T979" t="s">
        <v>52</v>
      </c>
      <c r="U979">
        <v>0</v>
      </c>
      <c r="V979">
        <v>0</v>
      </c>
      <c r="W979">
        <v>400061</v>
      </c>
      <c r="AE979">
        <v>0</v>
      </c>
      <c r="AP979" t="s">
        <v>169</v>
      </c>
    </row>
    <row r="980" spans="1:42">
      <c r="A980" s="1" t="s">
        <v>46</v>
      </c>
      <c r="B980" s="1" t="s">
        <v>2099</v>
      </c>
      <c r="C980" s="1" t="s">
        <v>2099</v>
      </c>
      <c r="E980" s="4" t="s">
        <v>2100</v>
      </c>
      <c r="G980" s="16">
        <v>15</v>
      </c>
      <c r="M980">
        <v>1</v>
      </c>
      <c r="N980">
        <v>742</v>
      </c>
      <c r="O980">
        <v>0</v>
      </c>
      <c r="P980">
        <v>1.21</v>
      </c>
      <c r="Q980">
        <v>901.37</v>
      </c>
      <c r="R980" t="s">
        <v>579</v>
      </c>
      <c r="S980">
        <v>0</v>
      </c>
      <c r="T980" t="s">
        <v>52</v>
      </c>
      <c r="U980">
        <v>0</v>
      </c>
      <c r="V980">
        <v>0</v>
      </c>
      <c r="W980">
        <v>400013</v>
      </c>
      <c r="AE980">
        <v>0</v>
      </c>
      <c r="AP980" t="s">
        <v>232</v>
      </c>
    </row>
    <row r="981" spans="1:42">
      <c r="A981" s="1" t="s">
        <v>46</v>
      </c>
      <c r="B981" s="1" t="s">
        <v>2101</v>
      </c>
      <c r="C981" s="1" t="s">
        <v>2101</v>
      </c>
      <c r="E981" s="4" t="s">
        <v>2102</v>
      </c>
      <c r="G981" s="16"/>
      <c r="I981">
        <v>2</v>
      </c>
      <c r="M981">
        <v>1</v>
      </c>
      <c r="N981">
        <v>271</v>
      </c>
      <c r="O981">
        <v>0</v>
      </c>
      <c r="P981">
        <v>1.1399999999999999</v>
      </c>
      <c r="Q981">
        <v>308.63</v>
      </c>
      <c r="R981" t="s">
        <v>579</v>
      </c>
      <c r="S981">
        <v>0</v>
      </c>
      <c r="T981" t="s">
        <v>52</v>
      </c>
      <c r="U981">
        <v>0</v>
      </c>
      <c r="V981">
        <v>0</v>
      </c>
      <c r="W981">
        <v>400013</v>
      </c>
      <c r="X981" t="s">
        <v>56</v>
      </c>
      <c r="Y981" t="s">
        <v>57</v>
      </c>
      <c r="AE981">
        <v>0</v>
      </c>
      <c r="AH981">
        <v>2</v>
      </c>
      <c r="AP981" t="s">
        <v>232</v>
      </c>
    </row>
    <row r="982" spans="1:42">
      <c r="A982" s="1" t="s">
        <v>46</v>
      </c>
      <c r="B982" s="1" t="s">
        <v>2103</v>
      </c>
      <c r="C982" s="1" t="s">
        <v>2103</v>
      </c>
      <c r="E982" s="4" t="s">
        <v>2104</v>
      </c>
      <c r="G982" s="16"/>
      <c r="M982">
        <v>1</v>
      </c>
      <c r="N982">
        <v>51</v>
      </c>
      <c r="O982">
        <v>0</v>
      </c>
      <c r="P982">
        <v>1</v>
      </c>
      <c r="Q982">
        <v>51</v>
      </c>
      <c r="R982" t="s">
        <v>241</v>
      </c>
      <c r="S982">
        <v>0</v>
      </c>
      <c r="T982" t="s">
        <v>52</v>
      </c>
      <c r="U982">
        <v>0</v>
      </c>
      <c r="V982">
        <v>0</v>
      </c>
      <c r="W982">
        <v>410302</v>
      </c>
      <c r="AE982">
        <v>0</v>
      </c>
      <c r="AP982" t="s">
        <v>177</v>
      </c>
    </row>
    <row r="983" spans="1:42">
      <c r="A983" s="1" t="s">
        <v>46</v>
      </c>
      <c r="B983" s="1" t="s">
        <v>2105</v>
      </c>
      <c r="C983" s="1" t="s">
        <v>2105</v>
      </c>
      <c r="E983" s="4" t="s">
        <v>2106</v>
      </c>
      <c r="G983" s="16"/>
      <c r="I983">
        <v>5.15</v>
      </c>
      <c r="M983">
        <v>1</v>
      </c>
      <c r="N983">
        <v>4</v>
      </c>
      <c r="O983">
        <v>0</v>
      </c>
      <c r="P983">
        <v>2.1</v>
      </c>
      <c r="Q983">
        <v>8.41</v>
      </c>
      <c r="R983" t="s">
        <v>1050</v>
      </c>
      <c r="S983">
        <v>0</v>
      </c>
      <c r="T983" t="s">
        <v>52</v>
      </c>
      <c r="U983">
        <v>0</v>
      </c>
      <c r="V983">
        <v>0</v>
      </c>
      <c r="W983">
        <v>400013</v>
      </c>
      <c r="AE983">
        <v>0</v>
      </c>
      <c r="AH983">
        <v>5.15</v>
      </c>
      <c r="AP983" t="s">
        <v>232</v>
      </c>
    </row>
    <row r="984" spans="1:42">
      <c r="A984" s="1" t="s">
        <v>46</v>
      </c>
      <c r="B984" s="1" t="s">
        <v>2107</v>
      </c>
      <c r="C984" s="1" t="s">
        <v>2107</v>
      </c>
      <c r="E984" s="4" t="s">
        <v>2108</v>
      </c>
      <c r="G984" s="16"/>
      <c r="M984">
        <v>1</v>
      </c>
      <c r="N984">
        <v>711</v>
      </c>
      <c r="O984">
        <v>0</v>
      </c>
      <c r="P984">
        <v>1.03</v>
      </c>
      <c r="Q984">
        <v>734.62</v>
      </c>
      <c r="R984" t="s">
        <v>579</v>
      </c>
      <c r="S984">
        <v>0</v>
      </c>
      <c r="T984" t="s">
        <v>52</v>
      </c>
      <c r="U984">
        <v>0</v>
      </c>
      <c r="V984">
        <v>0</v>
      </c>
      <c r="W984">
        <v>400013</v>
      </c>
      <c r="X984" t="s">
        <v>56</v>
      </c>
      <c r="Y984" t="s">
        <v>57</v>
      </c>
      <c r="AE984">
        <v>0</v>
      </c>
      <c r="AP984" t="s">
        <v>232</v>
      </c>
    </row>
    <row r="985" spans="1:42">
      <c r="A985" s="1" t="s">
        <v>46</v>
      </c>
      <c r="B985" s="1" t="s">
        <v>2109</v>
      </c>
      <c r="C985" s="1" t="s">
        <v>2109</v>
      </c>
      <c r="E985" s="4" t="s">
        <v>2110</v>
      </c>
      <c r="G985" s="16"/>
      <c r="M985">
        <v>1</v>
      </c>
      <c r="N985">
        <v>445</v>
      </c>
      <c r="O985">
        <v>0</v>
      </c>
      <c r="P985">
        <v>1.25</v>
      </c>
      <c r="Q985">
        <v>556.25</v>
      </c>
      <c r="R985">
        <v>0</v>
      </c>
      <c r="S985">
        <v>0</v>
      </c>
      <c r="T985" t="s">
        <v>52</v>
      </c>
      <c r="U985">
        <v>0</v>
      </c>
      <c r="V985">
        <v>0</v>
      </c>
      <c r="W985">
        <v>400033</v>
      </c>
      <c r="X985" t="s">
        <v>56</v>
      </c>
      <c r="Y985" t="s">
        <v>57</v>
      </c>
      <c r="AE985">
        <v>0</v>
      </c>
      <c r="AP985" t="s">
        <v>126</v>
      </c>
    </row>
    <row r="986" spans="1:42">
      <c r="A986" s="1" t="s">
        <v>46</v>
      </c>
      <c r="B986" s="1" t="s">
        <v>2111</v>
      </c>
      <c r="C986" s="1" t="s">
        <v>2111</v>
      </c>
      <c r="E986" s="4" t="s">
        <v>2112</v>
      </c>
      <c r="G986" s="16"/>
      <c r="M986">
        <v>1</v>
      </c>
      <c r="N986">
        <v>3542</v>
      </c>
      <c r="O986">
        <v>0</v>
      </c>
      <c r="P986">
        <v>2.34</v>
      </c>
      <c r="Q986">
        <v>8304.4</v>
      </c>
      <c r="R986">
        <v>0</v>
      </c>
      <c r="S986">
        <v>0</v>
      </c>
      <c r="T986" t="s">
        <v>52</v>
      </c>
      <c r="U986">
        <v>0</v>
      </c>
      <c r="V986">
        <v>0</v>
      </c>
      <c r="W986">
        <v>400013</v>
      </c>
      <c r="X986" t="s">
        <v>56</v>
      </c>
      <c r="Y986" t="s">
        <v>57</v>
      </c>
      <c r="AE986">
        <v>0</v>
      </c>
      <c r="AP986" t="s">
        <v>232</v>
      </c>
    </row>
    <row r="987" spans="1:42">
      <c r="A987" s="1" t="s">
        <v>46</v>
      </c>
      <c r="B987" s="1" t="s">
        <v>2113</v>
      </c>
      <c r="C987" s="1" t="s">
        <v>2113</v>
      </c>
      <c r="E987" s="4" t="s">
        <v>2114</v>
      </c>
      <c r="G987" s="16"/>
      <c r="M987">
        <v>1</v>
      </c>
      <c r="N987">
        <v>-10</v>
      </c>
      <c r="O987">
        <v>0</v>
      </c>
      <c r="T987" t="s">
        <v>52</v>
      </c>
      <c r="AE987">
        <v>0</v>
      </c>
    </row>
    <row r="988" spans="1:42">
      <c r="A988" s="1" t="s">
        <v>46</v>
      </c>
      <c r="B988" s="1" t="s">
        <v>2115</v>
      </c>
      <c r="C988" s="1" t="s">
        <v>2115</v>
      </c>
      <c r="E988" s="4" t="s">
        <v>2116</v>
      </c>
      <c r="G988" s="16"/>
      <c r="I988">
        <v>4</v>
      </c>
      <c r="M988">
        <v>1</v>
      </c>
      <c r="N988">
        <v>263</v>
      </c>
      <c r="O988">
        <v>0</v>
      </c>
      <c r="P988">
        <v>0.74</v>
      </c>
      <c r="Q988">
        <v>193.88</v>
      </c>
      <c r="R988" t="s">
        <v>579</v>
      </c>
      <c r="S988">
        <v>0</v>
      </c>
      <c r="T988" t="s">
        <v>52</v>
      </c>
      <c r="U988">
        <v>0</v>
      </c>
      <c r="V988">
        <v>0</v>
      </c>
      <c r="W988">
        <v>400013</v>
      </c>
      <c r="X988" t="s">
        <v>56</v>
      </c>
      <c r="Y988" t="s">
        <v>57</v>
      </c>
      <c r="AE988">
        <v>0</v>
      </c>
      <c r="AH988">
        <v>4</v>
      </c>
      <c r="AP988" t="s">
        <v>232</v>
      </c>
    </row>
    <row r="989" spans="1:42">
      <c r="A989" s="1" t="s">
        <v>46</v>
      </c>
      <c r="B989" s="1" t="s">
        <v>2117</v>
      </c>
      <c r="C989" s="1" t="s">
        <v>2117</v>
      </c>
      <c r="E989" s="4" t="s">
        <v>2118</v>
      </c>
      <c r="G989" s="16"/>
      <c r="M989">
        <v>1</v>
      </c>
      <c r="N989">
        <v>23</v>
      </c>
      <c r="O989">
        <v>0</v>
      </c>
      <c r="P989">
        <v>0.85</v>
      </c>
      <c r="Q989">
        <v>19.54</v>
      </c>
      <c r="R989" t="s">
        <v>556</v>
      </c>
      <c r="S989">
        <v>0</v>
      </c>
      <c r="T989" t="s">
        <v>52</v>
      </c>
      <c r="U989">
        <v>0</v>
      </c>
      <c r="V989">
        <v>0</v>
      </c>
      <c r="W989">
        <v>400013</v>
      </c>
      <c r="X989" t="s">
        <v>56</v>
      </c>
      <c r="Y989" t="s">
        <v>57</v>
      </c>
      <c r="AE989">
        <v>0</v>
      </c>
      <c r="AP989" t="s">
        <v>232</v>
      </c>
    </row>
    <row r="990" spans="1:42">
      <c r="A990" s="1" t="s">
        <v>46</v>
      </c>
      <c r="B990" s="1" t="s">
        <v>2119</v>
      </c>
      <c r="C990" s="1" t="s">
        <v>2119</v>
      </c>
      <c r="E990" s="4" t="s">
        <v>2120</v>
      </c>
      <c r="G990" s="16"/>
      <c r="M990">
        <v>1</v>
      </c>
      <c r="N990">
        <v>-3</v>
      </c>
      <c r="O990">
        <v>0</v>
      </c>
      <c r="P990">
        <v>0.75</v>
      </c>
      <c r="Q990">
        <v>-2.25</v>
      </c>
      <c r="R990" t="s">
        <v>241</v>
      </c>
      <c r="S990">
        <v>0</v>
      </c>
      <c r="T990" t="s">
        <v>52</v>
      </c>
      <c r="U990">
        <v>0</v>
      </c>
      <c r="V990">
        <v>0</v>
      </c>
      <c r="W990">
        <v>410302</v>
      </c>
      <c r="AE990">
        <v>0</v>
      </c>
      <c r="AP990" t="s">
        <v>177</v>
      </c>
    </row>
    <row r="991" spans="1:42">
      <c r="A991" s="1" t="s">
        <v>46</v>
      </c>
      <c r="B991" s="1" t="s">
        <v>2121</v>
      </c>
      <c r="C991" s="1" t="s">
        <v>2121</v>
      </c>
      <c r="E991" s="4" t="s">
        <v>2122</v>
      </c>
      <c r="G991" s="16"/>
      <c r="M991">
        <v>1</v>
      </c>
      <c r="N991">
        <v>48</v>
      </c>
      <c r="O991">
        <v>0</v>
      </c>
      <c r="P991">
        <v>1.37</v>
      </c>
      <c r="Q991">
        <v>65.760000000000005</v>
      </c>
      <c r="R991" t="s">
        <v>176</v>
      </c>
      <c r="S991">
        <v>0</v>
      </c>
      <c r="T991" t="s">
        <v>52</v>
      </c>
      <c r="U991">
        <v>0</v>
      </c>
      <c r="V991">
        <v>0</v>
      </c>
      <c r="W991">
        <v>400061</v>
      </c>
      <c r="X991" t="s">
        <v>56</v>
      </c>
      <c r="Y991" t="s">
        <v>57</v>
      </c>
      <c r="AE991">
        <v>0</v>
      </c>
      <c r="AP991" t="s">
        <v>169</v>
      </c>
    </row>
    <row r="992" spans="1:42">
      <c r="A992" s="1" t="s">
        <v>46</v>
      </c>
      <c r="B992" s="1" t="s">
        <v>2123</v>
      </c>
      <c r="C992" s="1" t="s">
        <v>2123</v>
      </c>
      <c r="E992" s="4" t="s">
        <v>2124</v>
      </c>
      <c r="G992" s="16"/>
      <c r="M992">
        <v>1</v>
      </c>
      <c r="N992">
        <v>224</v>
      </c>
      <c r="O992">
        <v>0</v>
      </c>
      <c r="P992">
        <v>1.37</v>
      </c>
      <c r="Q992">
        <v>306.88</v>
      </c>
      <c r="R992" t="s">
        <v>176</v>
      </c>
      <c r="S992">
        <v>0</v>
      </c>
      <c r="T992" t="s">
        <v>52</v>
      </c>
      <c r="U992">
        <v>0</v>
      </c>
      <c r="V992">
        <v>0</v>
      </c>
      <c r="W992">
        <v>400061</v>
      </c>
      <c r="X992" t="s">
        <v>56</v>
      </c>
      <c r="Y992" t="s">
        <v>57</v>
      </c>
      <c r="AE992">
        <v>0</v>
      </c>
      <c r="AP992" t="s">
        <v>169</v>
      </c>
    </row>
    <row r="993" spans="1:42">
      <c r="A993" s="1" t="s">
        <v>46</v>
      </c>
      <c r="B993" s="1" t="s">
        <v>2125</v>
      </c>
      <c r="C993" s="1" t="s">
        <v>2125</v>
      </c>
      <c r="E993" s="4" t="s">
        <v>2126</v>
      </c>
      <c r="G993" s="16"/>
      <c r="M993">
        <v>1</v>
      </c>
      <c r="N993">
        <v>18</v>
      </c>
      <c r="O993">
        <v>0</v>
      </c>
      <c r="P993">
        <v>7</v>
      </c>
      <c r="Q993">
        <v>126</v>
      </c>
      <c r="R993" t="s">
        <v>241</v>
      </c>
      <c r="S993">
        <v>0</v>
      </c>
      <c r="T993" t="s">
        <v>52</v>
      </c>
      <c r="U993">
        <v>0</v>
      </c>
      <c r="V993">
        <v>0</v>
      </c>
      <c r="W993">
        <v>410302</v>
      </c>
      <c r="AE993">
        <v>0</v>
      </c>
      <c r="AP993" t="s">
        <v>177</v>
      </c>
    </row>
    <row r="994" spans="1:42">
      <c r="A994" s="1" t="s">
        <v>46</v>
      </c>
      <c r="B994" s="1" t="s">
        <v>2127</v>
      </c>
      <c r="C994" s="1" t="s">
        <v>2127</v>
      </c>
      <c r="E994" s="4" t="s">
        <v>2128</v>
      </c>
      <c r="G994" s="16"/>
      <c r="M994">
        <v>1</v>
      </c>
      <c r="N994">
        <v>113</v>
      </c>
      <c r="O994">
        <v>0</v>
      </c>
      <c r="P994">
        <v>9.5</v>
      </c>
      <c r="Q994">
        <v>1073.5</v>
      </c>
      <c r="R994" t="s">
        <v>241</v>
      </c>
      <c r="S994">
        <v>0</v>
      </c>
      <c r="T994" t="s">
        <v>52</v>
      </c>
      <c r="U994">
        <v>0</v>
      </c>
      <c r="V994">
        <v>0</v>
      </c>
      <c r="W994">
        <v>400061</v>
      </c>
      <c r="AE994">
        <v>0</v>
      </c>
      <c r="AP994" t="s">
        <v>169</v>
      </c>
    </row>
    <row r="995" spans="1:42">
      <c r="A995" s="1" t="s">
        <v>46</v>
      </c>
      <c r="B995" s="1" t="s">
        <v>2129</v>
      </c>
      <c r="C995" s="1" t="s">
        <v>2129</v>
      </c>
      <c r="E995" s="4" t="s">
        <v>2130</v>
      </c>
      <c r="G995" s="16"/>
      <c r="M995">
        <v>1</v>
      </c>
      <c r="N995">
        <v>1</v>
      </c>
      <c r="O995">
        <v>0</v>
      </c>
      <c r="P995">
        <v>3.1</v>
      </c>
      <c r="Q995">
        <v>3.1</v>
      </c>
      <c r="R995" t="s">
        <v>556</v>
      </c>
      <c r="S995">
        <v>0</v>
      </c>
      <c r="T995" t="s">
        <v>52</v>
      </c>
      <c r="U995">
        <v>0</v>
      </c>
      <c r="V995">
        <v>0</v>
      </c>
      <c r="W995">
        <v>400013</v>
      </c>
      <c r="AE995">
        <v>0</v>
      </c>
      <c r="AP995" t="s">
        <v>232</v>
      </c>
    </row>
    <row r="996" spans="1:42">
      <c r="A996" s="1" t="s">
        <v>46</v>
      </c>
      <c r="B996" s="1" t="s">
        <v>2131</v>
      </c>
      <c r="C996" s="1" t="s">
        <v>2131</v>
      </c>
      <c r="E996" s="4" t="s">
        <v>2132</v>
      </c>
      <c r="G996" s="16"/>
      <c r="M996">
        <v>1</v>
      </c>
      <c r="N996">
        <v>1</v>
      </c>
      <c r="O996">
        <v>0</v>
      </c>
      <c r="P996">
        <v>3.04</v>
      </c>
      <c r="Q996">
        <v>3.04</v>
      </c>
      <c r="R996" t="s">
        <v>556</v>
      </c>
      <c r="S996">
        <v>0</v>
      </c>
      <c r="T996" t="s">
        <v>52</v>
      </c>
      <c r="W996">
        <v>400013</v>
      </c>
      <c r="AE996">
        <v>0</v>
      </c>
      <c r="AP996" t="s">
        <v>232</v>
      </c>
    </row>
    <row r="997" spans="1:42">
      <c r="A997" s="1" t="s">
        <v>46</v>
      </c>
      <c r="B997" s="1" t="s">
        <v>2133</v>
      </c>
      <c r="C997" s="1" t="s">
        <v>2133</v>
      </c>
      <c r="E997" s="4" t="s">
        <v>2134</v>
      </c>
      <c r="G997" s="16"/>
      <c r="M997">
        <v>1</v>
      </c>
      <c r="N997">
        <v>17</v>
      </c>
      <c r="O997">
        <v>0</v>
      </c>
      <c r="P997">
        <v>5.5</v>
      </c>
      <c r="Q997">
        <v>93.5</v>
      </c>
      <c r="R997" t="s">
        <v>241</v>
      </c>
      <c r="S997">
        <v>0</v>
      </c>
      <c r="T997" t="s">
        <v>52</v>
      </c>
      <c r="U997">
        <v>0</v>
      </c>
      <c r="V997">
        <v>0</v>
      </c>
      <c r="W997">
        <v>410302</v>
      </c>
      <c r="AE997">
        <v>0</v>
      </c>
      <c r="AP997" t="s">
        <v>177</v>
      </c>
    </row>
    <row r="998" spans="1:42">
      <c r="A998" s="1" t="s">
        <v>46</v>
      </c>
      <c r="B998" s="1" t="s">
        <v>2135</v>
      </c>
      <c r="C998" s="1" t="s">
        <v>2135</v>
      </c>
      <c r="E998" s="4" t="s">
        <v>2136</v>
      </c>
      <c r="G998" s="16">
        <v>15</v>
      </c>
      <c r="M998">
        <v>1</v>
      </c>
      <c r="N998">
        <v>-6</v>
      </c>
      <c r="O998">
        <v>0</v>
      </c>
      <c r="P998">
        <v>7</v>
      </c>
      <c r="Q998">
        <v>-42</v>
      </c>
      <c r="R998" t="s">
        <v>241</v>
      </c>
      <c r="S998">
        <v>0</v>
      </c>
      <c r="T998" t="s">
        <v>52</v>
      </c>
      <c r="U998">
        <v>0</v>
      </c>
      <c r="V998">
        <v>0</v>
      </c>
      <c r="W998">
        <v>410302</v>
      </c>
      <c r="AE998">
        <v>0</v>
      </c>
      <c r="AP998" t="s">
        <v>177</v>
      </c>
    </row>
    <row r="999" spans="1:42">
      <c r="A999" s="1" t="s">
        <v>46</v>
      </c>
      <c r="B999" s="1" t="s">
        <v>2137</v>
      </c>
      <c r="C999" s="1" t="s">
        <v>2137</v>
      </c>
      <c r="E999" s="4" t="s">
        <v>2138</v>
      </c>
      <c r="G999" s="16">
        <v>7</v>
      </c>
      <c r="I999">
        <v>25</v>
      </c>
      <c r="M999">
        <v>1</v>
      </c>
      <c r="N999">
        <v>1</v>
      </c>
      <c r="O999">
        <v>0</v>
      </c>
      <c r="P999">
        <v>19.440000000000001</v>
      </c>
      <c r="Q999">
        <v>19.440000000000001</v>
      </c>
      <c r="R999" t="s">
        <v>1050</v>
      </c>
      <c r="S999">
        <v>0</v>
      </c>
      <c r="T999" t="s">
        <v>52</v>
      </c>
      <c r="U999">
        <v>0</v>
      </c>
      <c r="V999">
        <v>0</v>
      </c>
      <c r="W999">
        <v>400013</v>
      </c>
      <c r="AE999">
        <v>0</v>
      </c>
      <c r="AH999">
        <v>25</v>
      </c>
      <c r="AP999" t="s">
        <v>232</v>
      </c>
    </row>
    <row r="1000" spans="1:42">
      <c r="A1000" s="1" t="s">
        <v>46</v>
      </c>
      <c r="B1000" s="1" t="s">
        <v>2139</v>
      </c>
      <c r="C1000" s="1" t="s">
        <v>2139</v>
      </c>
      <c r="E1000" s="4" t="s">
        <v>2140</v>
      </c>
      <c r="G1000" s="16">
        <v>6</v>
      </c>
      <c r="M1000">
        <v>1</v>
      </c>
      <c r="N1000">
        <v>2</v>
      </c>
      <c r="O1000">
        <v>0</v>
      </c>
      <c r="P1000">
        <v>1.76</v>
      </c>
      <c r="Q1000">
        <v>3.53</v>
      </c>
      <c r="R1000" t="s">
        <v>556</v>
      </c>
      <c r="S1000">
        <v>0</v>
      </c>
      <c r="T1000" t="s">
        <v>52</v>
      </c>
      <c r="W1000">
        <v>400013</v>
      </c>
      <c r="AE1000">
        <v>0</v>
      </c>
      <c r="AP1000" t="s">
        <v>232</v>
      </c>
    </row>
    <row r="1001" spans="1:42">
      <c r="A1001" s="1" t="s">
        <v>46</v>
      </c>
      <c r="B1001" s="1" t="s">
        <v>2141</v>
      </c>
      <c r="C1001" s="1" t="s">
        <v>2141</v>
      </c>
      <c r="E1001" s="4" t="s">
        <v>2142</v>
      </c>
      <c r="G1001" s="16">
        <v>14</v>
      </c>
      <c r="M1001">
        <v>1</v>
      </c>
      <c r="N1001">
        <v>55</v>
      </c>
      <c r="O1001">
        <v>0</v>
      </c>
      <c r="P1001">
        <v>1.62</v>
      </c>
      <c r="Q1001">
        <v>89</v>
      </c>
      <c r="R1001" t="s">
        <v>556</v>
      </c>
      <c r="S1001">
        <v>0</v>
      </c>
      <c r="T1001" t="s">
        <v>52</v>
      </c>
      <c r="U1001">
        <v>0</v>
      </c>
      <c r="V1001">
        <v>0</v>
      </c>
      <c r="W1001">
        <v>400013</v>
      </c>
      <c r="X1001" t="s">
        <v>56</v>
      </c>
      <c r="Y1001" t="s">
        <v>57</v>
      </c>
      <c r="AE1001">
        <v>0</v>
      </c>
      <c r="AP1001" t="s">
        <v>232</v>
      </c>
    </row>
    <row r="1002" spans="1:42">
      <c r="A1002" s="1" t="s">
        <v>46</v>
      </c>
      <c r="B1002" s="1" t="s">
        <v>2143</v>
      </c>
      <c r="C1002" s="1" t="s">
        <v>2143</v>
      </c>
      <c r="E1002" s="4" t="s">
        <v>2144</v>
      </c>
      <c r="G1002" s="16">
        <v>18</v>
      </c>
      <c r="M1002">
        <v>1</v>
      </c>
      <c r="N1002">
        <v>-7</v>
      </c>
      <c r="O1002">
        <v>0</v>
      </c>
      <c r="R1002" t="s">
        <v>579</v>
      </c>
      <c r="T1002" t="s">
        <v>52</v>
      </c>
      <c r="AE1002">
        <v>0</v>
      </c>
    </row>
    <row r="1003" spans="1:42">
      <c r="A1003" s="1" t="s">
        <v>46</v>
      </c>
      <c r="B1003" s="1" t="s">
        <v>2145</v>
      </c>
      <c r="C1003" s="1" t="s">
        <v>2145</v>
      </c>
      <c r="E1003" s="4" t="s">
        <v>2146</v>
      </c>
      <c r="G1003" s="16"/>
      <c r="M1003">
        <v>1</v>
      </c>
      <c r="N1003">
        <v>-4</v>
      </c>
      <c r="O1003">
        <v>0</v>
      </c>
      <c r="P1003">
        <v>0.48</v>
      </c>
      <c r="Q1003">
        <v>-1.9</v>
      </c>
      <c r="R1003" t="s">
        <v>241</v>
      </c>
      <c r="S1003">
        <v>0</v>
      </c>
      <c r="T1003" t="s">
        <v>52</v>
      </c>
      <c r="U1003">
        <v>0</v>
      </c>
      <c r="V1003">
        <v>0</v>
      </c>
      <c r="W1003">
        <v>400112</v>
      </c>
      <c r="AE1003">
        <v>0</v>
      </c>
      <c r="AP1003" t="s">
        <v>220</v>
      </c>
    </row>
    <row r="1004" spans="1:42">
      <c r="A1004" s="1" t="s">
        <v>46</v>
      </c>
      <c r="B1004" s="1" t="s">
        <v>2147</v>
      </c>
      <c r="C1004" s="1" t="s">
        <v>2147</v>
      </c>
      <c r="E1004" s="4" t="s">
        <v>2148</v>
      </c>
      <c r="G1004" s="16">
        <v>1.5</v>
      </c>
      <c r="M1004">
        <v>1</v>
      </c>
      <c r="N1004">
        <v>36</v>
      </c>
      <c r="O1004">
        <v>0</v>
      </c>
      <c r="P1004">
        <v>1</v>
      </c>
      <c r="Q1004">
        <v>36</v>
      </c>
      <c r="R1004" t="s">
        <v>241</v>
      </c>
      <c r="S1004">
        <v>0</v>
      </c>
      <c r="T1004" t="s">
        <v>52</v>
      </c>
      <c r="U1004">
        <v>0</v>
      </c>
      <c r="V1004">
        <v>0</v>
      </c>
      <c r="W1004">
        <v>410302</v>
      </c>
      <c r="AE1004">
        <v>0</v>
      </c>
      <c r="AP1004" t="s">
        <v>177</v>
      </c>
    </row>
    <row r="1005" spans="1:42">
      <c r="A1005" s="1" t="s">
        <v>46</v>
      </c>
      <c r="B1005" s="1" t="s">
        <v>2149</v>
      </c>
      <c r="C1005" s="1" t="s">
        <v>2149</v>
      </c>
      <c r="E1005" s="4" t="s">
        <v>2150</v>
      </c>
      <c r="G1005" s="16">
        <v>1.5</v>
      </c>
      <c r="M1005">
        <v>1</v>
      </c>
      <c r="N1005">
        <v>9</v>
      </c>
      <c r="O1005">
        <v>0</v>
      </c>
      <c r="P1005">
        <v>0.59</v>
      </c>
      <c r="Q1005">
        <v>5.27</v>
      </c>
      <c r="R1005" t="s">
        <v>556</v>
      </c>
      <c r="S1005">
        <v>0</v>
      </c>
      <c r="T1005" t="s">
        <v>52</v>
      </c>
      <c r="U1005">
        <v>0</v>
      </c>
      <c r="V1005">
        <v>0</v>
      </c>
      <c r="W1005">
        <v>400013</v>
      </c>
      <c r="AE1005">
        <v>0</v>
      </c>
      <c r="AP1005" t="s">
        <v>232</v>
      </c>
    </row>
    <row r="1006" spans="1:42">
      <c r="A1006" s="1" t="s">
        <v>46</v>
      </c>
      <c r="B1006" s="1" t="s">
        <v>2151</v>
      </c>
      <c r="C1006" s="1" t="s">
        <v>2151</v>
      </c>
      <c r="E1006" s="4" t="s">
        <v>2152</v>
      </c>
      <c r="G1006" s="16">
        <v>3.5</v>
      </c>
      <c r="M1006">
        <v>1</v>
      </c>
      <c r="N1006">
        <v>10</v>
      </c>
      <c r="O1006">
        <v>0</v>
      </c>
      <c r="P1006">
        <v>0.55000000000000004</v>
      </c>
      <c r="Q1006">
        <v>5.5</v>
      </c>
      <c r="R1006" t="s">
        <v>241</v>
      </c>
      <c r="S1006">
        <v>0</v>
      </c>
      <c r="T1006" t="s">
        <v>52</v>
      </c>
      <c r="U1006">
        <v>0</v>
      </c>
      <c r="V1006">
        <v>0</v>
      </c>
      <c r="W1006">
        <v>400061</v>
      </c>
      <c r="AE1006">
        <v>0</v>
      </c>
      <c r="AP1006" t="s">
        <v>169</v>
      </c>
    </row>
    <row r="1007" spans="1:42">
      <c r="A1007" s="1" t="s">
        <v>46</v>
      </c>
      <c r="B1007" s="1" t="s">
        <v>2153</v>
      </c>
      <c r="C1007" s="1" t="s">
        <v>2153</v>
      </c>
      <c r="E1007" s="4" t="s">
        <v>2154</v>
      </c>
      <c r="G1007" s="16"/>
      <c r="M1007">
        <v>1</v>
      </c>
      <c r="N1007">
        <v>118</v>
      </c>
      <c r="O1007">
        <v>0</v>
      </c>
      <c r="P1007">
        <v>1</v>
      </c>
      <c r="Q1007">
        <v>118</v>
      </c>
      <c r="R1007" t="s">
        <v>241</v>
      </c>
      <c r="S1007">
        <v>0</v>
      </c>
      <c r="T1007" t="s">
        <v>52</v>
      </c>
      <c r="U1007">
        <v>0</v>
      </c>
      <c r="V1007">
        <v>0</v>
      </c>
      <c r="W1007">
        <v>410302</v>
      </c>
      <c r="AE1007">
        <v>0</v>
      </c>
      <c r="AP1007" t="s">
        <v>177</v>
      </c>
    </row>
    <row r="1008" spans="1:42">
      <c r="A1008" s="1" t="s">
        <v>46</v>
      </c>
      <c r="B1008" s="1" t="s">
        <v>2155</v>
      </c>
      <c r="C1008" s="1" t="s">
        <v>2155</v>
      </c>
      <c r="E1008" s="4" t="s">
        <v>2156</v>
      </c>
      <c r="G1008" s="16"/>
      <c r="M1008">
        <v>1</v>
      </c>
      <c r="N1008">
        <v>22</v>
      </c>
      <c r="O1008">
        <v>0</v>
      </c>
      <c r="P1008">
        <v>0.56999999999999995</v>
      </c>
      <c r="Q1008">
        <v>12.63</v>
      </c>
      <c r="R1008" t="s">
        <v>556</v>
      </c>
      <c r="S1008">
        <v>0</v>
      </c>
      <c r="T1008" t="s">
        <v>52</v>
      </c>
      <c r="U1008">
        <v>0</v>
      </c>
      <c r="V1008">
        <v>0</v>
      </c>
      <c r="W1008">
        <v>400013</v>
      </c>
      <c r="AE1008">
        <v>0</v>
      </c>
      <c r="AP1008" t="s">
        <v>232</v>
      </c>
    </row>
    <row r="1009" spans="1:42">
      <c r="A1009" s="1" t="s">
        <v>46</v>
      </c>
      <c r="B1009" s="1" t="s">
        <v>2157</v>
      </c>
      <c r="C1009" s="1" t="s">
        <v>2157</v>
      </c>
      <c r="E1009" s="4" t="s">
        <v>2158</v>
      </c>
      <c r="G1009" s="16"/>
      <c r="M1009">
        <v>1</v>
      </c>
      <c r="N1009">
        <v>-81</v>
      </c>
      <c r="O1009">
        <v>0</v>
      </c>
      <c r="P1009">
        <v>0.59</v>
      </c>
      <c r="Q1009">
        <v>-48.09</v>
      </c>
      <c r="R1009" t="s">
        <v>241</v>
      </c>
      <c r="S1009">
        <v>0</v>
      </c>
      <c r="T1009" t="s">
        <v>52</v>
      </c>
      <c r="U1009">
        <v>0</v>
      </c>
      <c r="V1009">
        <v>0</v>
      </c>
      <c r="W1009">
        <v>400112</v>
      </c>
      <c r="AE1009">
        <v>0</v>
      </c>
      <c r="AP1009" t="s">
        <v>220</v>
      </c>
    </row>
    <row r="1010" spans="1:42">
      <c r="A1010" s="1" t="s">
        <v>46</v>
      </c>
      <c r="B1010" s="1" t="s">
        <v>2159</v>
      </c>
      <c r="C1010" s="1" t="s">
        <v>2159</v>
      </c>
      <c r="E1010" s="4" t="s">
        <v>2160</v>
      </c>
      <c r="G1010" s="16">
        <v>9</v>
      </c>
      <c r="I1010">
        <v>2.92</v>
      </c>
      <c r="M1010">
        <v>1</v>
      </c>
      <c r="N1010">
        <v>-1</v>
      </c>
      <c r="O1010">
        <v>0</v>
      </c>
      <c r="P1010">
        <v>1.46</v>
      </c>
      <c r="Q1010">
        <v>-1.46</v>
      </c>
      <c r="R1010" t="s">
        <v>1050</v>
      </c>
      <c r="S1010">
        <v>0</v>
      </c>
      <c r="T1010" t="s">
        <v>52</v>
      </c>
      <c r="U1010">
        <v>0</v>
      </c>
      <c r="V1010">
        <v>0</v>
      </c>
      <c r="W1010">
        <v>400078</v>
      </c>
      <c r="AE1010">
        <v>0</v>
      </c>
      <c r="AH1010">
        <v>2.92</v>
      </c>
      <c r="AP1010" t="s">
        <v>1342</v>
      </c>
    </row>
    <row r="1011" spans="1:42">
      <c r="A1011" s="1" t="s">
        <v>46</v>
      </c>
      <c r="B1011" s="1" t="s">
        <v>2161</v>
      </c>
      <c r="C1011" s="1" t="s">
        <v>2161</v>
      </c>
      <c r="E1011" s="4" t="s">
        <v>2162</v>
      </c>
      <c r="G1011" s="16">
        <v>10</v>
      </c>
      <c r="M1011">
        <v>1</v>
      </c>
      <c r="N1011">
        <v>5</v>
      </c>
      <c r="O1011">
        <v>0</v>
      </c>
      <c r="P1011">
        <v>1</v>
      </c>
      <c r="Q1011">
        <v>5</v>
      </c>
      <c r="R1011" t="s">
        <v>241</v>
      </c>
      <c r="S1011">
        <v>0</v>
      </c>
      <c r="T1011" t="s">
        <v>52</v>
      </c>
      <c r="U1011">
        <v>0</v>
      </c>
      <c r="V1011">
        <v>0</v>
      </c>
      <c r="W1011">
        <v>410302</v>
      </c>
      <c r="AE1011">
        <v>0</v>
      </c>
      <c r="AP1011" t="s">
        <v>177</v>
      </c>
    </row>
    <row r="1012" spans="1:42">
      <c r="A1012" s="1" t="s">
        <v>46</v>
      </c>
      <c r="B1012" s="1" t="s">
        <v>2163</v>
      </c>
      <c r="C1012" s="1" t="s">
        <v>2163</v>
      </c>
      <c r="E1012" s="4" t="s">
        <v>2164</v>
      </c>
      <c r="G1012" s="16">
        <v>10</v>
      </c>
      <c r="M1012">
        <v>1</v>
      </c>
      <c r="N1012">
        <v>24</v>
      </c>
      <c r="O1012">
        <v>0</v>
      </c>
      <c r="P1012">
        <v>0.68</v>
      </c>
      <c r="Q1012">
        <v>16.32</v>
      </c>
      <c r="R1012" t="s">
        <v>241</v>
      </c>
      <c r="S1012">
        <v>0</v>
      </c>
      <c r="T1012" t="s">
        <v>52</v>
      </c>
      <c r="U1012">
        <v>0</v>
      </c>
      <c r="V1012">
        <v>0</v>
      </c>
      <c r="W1012">
        <v>410302</v>
      </c>
      <c r="AE1012">
        <v>0</v>
      </c>
      <c r="AP1012" t="s">
        <v>177</v>
      </c>
    </row>
    <row r="1013" spans="1:42">
      <c r="A1013" s="1" t="s">
        <v>46</v>
      </c>
      <c r="B1013" s="1" t="s">
        <v>2165</v>
      </c>
      <c r="C1013" s="1" t="s">
        <v>2165</v>
      </c>
      <c r="E1013" s="4" t="s">
        <v>2166</v>
      </c>
      <c r="G1013" s="16">
        <v>10</v>
      </c>
      <c r="M1013">
        <v>1</v>
      </c>
      <c r="N1013">
        <v>9</v>
      </c>
      <c r="O1013">
        <v>0</v>
      </c>
      <c r="P1013">
        <v>1</v>
      </c>
      <c r="Q1013">
        <v>9</v>
      </c>
      <c r="R1013" t="s">
        <v>241</v>
      </c>
      <c r="S1013">
        <v>0</v>
      </c>
      <c r="T1013" t="s">
        <v>52</v>
      </c>
      <c r="U1013">
        <v>0</v>
      </c>
      <c r="V1013">
        <v>0</v>
      </c>
      <c r="W1013">
        <v>400061</v>
      </c>
      <c r="AE1013">
        <v>0</v>
      </c>
      <c r="AP1013" t="s">
        <v>169</v>
      </c>
    </row>
    <row r="1014" spans="1:42">
      <c r="A1014" s="1" t="s">
        <v>46</v>
      </c>
      <c r="B1014" s="1" t="s">
        <v>2167</v>
      </c>
      <c r="C1014" s="1" t="s">
        <v>2167</v>
      </c>
      <c r="E1014" s="4" t="s">
        <v>2168</v>
      </c>
      <c r="G1014" s="16">
        <v>10</v>
      </c>
      <c r="M1014">
        <v>1</v>
      </c>
      <c r="N1014">
        <v>10</v>
      </c>
      <c r="O1014">
        <v>0</v>
      </c>
      <c r="P1014">
        <v>18</v>
      </c>
      <c r="Q1014">
        <v>180</v>
      </c>
      <c r="R1014">
        <v>0</v>
      </c>
      <c r="S1014">
        <v>0</v>
      </c>
      <c r="T1014" t="s">
        <v>52</v>
      </c>
      <c r="U1014">
        <v>0</v>
      </c>
      <c r="V1014">
        <v>0</v>
      </c>
      <c r="W1014">
        <v>400013</v>
      </c>
      <c r="AE1014">
        <v>0</v>
      </c>
      <c r="AP1014" t="s">
        <v>232</v>
      </c>
    </row>
    <row r="1015" spans="1:42">
      <c r="A1015" s="1" t="s">
        <v>46</v>
      </c>
      <c r="B1015" s="1" t="s">
        <v>2169</v>
      </c>
      <c r="C1015" s="1" t="s">
        <v>2169</v>
      </c>
      <c r="E1015" s="4" t="s">
        <v>2170</v>
      </c>
      <c r="G1015" s="16">
        <v>13</v>
      </c>
      <c r="M1015">
        <v>1</v>
      </c>
      <c r="N1015">
        <v>8</v>
      </c>
      <c r="O1015">
        <v>0</v>
      </c>
      <c r="P1015">
        <v>18.75</v>
      </c>
      <c r="Q1015">
        <v>150</v>
      </c>
      <c r="R1015">
        <v>0</v>
      </c>
      <c r="S1015">
        <v>0</v>
      </c>
      <c r="T1015" t="s">
        <v>52</v>
      </c>
      <c r="W1015">
        <v>400128</v>
      </c>
      <c r="AE1015">
        <v>0</v>
      </c>
      <c r="AP1015" t="s">
        <v>1180</v>
      </c>
    </row>
    <row r="1016" spans="1:42">
      <c r="A1016" s="1" t="s">
        <v>46</v>
      </c>
      <c r="B1016" s="1" t="s">
        <v>2171</v>
      </c>
      <c r="C1016" s="1" t="s">
        <v>2171</v>
      </c>
      <c r="E1016" s="4" t="s">
        <v>2172</v>
      </c>
      <c r="G1016" s="16">
        <v>15</v>
      </c>
      <c r="M1016">
        <v>1</v>
      </c>
      <c r="N1016">
        <v>28</v>
      </c>
      <c r="O1016">
        <v>0</v>
      </c>
      <c r="P1016">
        <v>12</v>
      </c>
      <c r="Q1016">
        <v>336</v>
      </c>
      <c r="R1016">
        <v>0</v>
      </c>
      <c r="S1016">
        <v>0</v>
      </c>
      <c r="T1016" t="s">
        <v>52</v>
      </c>
      <c r="U1016">
        <v>0</v>
      </c>
      <c r="V1016">
        <v>0</v>
      </c>
      <c r="W1016">
        <v>400002</v>
      </c>
      <c r="AE1016">
        <v>0</v>
      </c>
      <c r="AP1016" t="s">
        <v>116</v>
      </c>
    </row>
    <row r="1017" spans="1:42">
      <c r="A1017" s="1" t="s">
        <v>46</v>
      </c>
      <c r="B1017" s="1" t="s">
        <v>2173</v>
      </c>
      <c r="C1017" s="1" t="s">
        <v>2173</v>
      </c>
      <c r="E1017" s="4" t="s">
        <v>2174</v>
      </c>
      <c r="G1017" s="16">
        <v>9</v>
      </c>
      <c r="M1017">
        <v>1</v>
      </c>
      <c r="N1017">
        <v>4</v>
      </c>
      <c r="O1017">
        <v>0</v>
      </c>
      <c r="P1017">
        <v>11.5</v>
      </c>
      <c r="Q1017">
        <v>46</v>
      </c>
      <c r="R1017">
        <v>0</v>
      </c>
      <c r="S1017">
        <v>0</v>
      </c>
      <c r="T1017" t="s">
        <v>52</v>
      </c>
      <c r="W1017">
        <v>400045</v>
      </c>
      <c r="AE1017">
        <v>0</v>
      </c>
      <c r="AP1017" t="s">
        <v>217</v>
      </c>
    </row>
    <row r="1018" spans="1:42">
      <c r="A1018" s="1" t="s">
        <v>46</v>
      </c>
      <c r="B1018" s="1" t="s">
        <v>2175</v>
      </c>
      <c r="C1018" s="1" t="s">
        <v>2175</v>
      </c>
      <c r="E1018" s="4" t="s">
        <v>2176</v>
      </c>
      <c r="G1018" s="16">
        <v>8</v>
      </c>
      <c r="M1018">
        <v>1</v>
      </c>
      <c r="N1018">
        <v>36</v>
      </c>
      <c r="O1018">
        <v>0</v>
      </c>
      <c r="P1018">
        <v>3.25</v>
      </c>
      <c r="Q1018">
        <v>117</v>
      </c>
      <c r="R1018" t="s">
        <v>241</v>
      </c>
      <c r="S1018">
        <v>0</v>
      </c>
      <c r="T1018" t="s">
        <v>209</v>
      </c>
      <c r="U1018">
        <v>0</v>
      </c>
      <c r="V1018">
        <v>0</v>
      </c>
      <c r="W1018">
        <v>400061</v>
      </c>
      <c r="X1018" t="s">
        <v>56</v>
      </c>
      <c r="Y1018" t="s">
        <v>57</v>
      </c>
      <c r="AE1018">
        <v>0</v>
      </c>
      <c r="AP1018" t="s">
        <v>169</v>
      </c>
    </row>
    <row r="1019" spans="1:42">
      <c r="A1019" s="1" t="s">
        <v>46</v>
      </c>
      <c r="B1019" s="1" t="s">
        <v>2177</v>
      </c>
      <c r="C1019" s="1" t="s">
        <v>2177</v>
      </c>
      <c r="E1019" s="4" t="s">
        <v>2178</v>
      </c>
      <c r="G1019" s="16">
        <v>9</v>
      </c>
      <c r="I1019">
        <v>126.5</v>
      </c>
      <c r="M1019">
        <v>1</v>
      </c>
      <c r="N1019">
        <v>8</v>
      </c>
      <c r="O1019">
        <v>0</v>
      </c>
      <c r="P1019">
        <v>130.76</v>
      </c>
      <c r="Q1019">
        <v>1046.06</v>
      </c>
      <c r="R1019" t="s">
        <v>574</v>
      </c>
      <c r="S1019">
        <v>0</v>
      </c>
      <c r="T1019" t="s">
        <v>52</v>
      </c>
      <c r="U1019">
        <v>0</v>
      </c>
      <c r="V1019">
        <v>0</v>
      </c>
      <c r="W1019">
        <v>400013</v>
      </c>
      <c r="X1019" t="s">
        <v>56</v>
      </c>
      <c r="Y1019" t="s">
        <v>57</v>
      </c>
      <c r="AE1019">
        <v>0</v>
      </c>
      <c r="AH1019">
        <v>126.5</v>
      </c>
      <c r="AP1019" t="s">
        <v>232</v>
      </c>
    </row>
    <row r="1020" spans="1:42">
      <c r="A1020" s="1" t="s">
        <v>46</v>
      </c>
      <c r="B1020" s="1" t="s">
        <v>2179</v>
      </c>
      <c r="C1020" s="1" t="s">
        <v>2179</v>
      </c>
      <c r="E1020" s="4" t="s">
        <v>2180</v>
      </c>
      <c r="G1020" s="16">
        <v>9</v>
      </c>
      <c r="M1020">
        <v>1</v>
      </c>
      <c r="N1020">
        <v>3</v>
      </c>
      <c r="O1020">
        <v>0</v>
      </c>
      <c r="P1020">
        <v>46</v>
      </c>
      <c r="Q1020">
        <v>138</v>
      </c>
      <c r="R1020">
        <v>0</v>
      </c>
      <c r="S1020">
        <v>0</v>
      </c>
      <c r="T1020" t="s">
        <v>52</v>
      </c>
      <c r="U1020">
        <v>0</v>
      </c>
      <c r="V1020">
        <v>0</v>
      </c>
      <c r="W1020">
        <v>400011</v>
      </c>
      <c r="AE1020">
        <v>0</v>
      </c>
      <c r="AP1020" t="s">
        <v>617</v>
      </c>
    </row>
    <row r="1021" spans="1:42">
      <c r="A1021" s="1" t="s">
        <v>46</v>
      </c>
      <c r="B1021" s="1" t="s">
        <v>2181</v>
      </c>
      <c r="C1021" s="1" t="s">
        <v>2181</v>
      </c>
      <c r="E1021" s="4" t="s">
        <v>2182</v>
      </c>
      <c r="G1021" s="16">
        <v>9</v>
      </c>
      <c r="M1021">
        <v>1</v>
      </c>
      <c r="N1021">
        <v>-2</v>
      </c>
      <c r="O1021">
        <v>0</v>
      </c>
      <c r="P1021">
        <v>79</v>
      </c>
      <c r="Q1021">
        <v>-158</v>
      </c>
      <c r="R1021" t="s">
        <v>589</v>
      </c>
      <c r="S1021">
        <v>0</v>
      </c>
      <c r="T1021" t="s">
        <v>52</v>
      </c>
      <c r="U1021">
        <v>0</v>
      </c>
      <c r="V1021">
        <v>0</v>
      </c>
      <c r="W1021">
        <v>400011</v>
      </c>
      <c r="AE1021">
        <v>0</v>
      </c>
      <c r="AP1021" t="s">
        <v>617</v>
      </c>
    </row>
    <row r="1022" spans="1:42">
      <c r="A1022" s="1" t="s">
        <v>46</v>
      </c>
      <c r="B1022" s="1" t="s">
        <v>2183</v>
      </c>
      <c r="C1022" s="1" t="s">
        <v>2183</v>
      </c>
      <c r="E1022" s="4" t="s">
        <v>2184</v>
      </c>
      <c r="G1022" s="16">
        <v>9</v>
      </c>
      <c r="I1022">
        <v>65</v>
      </c>
      <c r="M1022">
        <v>1</v>
      </c>
      <c r="N1022">
        <v>84</v>
      </c>
      <c r="O1022">
        <v>0</v>
      </c>
      <c r="P1022">
        <v>48</v>
      </c>
      <c r="Q1022">
        <v>4032</v>
      </c>
      <c r="R1022" t="s">
        <v>589</v>
      </c>
      <c r="S1022">
        <v>0</v>
      </c>
      <c r="T1022" t="s">
        <v>52</v>
      </c>
      <c r="U1022">
        <v>0</v>
      </c>
      <c r="V1022">
        <v>0</v>
      </c>
      <c r="W1022">
        <v>400013</v>
      </c>
      <c r="AE1022">
        <v>0</v>
      </c>
      <c r="AH1022">
        <v>65</v>
      </c>
      <c r="AP1022" t="s">
        <v>232</v>
      </c>
    </row>
    <row r="1023" spans="1:42">
      <c r="A1023" s="1" t="s">
        <v>46</v>
      </c>
      <c r="B1023" s="1" t="s">
        <v>2185</v>
      </c>
      <c r="C1023" s="1" t="s">
        <v>2185</v>
      </c>
      <c r="E1023" s="4" t="s">
        <v>2186</v>
      </c>
      <c r="G1023" s="16"/>
      <c r="I1023">
        <v>84.7</v>
      </c>
      <c r="M1023">
        <v>1</v>
      </c>
      <c r="N1023">
        <v>35</v>
      </c>
      <c r="O1023">
        <v>0</v>
      </c>
      <c r="P1023">
        <v>71.709999999999994</v>
      </c>
      <c r="Q1023">
        <v>2509.71</v>
      </c>
      <c r="R1023" t="s">
        <v>574</v>
      </c>
      <c r="S1023">
        <v>0</v>
      </c>
      <c r="T1023" t="s">
        <v>52</v>
      </c>
      <c r="U1023">
        <v>0</v>
      </c>
      <c r="V1023">
        <v>0</v>
      </c>
      <c r="W1023">
        <v>400013</v>
      </c>
      <c r="X1023" t="s">
        <v>56</v>
      </c>
      <c r="Y1023" t="s">
        <v>57</v>
      </c>
      <c r="AE1023">
        <v>0</v>
      </c>
      <c r="AH1023">
        <v>84.7</v>
      </c>
      <c r="AP1023" t="s">
        <v>232</v>
      </c>
    </row>
    <row r="1024" spans="1:42">
      <c r="A1024" s="1" t="s">
        <v>46</v>
      </c>
      <c r="B1024" s="1" t="s">
        <v>2187</v>
      </c>
      <c r="C1024" s="1" t="s">
        <v>2187</v>
      </c>
      <c r="E1024" s="4" t="s">
        <v>2188</v>
      </c>
      <c r="G1024" s="16">
        <v>8</v>
      </c>
      <c r="I1024">
        <v>110</v>
      </c>
      <c r="M1024">
        <v>1</v>
      </c>
      <c r="N1024">
        <v>2</v>
      </c>
      <c r="O1024">
        <v>0</v>
      </c>
      <c r="P1024">
        <v>105.45</v>
      </c>
      <c r="Q1024">
        <v>210.9</v>
      </c>
      <c r="R1024" t="s">
        <v>574</v>
      </c>
      <c r="S1024">
        <v>0</v>
      </c>
      <c r="T1024" t="s">
        <v>52</v>
      </c>
      <c r="U1024">
        <v>0</v>
      </c>
      <c r="V1024">
        <v>0</v>
      </c>
      <c r="W1024">
        <v>400013</v>
      </c>
      <c r="AE1024">
        <v>0</v>
      </c>
      <c r="AH1024">
        <v>110</v>
      </c>
      <c r="AP1024" t="s">
        <v>232</v>
      </c>
    </row>
    <row r="1025" spans="1:42">
      <c r="A1025" s="1" t="s">
        <v>46</v>
      </c>
      <c r="B1025" s="1" t="s">
        <v>2189</v>
      </c>
      <c r="C1025" s="1" t="s">
        <v>2189</v>
      </c>
      <c r="E1025" s="4" t="s">
        <v>2190</v>
      </c>
      <c r="G1025" s="16">
        <v>4</v>
      </c>
      <c r="M1025">
        <v>1</v>
      </c>
      <c r="N1025">
        <v>4</v>
      </c>
      <c r="O1025">
        <v>0</v>
      </c>
      <c r="P1025">
        <v>5.69</v>
      </c>
      <c r="Q1025">
        <v>22.78</v>
      </c>
      <c r="R1025" t="s">
        <v>2191</v>
      </c>
      <c r="S1025">
        <v>0</v>
      </c>
      <c r="T1025" t="s">
        <v>209</v>
      </c>
      <c r="U1025">
        <v>0</v>
      </c>
      <c r="V1025">
        <v>0</v>
      </c>
      <c r="W1025">
        <v>400013</v>
      </c>
      <c r="AE1025">
        <v>0</v>
      </c>
      <c r="AP1025" t="s">
        <v>232</v>
      </c>
    </row>
    <row r="1026" spans="1:42">
      <c r="A1026" s="1" t="s">
        <v>46</v>
      </c>
      <c r="B1026" s="1" t="s">
        <v>2192</v>
      </c>
      <c r="C1026" s="1" t="s">
        <v>2192</v>
      </c>
      <c r="E1026" s="4" t="s">
        <v>2193</v>
      </c>
      <c r="G1026" s="16">
        <v>3</v>
      </c>
      <c r="M1026">
        <v>1</v>
      </c>
      <c r="N1026">
        <v>10</v>
      </c>
      <c r="O1026">
        <v>0</v>
      </c>
      <c r="P1026">
        <v>0.5</v>
      </c>
      <c r="Q1026">
        <v>5</v>
      </c>
      <c r="W1026">
        <v>400017</v>
      </c>
      <c r="AE1026">
        <v>0</v>
      </c>
      <c r="AP1026" t="s">
        <v>49</v>
      </c>
    </row>
    <row r="1027" spans="1:42">
      <c r="A1027" s="1" t="s">
        <v>46</v>
      </c>
      <c r="B1027" s="1" t="s">
        <v>2194</v>
      </c>
      <c r="C1027" s="1" t="s">
        <v>2194</v>
      </c>
      <c r="E1027" s="4" t="s">
        <v>2195</v>
      </c>
      <c r="G1027" s="16">
        <v>5</v>
      </c>
      <c r="M1027">
        <v>1</v>
      </c>
      <c r="N1027">
        <v>-6</v>
      </c>
      <c r="O1027">
        <v>0</v>
      </c>
      <c r="R1027">
        <v>0</v>
      </c>
      <c r="S1027">
        <v>0</v>
      </c>
      <c r="T1027" t="s">
        <v>52</v>
      </c>
      <c r="U1027">
        <v>0</v>
      </c>
      <c r="V1027">
        <v>0</v>
      </c>
      <c r="W1027">
        <v>400013</v>
      </c>
      <c r="AE1027">
        <v>0</v>
      </c>
      <c r="AP1027" t="s">
        <v>232</v>
      </c>
    </row>
    <row r="1028" spans="1:42">
      <c r="A1028" s="1" t="s">
        <v>46</v>
      </c>
      <c r="B1028" s="1" t="s">
        <v>2196</v>
      </c>
      <c r="C1028" s="1" t="s">
        <v>2196</v>
      </c>
      <c r="E1028" s="4" t="s">
        <v>2197</v>
      </c>
      <c r="G1028" s="16">
        <v>8</v>
      </c>
      <c r="M1028">
        <v>1</v>
      </c>
      <c r="N1028">
        <v>3</v>
      </c>
      <c r="O1028">
        <v>0</v>
      </c>
      <c r="P1028">
        <v>38</v>
      </c>
      <c r="Q1028">
        <v>114</v>
      </c>
      <c r="R1028">
        <v>0</v>
      </c>
      <c r="S1028">
        <v>0</v>
      </c>
      <c r="T1028" t="s">
        <v>52</v>
      </c>
      <c r="U1028">
        <v>0</v>
      </c>
      <c r="V1028">
        <v>0</v>
      </c>
      <c r="W1028">
        <v>400002</v>
      </c>
      <c r="AE1028">
        <v>0</v>
      </c>
      <c r="AP1028" t="s">
        <v>116</v>
      </c>
    </row>
    <row r="1029" spans="1:42">
      <c r="A1029" s="1" t="s">
        <v>46</v>
      </c>
      <c r="B1029" s="1" t="s">
        <v>2198</v>
      </c>
      <c r="C1029" s="1" t="s">
        <v>2198</v>
      </c>
      <c r="E1029" s="4" t="s">
        <v>2199</v>
      </c>
      <c r="G1029" s="16"/>
      <c r="M1029">
        <v>1</v>
      </c>
      <c r="N1029">
        <v>93</v>
      </c>
      <c r="O1029">
        <v>0</v>
      </c>
      <c r="P1029">
        <v>1.75</v>
      </c>
      <c r="Q1029">
        <v>162.75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400017</v>
      </c>
      <c r="X1029" t="s">
        <v>56</v>
      </c>
      <c r="Y1029" t="s">
        <v>57</v>
      </c>
      <c r="AE1029">
        <v>0</v>
      </c>
      <c r="AP1029" t="s">
        <v>49</v>
      </c>
    </row>
    <row r="1030" spans="1:42">
      <c r="A1030" s="1" t="s">
        <v>46</v>
      </c>
      <c r="B1030" s="1" t="s">
        <v>2200</v>
      </c>
      <c r="C1030" s="1" t="s">
        <v>2200</v>
      </c>
      <c r="E1030" s="4" t="s">
        <v>2201</v>
      </c>
      <c r="G1030" s="16">
        <v>2.5</v>
      </c>
      <c r="I1030">
        <v>6</v>
      </c>
      <c r="M1030">
        <v>1</v>
      </c>
      <c r="N1030">
        <v>49</v>
      </c>
      <c r="O1030">
        <v>0</v>
      </c>
      <c r="P1030">
        <v>3</v>
      </c>
      <c r="Q1030">
        <v>147</v>
      </c>
      <c r="R1030" t="s">
        <v>172</v>
      </c>
      <c r="S1030">
        <v>0</v>
      </c>
      <c r="T1030" t="s">
        <v>52</v>
      </c>
      <c r="U1030">
        <v>0</v>
      </c>
      <c r="V1030">
        <v>0</v>
      </c>
      <c r="W1030">
        <v>400112</v>
      </c>
      <c r="AE1030">
        <v>0</v>
      </c>
      <c r="AH1030">
        <v>6</v>
      </c>
      <c r="AP1030" t="s">
        <v>220</v>
      </c>
    </row>
    <row r="1031" spans="1:42">
      <c r="A1031" s="1" t="s">
        <v>46</v>
      </c>
      <c r="B1031" s="1" t="s">
        <v>2202</v>
      </c>
      <c r="C1031" s="1" t="s">
        <v>2202</v>
      </c>
      <c r="E1031" s="4" t="s">
        <v>2203</v>
      </c>
      <c r="G1031" s="16">
        <v>2.5</v>
      </c>
      <c r="I1031">
        <v>16</v>
      </c>
      <c r="M1031">
        <v>1</v>
      </c>
      <c r="N1031">
        <v>7</v>
      </c>
      <c r="O1031">
        <v>0</v>
      </c>
      <c r="P1031">
        <v>8.75</v>
      </c>
      <c r="Q1031">
        <v>61.25</v>
      </c>
      <c r="R1031" t="s">
        <v>172</v>
      </c>
      <c r="S1031">
        <v>0</v>
      </c>
      <c r="T1031" t="s">
        <v>52</v>
      </c>
      <c r="U1031">
        <v>0</v>
      </c>
      <c r="V1031">
        <v>0</v>
      </c>
      <c r="W1031">
        <v>400112</v>
      </c>
      <c r="AE1031">
        <v>0</v>
      </c>
      <c r="AH1031">
        <v>16</v>
      </c>
      <c r="AP1031" t="s">
        <v>220</v>
      </c>
    </row>
    <row r="1032" spans="1:42">
      <c r="A1032" s="1" t="s">
        <v>46</v>
      </c>
      <c r="B1032" s="1" t="s">
        <v>2204</v>
      </c>
      <c r="C1032" s="1" t="s">
        <v>2204</v>
      </c>
      <c r="E1032" s="4" t="s">
        <v>2205</v>
      </c>
      <c r="G1032" s="16">
        <v>9</v>
      </c>
      <c r="M1032">
        <v>1</v>
      </c>
      <c r="N1032">
        <v>122</v>
      </c>
      <c r="O1032">
        <v>0</v>
      </c>
      <c r="P1032">
        <v>1.07</v>
      </c>
      <c r="Q1032">
        <v>130.30000000000001</v>
      </c>
      <c r="R1032">
        <v>0</v>
      </c>
      <c r="S1032">
        <v>0</v>
      </c>
      <c r="T1032" t="s">
        <v>17</v>
      </c>
      <c r="U1032">
        <v>0</v>
      </c>
      <c r="V1032">
        <v>0</v>
      </c>
      <c r="W1032">
        <v>400128</v>
      </c>
      <c r="AE1032">
        <v>0</v>
      </c>
      <c r="AP1032" t="s">
        <v>1180</v>
      </c>
    </row>
    <row r="1033" spans="1:42">
      <c r="A1033" s="1" t="s">
        <v>46</v>
      </c>
      <c r="B1033" s="1" t="s">
        <v>2206</v>
      </c>
      <c r="C1033" s="1" t="s">
        <v>2206</v>
      </c>
      <c r="E1033" s="4" t="s">
        <v>2207</v>
      </c>
      <c r="G1033" s="16"/>
      <c r="I1033">
        <v>6</v>
      </c>
      <c r="M1033">
        <v>1</v>
      </c>
      <c r="N1033">
        <v>24</v>
      </c>
      <c r="O1033">
        <v>0</v>
      </c>
      <c r="P1033">
        <v>1.88</v>
      </c>
      <c r="Q1033">
        <v>45</v>
      </c>
      <c r="R1033" t="s">
        <v>172</v>
      </c>
      <c r="S1033">
        <v>0</v>
      </c>
      <c r="T1033" t="s">
        <v>52</v>
      </c>
      <c r="U1033">
        <v>0</v>
      </c>
      <c r="V1033">
        <v>0</v>
      </c>
      <c r="W1033">
        <v>400112</v>
      </c>
      <c r="AE1033">
        <v>0</v>
      </c>
      <c r="AH1033">
        <v>6</v>
      </c>
      <c r="AP1033" t="s">
        <v>220</v>
      </c>
    </row>
    <row r="1034" spans="1:42">
      <c r="A1034" s="1" t="s">
        <v>46</v>
      </c>
      <c r="B1034" s="1" t="s">
        <v>2208</v>
      </c>
      <c r="C1034" s="1" t="s">
        <v>2208</v>
      </c>
      <c r="E1034" s="4" t="s">
        <v>2209</v>
      </c>
      <c r="G1034" s="16"/>
      <c r="I1034">
        <v>6.55</v>
      </c>
      <c r="M1034">
        <v>1</v>
      </c>
      <c r="N1034">
        <v>146.25</v>
      </c>
      <c r="O1034">
        <v>0</v>
      </c>
      <c r="P1034">
        <v>20.7</v>
      </c>
      <c r="Q1034">
        <v>3027.38</v>
      </c>
      <c r="R1034" t="s">
        <v>172</v>
      </c>
      <c r="S1034">
        <v>0</v>
      </c>
      <c r="T1034" t="s">
        <v>209</v>
      </c>
      <c r="U1034">
        <v>0</v>
      </c>
      <c r="V1034">
        <v>0</v>
      </c>
      <c r="W1034">
        <v>400002</v>
      </c>
      <c r="X1034" t="s">
        <v>56</v>
      </c>
      <c r="Y1034" t="s">
        <v>57</v>
      </c>
      <c r="AE1034">
        <v>0</v>
      </c>
      <c r="AH1034">
        <v>6.55</v>
      </c>
      <c r="AP1034" t="s">
        <v>116</v>
      </c>
    </row>
    <row r="1035" spans="1:42">
      <c r="A1035" s="1" t="s">
        <v>46</v>
      </c>
      <c r="B1035" s="1" t="s">
        <v>2210</v>
      </c>
      <c r="C1035" s="1" t="s">
        <v>2210</v>
      </c>
      <c r="E1035" s="4" t="s">
        <v>2211</v>
      </c>
      <c r="G1035" s="16">
        <v>15</v>
      </c>
      <c r="M1035">
        <v>1</v>
      </c>
      <c r="N1035">
        <v>-4</v>
      </c>
      <c r="O1035">
        <v>0</v>
      </c>
      <c r="R1035" t="s">
        <v>212</v>
      </c>
      <c r="T1035" t="s">
        <v>209</v>
      </c>
      <c r="AE1035">
        <v>0</v>
      </c>
    </row>
    <row r="1036" spans="1:42">
      <c r="A1036" s="1" t="s">
        <v>46</v>
      </c>
      <c r="B1036" s="1" t="s">
        <v>2212</v>
      </c>
      <c r="C1036" s="1" t="s">
        <v>2212</v>
      </c>
      <c r="E1036" s="4" t="s">
        <v>2213</v>
      </c>
      <c r="G1036" s="16"/>
      <c r="I1036">
        <v>4.5</v>
      </c>
      <c r="M1036">
        <v>1</v>
      </c>
      <c r="N1036">
        <v>91</v>
      </c>
      <c r="O1036">
        <v>0</v>
      </c>
      <c r="P1036">
        <v>2.5</v>
      </c>
      <c r="Q1036">
        <v>227.5</v>
      </c>
      <c r="R1036" t="s">
        <v>172</v>
      </c>
      <c r="S1036">
        <v>0</v>
      </c>
      <c r="T1036" t="s">
        <v>52</v>
      </c>
      <c r="U1036">
        <v>0</v>
      </c>
      <c r="V1036">
        <v>0</v>
      </c>
      <c r="W1036">
        <v>400112</v>
      </c>
      <c r="AE1036">
        <v>0</v>
      </c>
      <c r="AH1036">
        <v>4.5</v>
      </c>
      <c r="AP1036" t="s">
        <v>220</v>
      </c>
    </row>
    <row r="1037" spans="1:42">
      <c r="A1037" s="1" t="s">
        <v>46</v>
      </c>
      <c r="B1037" s="1" t="s">
        <v>2214</v>
      </c>
      <c r="C1037" s="1" t="s">
        <v>2214</v>
      </c>
      <c r="E1037" s="4" t="s">
        <v>2215</v>
      </c>
      <c r="G1037" s="16"/>
      <c r="I1037">
        <v>4.5</v>
      </c>
      <c r="M1037">
        <v>1</v>
      </c>
      <c r="N1037">
        <v>94</v>
      </c>
      <c r="O1037">
        <v>0</v>
      </c>
      <c r="P1037">
        <v>2.5</v>
      </c>
      <c r="Q1037">
        <v>235</v>
      </c>
      <c r="R1037" t="s">
        <v>172</v>
      </c>
      <c r="S1037">
        <v>0</v>
      </c>
      <c r="T1037" t="s">
        <v>52</v>
      </c>
      <c r="U1037">
        <v>0</v>
      </c>
      <c r="V1037">
        <v>0</v>
      </c>
      <c r="W1037">
        <v>400112</v>
      </c>
      <c r="AE1037">
        <v>0</v>
      </c>
      <c r="AH1037">
        <v>4.5</v>
      </c>
      <c r="AP1037" t="s">
        <v>220</v>
      </c>
    </row>
    <row r="1038" spans="1:42">
      <c r="A1038" s="1" t="s">
        <v>46</v>
      </c>
      <c r="B1038" s="1" t="s">
        <v>2216</v>
      </c>
      <c r="C1038" s="1" t="s">
        <v>2216</v>
      </c>
      <c r="E1038" s="4" t="s">
        <v>2217</v>
      </c>
      <c r="G1038" s="16"/>
      <c r="I1038">
        <v>2</v>
      </c>
      <c r="M1038">
        <v>1</v>
      </c>
      <c r="N1038">
        <v>32</v>
      </c>
      <c r="O1038">
        <v>0</v>
      </c>
      <c r="P1038">
        <v>1.25</v>
      </c>
      <c r="Q1038">
        <v>40</v>
      </c>
      <c r="R1038" t="s">
        <v>172</v>
      </c>
      <c r="S1038">
        <v>0</v>
      </c>
      <c r="T1038" t="s">
        <v>52</v>
      </c>
      <c r="U1038">
        <v>0</v>
      </c>
      <c r="V1038">
        <v>0</v>
      </c>
      <c r="W1038">
        <v>400112</v>
      </c>
      <c r="X1038" t="s">
        <v>56</v>
      </c>
      <c r="Y1038" t="s">
        <v>57</v>
      </c>
      <c r="AE1038">
        <v>0</v>
      </c>
      <c r="AH1038">
        <v>2</v>
      </c>
      <c r="AP1038" t="s">
        <v>220</v>
      </c>
    </row>
    <row r="1039" spans="1:42">
      <c r="A1039" s="1" t="s">
        <v>46</v>
      </c>
      <c r="B1039" s="1" t="s">
        <v>2218</v>
      </c>
      <c r="C1039" s="1" t="s">
        <v>2218</v>
      </c>
      <c r="E1039" s="4" t="s">
        <v>2219</v>
      </c>
      <c r="G1039" s="16"/>
      <c r="I1039">
        <v>2</v>
      </c>
      <c r="M1039">
        <v>1</v>
      </c>
      <c r="N1039">
        <v>-5</v>
      </c>
      <c r="O1039">
        <v>0</v>
      </c>
      <c r="P1039">
        <v>1.05</v>
      </c>
      <c r="Q1039">
        <v>-5.25</v>
      </c>
      <c r="R1039" t="s">
        <v>172</v>
      </c>
      <c r="S1039">
        <v>0</v>
      </c>
      <c r="T1039" t="s">
        <v>52</v>
      </c>
      <c r="U1039">
        <v>0</v>
      </c>
      <c r="V1039">
        <v>0</v>
      </c>
      <c r="W1039">
        <v>400194</v>
      </c>
      <c r="AE1039">
        <v>0</v>
      </c>
      <c r="AH1039">
        <v>2</v>
      </c>
      <c r="AP1039" t="s">
        <v>173</v>
      </c>
    </row>
    <row r="1040" spans="1:42">
      <c r="A1040" s="1" t="s">
        <v>46</v>
      </c>
      <c r="B1040" s="1" t="s">
        <v>2220</v>
      </c>
      <c r="C1040" s="1" t="s">
        <v>2220</v>
      </c>
      <c r="E1040" s="4" t="s">
        <v>2221</v>
      </c>
      <c r="G1040" s="16"/>
      <c r="M1040">
        <v>1</v>
      </c>
      <c r="N1040">
        <v>5</v>
      </c>
      <c r="O1040">
        <v>0</v>
      </c>
      <c r="P1040">
        <v>1.25</v>
      </c>
      <c r="Q1040">
        <v>6.25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400017</v>
      </c>
      <c r="X1040" t="s">
        <v>56</v>
      </c>
      <c r="Y1040" t="s">
        <v>57</v>
      </c>
      <c r="AE1040">
        <v>0</v>
      </c>
      <c r="AP1040" t="s">
        <v>49</v>
      </c>
    </row>
    <row r="1041" spans="1:42">
      <c r="A1041" s="1" t="s">
        <v>46</v>
      </c>
      <c r="B1041" s="1" t="s">
        <v>2222</v>
      </c>
      <c r="C1041" s="1" t="s">
        <v>2222</v>
      </c>
      <c r="E1041" s="4" t="s">
        <v>2223</v>
      </c>
      <c r="G1041" s="16"/>
      <c r="M1041">
        <v>1</v>
      </c>
      <c r="N1041">
        <v>36</v>
      </c>
      <c r="O1041">
        <v>0</v>
      </c>
      <c r="P1041">
        <v>1.04</v>
      </c>
      <c r="Q1041">
        <v>37.35</v>
      </c>
      <c r="W1041">
        <v>400194</v>
      </c>
      <c r="AE1041">
        <v>0</v>
      </c>
      <c r="AP1041" t="s">
        <v>173</v>
      </c>
    </row>
    <row r="1042" spans="1:42">
      <c r="A1042" s="1" t="s">
        <v>46</v>
      </c>
      <c r="B1042" s="1" t="s">
        <v>2224</v>
      </c>
      <c r="C1042" s="1" t="s">
        <v>2224</v>
      </c>
      <c r="E1042" s="4" t="s">
        <v>2225</v>
      </c>
      <c r="G1042" s="16">
        <v>65</v>
      </c>
      <c r="M1042">
        <v>1</v>
      </c>
      <c r="N1042">
        <v>250</v>
      </c>
      <c r="O1042">
        <v>0</v>
      </c>
      <c r="P1042">
        <v>0.02</v>
      </c>
      <c r="Q1042">
        <v>6.25</v>
      </c>
      <c r="W1042">
        <v>400017</v>
      </c>
      <c r="AE1042">
        <v>0</v>
      </c>
      <c r="AP1042" t="s">
        <v>49</v>
      </c>
    </row>
    <row r="1043" spans="1:42">
      <c r="A1043" s="1" t="s">
        <v>46</v>
      </c>
      <c r="B1043" s="1" t="s">
        <v>2226</v>
      </c>
      <c r="C1043" s="1" t="s">
        <v>2226</v>
      </c>
      <c r="E1043" s="4" t="s">
        <v>2227</v>
      </c>
      <c r="G1043" s="16"/>
      <c r="M1043">
        <v>1</v>
      </c>
      <c r="N1043">
        <v>363</v>
      </c>
      <c r="O1043">
        <v>0</v>
      </c>
      <c r="P1043">
        <v>0.02</v>
      </c>
      <c r="Q1043">
        <v>6.17</v>
      </c>
      <c r="R1043">
        <v>0</v>
      </c>
      <c r="S1043">
        <v>0</v>
      </c>
      <c r="T1043" t="s">
        <v>52</v>
      </c>
      <c r="U1043">
        <v>0</v>
      </c>
      <c r="V1043">
        <v>0</v>
      </c>
      <c r="W1043">
        <v>400017</v>
      </c>
      <c r="X1043" t="s">
        <v>56</v>
      </c>
      <c r="Y1043" t="s">
        <v>57</v>
      </c>
      <c r="AE1043">
        <v>0</v>
      </c>
      <c r="AP1043" t="s">
        <v>49</v>
      </c>
    </row>
    <row r="1044" spans="1:42">
      <c r="A1044" s="1" t="s">
        <v>46</v>
      </c>
      <c r="B1044" s="1" t="s">
        <v>2228</v>
      </c>
      <c r="C1044" s="1" t="s">
        <v>2228</v>
      </c>
      <c r="E1044" s="4" t="s">
        <v>2229</v>
      </c>
      <c r="G1044" s="16">
        <v>75</v>
      </c>
      <c r="M1044">
        <v>1</v>
      </c>
      <c r="N1044">
        <v>1000</v>
      </c>
      <c r="O1044">
        <v>0</v>
      </c>
      <c r="P1044">
        <v>0.03</v>
      </c>
      <c r="Q1044">
        <v>30</v>
      </c>
      <c r="W1044">
        <v>400017</v>
      </c>
      <c r="AE1044">
        <v>0</v>
      </c>
      <c r="AP1044" t="s">
        <v>49</v>
      </c>
    </row>
    <row r="1045" spans="1:42">
      <c r="A1045" s="1" t="s">
        <v>46</v>
      </c>
      <c r="B1045" s="1" t="s">
        <v>2230</v>
      </c>
      <c r="C1045" s="1" t="s">
        <v>2230</v>
      </c>
      <c r="E1045" s="4" t="s">
        <v>2231</v>
      </c>
      <c r="G1045" s="16"/>
      <c r="M1045">
        <v>1</v>
      </c>
      <c r="N1045">
        <v>10</v>
      </c>
      <c r="O1045">
        <v>0</v>
      </c>
      <c r="P1045">
        <v>0.05</v>
      </c>
      <c r="Q1045">
        <v>0.5</v>
      </c>
      <c r="W1045">
        <v>400017</v>
      </c>
      <c r="AE1045">
        <v>0</v>
      </c>
      <c r="AP1045" t="s">
        <v>49</v>
      </c>
    </row>
    <row r="1046" spans="1:42">
      <c r="A1046" s="1" t="s">
        <v>46</v>
      </c>
      <c r="B1046" s="1" t="s">
        <v>2232</v>
      </c>
      <c r="C1046" s="1" t="s">
        <v>2232</v>
      </c>
      <c r="E1046" s="4" t="s">
        <v>2233</v>
      </c>
      <c r="G1046" s="16"/>
      <c r="M1046">
        <v>1</v>
      </c>
      <c r="N1046">
        <v>13</v>
      </c>
      <c r="O1046">
        <v>0</v>
      </c>
      <c r="P1046">
        <v>16</v>
      </c>
      <c r="Q1046">
        <v>208</v>
      </c>
      <c r="R1046" t="s">
        <v>589</v>
      </c>
      <c r="S1046">
        <v>0</v>
      </c>
      <c r="T1046" t="s">
        <v>52</v>
      </c>
      <c r="U1046">
        <v>0</v>
      </c>
      <c r="V1046">
        <v>0</v>
      </c>
      <c r="W1046">
        <v>400011</v>
      </c>
      <c r="AE1046">
        <v>0</v>
      </c>
      <c r="AP1046" t="s">
        <v>617</v>
      </c>
    </row>
    <row r="1047" spans="1:42">
      <c r="A1047" s="1" t="s">
        <v>46</v>
      </c>
      <c r="B1047" s="1" t="s">
        <v>2234</v>
      </c>
      <c r="C1047" s="1" t="s">
        <v>2234</v>
      </c>
      <c r="E1047" s="4" t="s">
        <v>2235</v>
      </c>
      <c r="G1047" s="16">
        <v>80</v>
      </c>
      <c r="M1047">
        <v>1</v>
      </c>
      <c r="N1047">
        <v>369</v>
      </c>
      <c r="O1047">
        <v>0</v>
      </c>
      <c r="P1047">
        <v>0.8</v>
      </c>
      <c r="Q1047">
        <v>295.2</v>
      </c>
      <c r="R1047">
        <v>0</v>
      </c>
      <c r="S1047">
        <v>0</v>
      </c>
      <c r="T1047" t="s">
        <v>52</v>
      </c>
      <c r="U1047">
        <v>0</v>
      </c>
      <c r="V1047">
        <v>0</v>
      </c>
      <c r="W1047">
        <v>400033</v>
      </c>
      <c r="X1047" t="s">
        <v>56</v>
      </c>
      <c r="Y1047" t="s">
        <v>57</v>
      </c>
      <c r="AE1047">
        <v>0</v>
      </c>
      <c r="AP1047" t="s">
        <v>126</v>
      </c>
    </row>
    <row r="1048" spans="1:42">
      <c r="A1048" s="1" t="s">
        <v>46</v>
      </c>
      <c r="B1048" s="1" t="s">
        <v>2236</v>
      </c>
      <c r="C1048" s="1" t="s">
        <v>2236</v>
      </c>
      <c r="E1048" s="4" t="s">
        <v>2237</v>
      </c>
      <c r="G1048" s="16">
        <v>115</v>
      </c>
      <c r="M1048">
        <v>1</v>
      </c>
      <c r="N1048">
        <v>2104</v>
      </c>
      <c r="O1048">
        <v>0</v>
      </c>
      <c r="P1048">
        <v>2.52</v>
      </c>
      <c r="Q1048">
        <v>5306.29</v>
      </c>
      <c r="R1048">
        <v>0</v>
      </c>
      <c r="S1048">
        <v>0</v>
      </c>
      <c r="T1048" t="s">
        <v>52</v>
      </c>
      <c r="U1048">
        <v>0</v>
      </c>
      <c r="V1048">
        <v>0</v>
      </c>
      <c r="W1048">
        <v>400214</v>
      </c>
      <c r="X1048" t="s">
        <v>56</v>
      </c>
      <c r="Y1048" t="s">
        <v>57</v>
      </c>
      <c r="AE1048">
        <v>0</v>
      </c>
      <c r="AP1048" t="s">
        <v>689</v>
      </c>
    </row>
    <row r="1049" spans="1:42">
      <c r="A1049" s="1" t="s">
        <v>46</v>
      </c>
      <c r="B1049" s="1" t="s">
        <v>2238</v>
      </c>
      <c r="C1049" s="1" t="s">
        <v>2238</v>
      </c>
      <c r="E1049" s="4" t="s">
        <v>2239</v>
      </c>
      <c r="G1049" s="16"/>
      <c r="M1049">
        <v>1</v>
      </c>
      <c r="N1049">
        <v>5</v>
      </c>
      <c r="O1049">
        <v>0</v>
      </c>
      <c r="P1049">
        <v>24.6</v>
      </c>
      <c r="Q1049">
        <v>123</v>
      </c>
      <c r="R1049">
        <v>0</v>
      </c>
      <c r="S1049">
        <v>0</v>
      </c>
      <c r="T1049" t="s">
        <v>52</v>
      </c>
      <c r="W1049">
        <v>400128</v>
      </c>
      <c r="AE1049">
        <v>0</v>
      </c>
      <c r="AP1049" t="s">
        <v>1180</v>
      </c>
    </row>
    <row r="1050" spans="1:42">
      <c r="A1050" s="1" t="s">
        <v>46</v>
      </c>
      <c r="B1050" s="1" t="s">
        <v>2240</v>
      </c>
      <c r="C1050" s="1" t="s">
        <v>2240</v>
      </c>
      <c r="E1050" s="4" t="s">
        <v>2241</v>
      </c>
      <c r="G1050" s="16"/>
      <c r="M1050">
        <v>1</v>
      </c>
      <c r="N1050">
        <v>12</v>
      </c>
      <c r="O1050">
        <v>0</v>
      </c>
      <c r="P1050">
        <v>22</v>
      </c>
      <c r="Q1050">
        <v>264</v>
      </c>
      <c r="R1050">
        <v>0</v>
      </c>
      <c r="S1050">
        <v>0</v>
      </c>
      <c r="T1050" t="s">
        <v>52</v>
      </c>
      <c r="W1050">
        <v>400061</v>
      </c>
      <c r="AE1050">
        <v>0</v>
      </c>
      <c r="AP1050" t="s">
        <v>169</v>
      </c>
    </row>
    <row r="1051" spans="1:42">
      <c r="A1051" s="1" t="s">
        <v>46</v>
      </c>
      <c r="B1051" s="1" t="s">
        <v>2242</v>
      </c>
      <c r="C1051" s="1" t="s">
        <v>2242</v>
      </c>
      <c r="E1051" s="4" t="s">
        <v>2243</v>
      </c>
      <c r="G1051" s="16"/>
      <c r="M1051">
        <v>1</v>
      </c>
      <c r="N1051">
        <v>11</v>
      </c>
      <c r="O1051">
        <v>0</v>
      </c>
      <c r="P1051">
        <v>27</v>
      </c>
      <c r="Q1051">
        <v>297</v>
      </c>
      <c r="R1051">
        <v>0</v>
      </c>
      <c r="S1051">
        <v>0</v>
      </c>
      <c r="T1051" t="s">
        <v>52</v>
      </c>
      <c r="W1051">
        <v>400035</v>
      </c>
      <c r="AE1051">
        <v>0</v>
      </c>
      <c r="AP1051" t="s">
        <v>784</v>
      </c>
    </row>
    <row r="1052" spans="1:42">
      <c r="A1052" s="1" t="s">
        <v>46</v>
      </c>
      <c r="B1052" s="1" t="s">
        <v>2244</v>
      </c>
      <c r="C1052" s="1" t="s">
        <v>2244</v>
      </c>
      <c r="E1052" s="4" t="s">
        <v>2245</v>
      </c>
      <c r="G1052" s="16">
        <v>85</v>
      </c>
      <c r="I1052">
        <v>841.5</v>
      </c>
      <c r="M1052">
        <v>1</v>
      </c>
      <c r="N1052">
        <v>1</v>
      </c>
      <c r="O1052">
        <v>0</v>
      </c>
      <c r="P1052">
        <v>759.24</v>
      </c>
      <c r="Q1052">
        <v>759.24</v>
      </c>
      <c r="R1052" t="s">
        <v>574</v>
      </c>
      <c r="S1052">
        <v>0</v>
      </c>
      <c r="T1052" t="s">
        <v>52</v>
      </c>
      <c r="U1052">
        <v>0</v>
      </c>
      <c r="V1052">
        <v>0</v>
      </c>
      <c r="W1052">
        <v>400013</v>
      </c>
      <c r="AE1052">
        <v>0</v>
      </c>
      <c r="AH1052">
        <v>841.5</v>
      </c>
      <c r="AP1052" t="s">
        <v>232</v>
      </c>
    </row>
    <row r="1053" spans="1:42">
      <c r="A1053" s="1" t="s">
        <v>46</v>
      </c>
      <c r="B1053" s="1" t="s">
        <v>2246</v>
      </c>
      <c r="C1053" s="1" t="s">
        <v>2246</v>
      </c>
      <c r="E1053" s="4" t="s">
        <v>2247</v>
      </c>
      <c r="G1053" s="16">
        <v>105</v>
      </c>
      <c r="M1053">
        <v>1</v>
      </c>
      <c r="N1053">
        <v>4</v>
      </c>
      <c r="O1053">
        <v>0</v>
      </c>
      <c r="P1053">
        <v>2.6</v>
      </c>
      <c r="Q1053">
        <v>10.42</v>
      </c>
      <c r="R1053" t="s">
        <v>556</v>
      </c>
      <c r="S1053">
        <v>0</v>
      </c>
      <c r="T1053" t="s">
        <v>52</v>
      </c>
      <c r="U1053">
        <v>0</v>
      </c>
      <c r="V1053">
        <v>0</v>
      </c>
      <c r="W1053">
        <v>400013</v>
      </c>
      <c r="AE1053">
        <v>0</v>
      </c>
      <c r="AP1053" t="s">
        <v>232</v>
      </c>
    </row>
    <row r="1054" spans="1:42">
      <c r="A1054" s="1" t="s">
        <v>46</v>
      </c>
      <c r="B1054" s="1" t="s">
        <v>2248</v>
      </c>
      <c r="C1054" s="1" t="s">
        <v>2248</v>
      </c>
      <c r="E1054" s="4" t="s">
        <v>2249</v>
      </c>
      <c r="G1054" s="16"/>
      <c r="M1054">
        <v>1</v>
      </c>
      <c r="N1054">
        <v>-19</v>
      </c>
      <c r="O1054">
        <v>0</v>
      </c>
      <c r="P1054">
        <v>4</v>
      </c>
      <c r="Q1054">
        <v>-76</v>
      </c>
      <c r="R1054" t="s">
        <v>241</v>
      </c>
      <c r="S1054">
        <v>0</v>
      </c>
      <c r="T1054" t="s">
        <v>52</v>
      </c>
      <c r="U1054">
        <v>0</v>
      </c>
      <c r="V1054">
        <v>0</v>
      </c>
      <c r="W1054">
        <v>400061</v>
      </c>
      <c r="AE1054">
        <v>0</v>
      </c>
      <c r="AP1054" t="s">
        <v>169</v>
      </c>
    </row>
    <row r="1055" spans="1:42">
      <c r="A1055" s="1" t="s">
        <v>46</v>
      </c>
      <c r="B1055" s="1" t="s">
        <v>2250</v>
      </c>
      <c r="C1055" s="1" t="s">
        <v>2250</v>
      </c>
      <c r="E1055" s="4" t="s">
        <v>2251</v>
      </c>
      <c r="G1055" s="16"/>
      <c r="I1055">
        <v>6.31</v>
      </c>
      <c r="M1055">
        <v>1</v>
      </c>
      <c r="N1055">
        <v>4</v>
      </c>
      <c r="O1055">
        <v>0</v>
      </c>
      <c r="P1055">
        <v>5.0999999999999996</v>
      </c>
      <c r="Q1055">
        <v>20.39</v>
      </c>
      <c r="R1055" t="s">
        <v>1050</v>
      </c>
      <c r="S1055">
        <v>0</v>
      </c>
      <c r="T1055" t="s">
        <v>52</v>
      </c>
      <c r="U1055">
        <v>0</v>
      </c>
      <c r="V1055">
        <v>0</v>
      </c>
      <c r="W1055">
        <v>400013</v>
      </c>
      <c r="AE1055">
        <v>0</v>
      </c>
      <c r="AH1055">
        <v>6.31</v>
      </c>
      <c r="AP1055" t="s">
        <v>232</v>
      </c>
    </row>
    <row r="1056" spans="1:42">
      <c r="A1056" s="1" t="s">
        <v>46</v>
      </c>
      <c r="B1056" s="1" t="s">
        <v>2252</v>
      </c>
      <c r="C1056" s="1" t="s">
        <v>2252</v>
      </c>
      <c r="E1056" s="4" t="s">
        <v>2253</v>
      </c>
      <c r="G1056" s="16"/>
      <c r="M1056">
        <v>1</v>
      </c>
      <c r="N1056">
        <v>3</v>
      </c>
      <c r="O1056">
        <v>0</v>
      </c>
      <c r="P1056">
        <v>1.33</v>
      </c>
      <c r="Q1056">
        <v>4</v>
      </c>
      <c r="R1056" t="s">
        <v>556</v>
      </c>
      <c r="S1056">
        <v>0</v>
      </c>
      <c r="T1056" t="s">
        <v>52</v>
      </c>
      <c r="U1056">
        <v>0</v>
      </c>
      <c r="V1056">
        <v>0</v>
      </c>
      <c r="W1056">
        <v>400013</v>
      </c>
      <c r="X1056" t="s">
        <v>56</v>
      </c>
      <c r="Y1056" t="s">
        <v>57</v>
      </c>
      <c r="AE1056">
        <v>0</v>
      </c>
      <c r="AP1056" t="s">
        <v>232</v>
      </c>
    </row>
    <row r="1057" spans="1:42">
      <c r="A1057" s="1" t="s">
        <v>46</v>
      </c>
      <c r="B1057" s="1" t="s">
        <v>2254</v>
      </c>
      <c r="C1057" s="1" t="s">
        <v>2254</v>
      </c>
      <c r="E1057" s="4" t="s">
        <v>2255</v>
      </c>
      <c r="G1057" s="16"/>
      <c r="M1057">
        <v>1</v>
      </c>
      <c r="N1057">
        <v>3</v>
      </c>
      <c r="O1057">
        <v>0</v>
      </c>
      <c r="P1057">
        <v>28.46</v>
      </c>
      <c r="Q1057">
        <v>85.38</v>
      </c>
      <c r="R1057" t="s">
        <v>556</v>
      </c>
      <c r="S1057">
        <v>0</v>
      </c>
      <c r="T1057" t="s">
        <v>52</v>
      </c>
      <c r="U1057">
        <v>0</v>
      </c>
      <c r="V1057">
        <v>0</v>
      </c>
      <c r="W1057">
        <v>400013</v>
      </c>
      <c r="X1057" t="s">
        <v>56</v>
      </c>
      <c r="Y1057" t="s">
        <v>57</v>
      </c>
      <c r="AE1057">
        <v>0</v>
      </c>
      <c r="AP1057" t="s">
        <v>232</v>
      </c>
    </row>
    <row r="1058" spans="1:42">
      <c r="A1058" s="1" t="s">
        <v>46</v>
      </c>
      <c r="B1058" s="1" t="s">
        <v>2256</v>
      </c>
      <c r="C1058" s="1" t="s">
        <v>2256</v>
      </c>
      <c r="E1058" s="4" t="s">
        <v>2257</v>
      </c>
      <c r="G1058" s="16"/>
      <c r="M1058">
        <v>1</v>
      </c>
      <c r="N1058">
        <v>3</v>
      </c>
      <c r="O1058">
        <v>0</v>
      </c>
      <c r="P1058">
        <v>15</v>
      </c>
      <c r="Q1058">
        <v>45</v>
      </c>
      <c r="R1058" t="s">
        <v>241</v>
      </c>
      <c r="S1058">
        <v>0</v>
      </c>
      <c r="T1058" t="s">
        <v>52</v>
      </c>
      <c r="U1058">
        <v>0</v>
      </c>
      <c r="V1058">
        <v>0</v>
      </c>
      <c r="W1058">
        <v>410302</v>
      </c>
      <c r="AE1058">
        <v>0</v>
      </c>
      <c r="AP1058" t="s">
        <v>177</v>
      </c>
    </row>
    <row r="1059" spans="1:42">
      <c r="A1059" s="1" t="s">
        <v>46</v>
      </c>
      <c r="B1059" s="1" t="s">
        <v>2258</v>
      </c>
      <c r="C1059" s="1" t="s">
        <v>2258</v>
      </c>
      <c r="E1059" s="4" t="s">
        <v>2259</v>
      </c>
      <c r="G1059" s="16"/>
      <c r="M1059">
        <v>1</v>
      </c>
      <c r="N1059">
        <v>5</v>
      </c>
      <c r="O1059">
        <v>0</v>
      </c>
      <c r="P1059">
        <v>40.6</v>
      </c>
      <c r="Q1059">
        <v>203</v>
      </c>
      <c r="R1059" t="s">
        <v>556</v>
      </c>
      <c r="S1059">
        <v>0</v>
      </c>
      <c r="T1059" t="s">
        <v>52</v>
      </c>
      <c r="U1059">
        <v>0</v>
      </c>
      <c r="V1059">
        <v>0</v>
      </c>
      <c r="W1059">
        <v>400013</v>
      </c>
      <c r="AE1059">
        <v>0</v>
      </c>
      <c r="AP1059" t="s">
        <v>232</v>
      </c>
    </row>
    <row r="1060" spans="1:42">
      <c r="A1060" s="1" t="s">
        <v>46</v>
      </c>
      <c r="B1060" s="1" t="s">
        <v>2260</v>
      </c>
      <c r="C1060" s="1" t="s">
        <v>2260</v>
      </c>
      <c r="E1060" s="4" t="s">
        <v>2261</v>
      </c>
      <c r="G1060" s="16"/>
      <c r="M1060">
        <v>1</v>
      </c>
      <c r="N1060">
        <v>5</v>
      </c>
      <c r="O1060">
        <v>0</v>
      </c>
      <c r="P1060">
        <v>28.5</v>
      </c>
      <c r="Q1060">
        <v>142.5</v>
      </c>
      <c r="R1060" t="s">
        <v>241</v>
      </c>
      <c r="S1060">
        <v>0</v>
      </c>
      <c r="T1060" t="s">
        <v>209</v>
      </c>
      <c r="U1060">
        <v>0</v>
      </c>
      <c r="V1060">
        <v>0</v>
      </c>
      <c r="W1060">
        <v>400061</v>
      </c>
      <c r="AE1060">
        <v>0</v>
      </c>
      <c r="AP1060" t="s">
        <v>169</v>
      </c>
    </row>
    <row r="1061" spans="1:42">
      <c r="A1061" s="1" t="s">
        <v>46</v>
      </c>
      <c r="B1061" s="1" t="s">
        <v>2262</v>
      </c>
      <c r="C1061" s="1" t="s">
        <v>2262</v>
      </c>
      <c r="E1061" s="4" t="s">
        <v>2263</v>
      </c>
      <c r="G1061" s="16"/>
      <c r="M1061">
        <v>1</v>
      </c>
      <c r="N1061">
        <v>30.17</v>
      </c>
      <c r="O1061">
        <v>0</v>
      </c>
      <c r="P1061">
        <v>24.75</v>
      </c>
      <c r="Q1061">
        <v>746.85</v>
      </c>
      <c r="R1061" t="s">
        <v>556</v>
      </c>
      <c r="S1061">
        <v>0</v>
      </c>
      <c r="T1061" t="s">
        <v>209</v>
      </c>
      <c r="U1061">
        <v>0</v>
      </c>
      <c r="V1061">
        <v>0</v>
      </c>
      <c r="W1061">
        <v>400013</v>
      </c>
      <c r="AE1061">
        <v>0</v>
      </c>
      <c r="AP1061" t="s">
        <v>232</v>
      </c>
    </row>
    <row r="1062" spans="1:42">
      <c r="A1062" s="1" t="s">
        <v>46</v>
      </c>
      <c r="B1062" s="1" t="s">
        <v>2264</v>
      </c>
      <c r="C1062" s="1" t="s">
        <v>2264</v>
      </c>
      <c r="E1062" s="4" t="s">
        <v>2265</v>
      </c>
      <c r="G1062" s="16"/>
      <c r="M1062">
        <v>1</v>
      </c>
      <c r="N1062">
        <v>29</v>
      </c>
      <c r="O1062">
        <v>0</v>
      </c>
      <c r="P1062">
        <v>5.36</v>
      </c>
      <c r="Q1062">
        <v>155.52000000000001</v>
      </c>
      <c r="R1062" t="s">
        <v>556</v>
      </c>
      <c r="S1062">
        <v>0</v>
      </c>
      <c r="T1062" t="s">
        <v>52</v>
      </c>
      <c r="U1062">
        <v>0</v>
      </c>
      <c r="V1062">
        <v>0</v>
      </c>
      <c r="W1062">
        <v>400013</v>
      </c>
      <c r="X1062" t="s">
        <v>56</v>
      </c>
      <c r="Y1062" t="s">
        <v>57</v>
      </c>
      <c r="AE1062">
        <v>0</v>
      </c>
      <c r="AP1062" t="s">
        <v>232</v>
      </c>
    </row>
    <row r="1063" spans="1:42">
      <c r="A1063" s="1" t="s">
        <v>46</v>
      </c>
      <c r="B1063" s="1" t="s">
        <v>2266</v>
      </c>
      <c r="C1063" s="1" t="s">
        <v>2266</v>
      </c>
      <c r="E1063" s="4" t="s">
        <v>2267</v>
      </c>
      <c r="G1063" s="16"/>
      <c r="M1063">
        <v>1</v>
      </c>
      <c r="N1063">
        <v>51</v>
      </c>
      <c r="O1063">
        <v>0</v>
      </c>
      <c r="P1063">
        <v>2.17</v>
      </c>
      <c r="Q1063">
        <v>110.92</v>
      </c>
      <c r="R1063" t="s">
        <v>556</v>
      </c>
      <c r="S1063">
        <v>0</v>
      </c>
      <c r="T1063" t="s">
        <v>52</v>
      </c>
      <c r="U1063">
        <v>0</v>
      </c>
      <c r="V1063">
        <v>0</v>
      </c>
      <c r="W1063">
        <v>400013</v>
      </c>
      <c r="X1063" t="s">
        <v>56</v>
      </c>
      <c r="Y1063" t="s">
        <v>57</v>
      </c>
      <c r="AE1063">
        <v>0</v>
      </c>
      <c r="AP1063" t="s">
        <v>232</v>
      </c>
    </row>
    <row r="1064" spans="1:42">
      <c r="A1064" s="1" t="s">
        <v>46</v>
      </c>
      <c r="B1064" s="1" t="s">
        <v>2268</v>
      </c>
      <c r="C1064" s="1" t="s">
        <v>2268</v>
      </c>
      <c r="E1064" s="4" t="s">
        <v>2269</v>
      </c>
      <c r="G1064" s="16"/>
      <c r="M1064">
        <v>1</v>
      </c>
      <c r="N1064">
        <v>50</v>
      </c>
      <c r="O1064">
        <v>0</v>
      </c>
      <c r="P1064">
        <v>2.64</v>
      </c>
      <c r="Q1064">
        <v>132.24</v>
      </c>
      <c r="R1064" t="s">
        <v>556</v>
      </c>
      <c r="S1064">
        <v>0</v>
      </c>
      <c r="T1064" t="s">
        <v>52</v>
      </c>
      <c r="U1064">
        <v>0</v>
      </c>
      <c r="V1064">
        <v>0</v>
      </c>
      <c r="W1064">
        <v>400013</v>
      </c>
      <c r="X1064" t="s">
        <v>56</v>
      </c>
      <c r="Y1064" t="s">
        <v>57</v>
      </c>
      <c r="AE1064">
        <v>0</v>
      </c>
      <c r="AP1064" t="s">
        <v>232</v>
      </c>
    </row>
    <row r="1065" spans="1:42">
      <c r="A1065" s="1" t="s">
        <v>46</v>
      </c>
      <c r="B1065" s="1" t="s">
        <v>2270</v>
      </c>
      <c r="C1065" s="1" t="s">
        <v>2270</v>
      </c>
      <c r="E1065" s="4" t="s">
        <v>2271</v>
      </c>
      <c r="G1065" s="16"/>
      <c r="M1065">
        <v>1</v>
      </c>
      <c r="N1065">
        <v>-9</v>
      </c>
      <c r="O1065">
        <v>0</v>
      </c>
      <c r="P1065">
        <v>1.5</v>
      </c>
      <c r="Q1065">
        <v>-13.5</v>
      </c>
      <c r="R1065" t="s">
        <v>241</v>
      </c>
      <c r="S1065">
        <v>0</v>
      </c>
      <c r="T1065" t="s">
        <v>52</v>
      </c>
      <c r="U1065">
        <v>0</v>
      </c>
      <c r="V1065">
        <v>0</v>
      </c>
      <c r="W1065">
        <v>410302</v>
      </c>
      <c r="AE1065">
        <v>0</v>
      </c>
      <c r="AP1065" t="s">
        <v>177</v>
      </c>
    </row>
    <row r="1066" spans="1:42">
      <c r="A1066" s="1" t="s">
        <v>46</v>
      </c>
      <c r="B1066" s="1" t="s">
        <v>2272</v>
      </c>
      <c r="C1066" s="1" t="s">
        <v>2272</v>
      </c>
      <c r="E1066" s="4" t="s">
        <v>2273</v>
      </c>
      <c r="G1066" s="16"/>
      <c r="I1066">
        <v>5.87</v>
      </c>
      <c r="M1066">
        <v>1</v>
      </c>
      <c r="N1066">
        <v>4</v>
      </c>
      <c r="O1066">
        <v>0</v>
      </c>
      <c r="P1066">
        <v>3.78</v>
      </c>
      <c r="Q1066">
        <v>15.13</v>
      </c>
      <c r="R1066" t="s">
        <v>1050</v>
      </c>
      <c r="S1066">
        <v>0</v>
      </c>
      <c r="T1066" t="s">
        <v>52</v>
      </c>
      <c r="U1066">
        <v>0</v>
      </c>
      <c r="V1066">
        <v>0</v>
      </c>
      <c r="W1066">
        <v>400013</v>
      </c>
      <c r="AE1066">
        <v>0</v>
      </c>
      <c r="AH1066">
        <v>5.87</v>
      </c>
      <c r="AP1066" t="s">
        <v>232</v>
      </c>
    </row>
    <row r="1067" spans="1:42">
      <c r="A1067" s="1" t="s">
        <v>46</v>
      </c>
      <c r="B1067" s="1" t="s">
        <v>2274</v>
      </c>
      <c r="C1067" s="1" t="s">
        <v>2274</v>
      </c>
      <c r="E1067" s="4" t="s">
        <v>2275</v>
      </c>
      <c r="G1067" s="16"/>
      <c r="M1067">
        <v>1</v>
      </c>
      <c r="N1067">
        <v>8</v>
      </c>
      <c r="O1067">
        <v>0</v>
      </c>
      <c r="P1067">
        <v>2.2200000000000002</v>
      </c>
      <c r="Q1067">
        <v>17.760000000000002</v>
      </c>
      <c r="R1067" t="s">
        <v>241</v>
      </c>
      <c r="S1067">
        <v>0</v>
      </c>
      <c r="T1067" t="s">
        <v>52</v>
      </c>
      <c r="U1067">
        <v>0</v>
      </c>
      <c r="V1067">
        <v>0</v>
      </c>
      <c r="W1067">
        <v>400013</v>
      </c>
      <c r="AE1067">
        <v>0</v>
      </c>
      <c r="AP1067" t="s">
        <v>232</v>
      </c>
    </row>
    <row r="1068" spans="1:42">
      <c r="A1068" s="1" t="s">
        <v>46</v>
      </c>
      <c r="B1068" s="1" t="s">
        <v>2276</v>
      </c>
      <c r="C1068" s="1" t="s">
        <v>2276</v>
      </c>
      <c r="E1068" s="4" t="s">
        <v>2277</v>
      </c>
      <c r="G1068" s="16"/>
      <c r="M1068">
        <v>1</v>
      </c>
      <c r="N1068">
        <v>50</v>
      </c>
      <c r="O1068">
        <v>0</v>
      </c>
      <c r="P1068">
        <v>1.1100000000000001</v>
      </c>
      <c r="Q1068">
        <v>55.68</v>
      </c>
      <c r="R1068" t="s">
        <v>556</v>
      </c>
      <c r="S1068">
        <v>0</v>
      </c>
      <c r="T1068" t="s">
        <v>52</v>
      </c>
      <c r="U1068">
        <v>0</v>
      </c>
      <c r="V1068">
        <v>0</v>
      </c>
      <c r="W1068">
        <v>400013</v>
      </c>
      <c r="AE1068">
        <v>0</v>
      </c>
      <c r="AP1068" t="s">
        <v>232</v>
      </c>
    </row>
    <row r="1069" spans="1:42">
      <c r="A1069" s="1" t="s">
        <v>46</v>
      </c>
      <c r="B1069" s="1" t="s">
        <v>2278</v>
      </c>
      <c r="C1069" s="1" t="s">
        <v>2278</v>
      </c>
      <c r="E1069" s="4" t="s">
        <v>2279</v>
      </c>
      <c r="G1069" s="16"/>
      <c r="M1069">
        <v>1</v>
      </c>
      <c r="N1069">
        <v>24</v>
      </c>
      <c r="O1069">
        <v>0</v>
      </c>
      <c r="P1069">
        <v>1.03</v>
      </c>
      <c r="Q1069">
        <v>24.8</v>
      </c>
      <c r="R1069" t="s">
        <v>241</v>
      </c>
      <c r="S1069">
        <v>0</v>
      </c>
      <c r="T1069" t="s">
        <v>52</v>
      </c>
      <c r="U1069">
        <v>0</v>
      </c>
      <c r="V1069">
        <v>0</v>
      </c>
      <c r="W1069">
        <v>400159</v>
      </c>
      <c r="AE1069">
        <v>0</v>
      </c>
      <c r="AP1069" t="s">
        <v>190</v>
      </c>
    </row>
    <row r="1070" spans="1:42">
      <c r="A1070" s="1" t="s">
        <v>46</v>
      </c>
      <c r="B1070" s="1" t="s">
        <v>2280</v>
      </c>
      <c r="C1070" s="1" t="s">
        <v>2280</v>
      </c>
      <c r="E1070" s="4" t="s">
        <v>2281</v>
      </c>
      <c r="G1070" s="16">
        <v>7.5</v>
      </c>
      <c r="I1070">
        <v>4.08</v>
      </c>
      <c r="M1070">
        <v>1</v>
      </c>
      <c r="N1070">
        <v>6</v>
      </c>
      <c r="O1070">
        <v>0</v>
      </c>
      <c r="P1070">
        <v>3.01</v>
      </c>
      <c r="Q1070">
        <v>18.059999999999999</v>
      </c>
      <c r="R1070" t="s">
        <v>1050</v>
      </c>
      <c r="S1070">
        <v>0</v>
      </c>
      <c r="T1070" t="s">
        <v>52</v>
      </c>
      <c r="U1070">
        <v>0</v>
      </c>
      <c r="V1070">
        <v>0</v>
      </c>
      <c r="W1070">
        <v>400013</v>
      </c>
      <c r="AE1070">
        <v>0</v>
      </c>
      <c r="AH1070">
        <v>4.08</v>
      </c>
      <c r="AP1070" t="s">
        <v>232</v>
      </c>
    </row>
    <row r="1071" spans="1:42">
      <c r="A1071" s="1" t="s">
        <v>46</v>
      </c>
      <c r="B1071" s="1" t="s">
        <v>2282</v>
      </c>
      <c r="C1071" s="1" t="s">
        <v>2282</v>
      </c>
      <c r="E1071" s="4" t="s">
        <v>2283</v>
      </c>
      <c r="G1071" s="16"/>
      <c r="M1071">
        <v>1</v>
      </c>
      <c r="N1071">
        <v>3</v>
      </c>
      <c r="O1071">
        <v>0</v>
      </c>
      <c r="P1071">
        <v>12</v>
      </c>
      <c r="Q1071">
        <v>36</v>
      </c>
      <c r="R1071" t="s">
        <v>241</v>
      </c>
      <c r="S1071">
        <v>0</v>
      </c>
      <c r="T1071" t="s">
        <v>52</v>
      </c>
      <c r="U1071">
        <v>0</v>
      </c>
      <c r="V1071">
        <v>0</v>
      </c>
      <c r="W1071">
        <v>410302</v>
      </c>
      <c r="AE1071">
        <v>0</v>
      </c>
      <c r="AP1071" t="s">
        <v>177</v>
      </c>
    </row>
    <row r="1072" spans="1:42">
      <c r="A1072" s="1" t="s">
        <v>46</v>
      </c>
      <c r="B1072" s="1" t="s">
        <v>2284</v>
      </c>
      <c r="C1072" s="1" t="s">
        <v>2284</v>
      </c>
      <c r="E1072" s="4" t="s">
        <v>2285</v>
      </c>
      <c r="G1072" s="16">
        <v>7</v>
      </c>
      <c r="M1072">
        <v>1</v>
      </c>
      <c r="N1072">
        <v>15</v>
      </c>
      <c r="O1072">
        <v>0</v>
      </c>
      <c r="P1072">
        <v>14</v>
      </c>
      <c r="Q1072">
        <v>210</v>
      </c>
      <c r="R1072" t="s">
        <v>241</v>
      </c>
      <c r="S1072">
        <v>0</v>
      </c>
      <c r="T1072" t="s">
        <v>52</v>
      </c>
      <c r="U1072">
        <v>0</v>
      </c>
      <c r="V1072">
        <v>0</v>
      </c>
      <c r="W1072">
        <v>410302</v>
      </c>
      <c r="AE1072">
        <v>0</v>
      </c>
      <c r="AP1072" t="s">
        <v>177</v>
      </c>
    </row>
    <row r="1073" spans="1:42">
      <c r="A1073" s="1" t="s">
        <v>46</v>
      </c>
      <c r="B1073" s="1" t="s">
        <v>2286</v>
      </c>
      <c r="C1073" s="1" t="s">
        <v>2286</v>
      </c>
      <c r="E1073" s="4" t="s">
        <v>2287</v>
      </c>
      <c r="G1073" s="16"/>
      <c r="M1073">
        <v>1</v>
      </c>
      <c r="N1073">
        <v>-8</v>
      </c>
      <c r="O1073">
        <v>0</v>
      </c>
      <c r="P1073">
        <v>8.17</v>
      </c>
      <c r="Q1073">
        <v>-65.36</v>
      </c>
      <c r="R1073" t="s">
        <v>241</v>
      </c>
      <c r="S1073">
        <v>0</v>
      </c>
      <c r="T1073" t="s">
        <v>52</v>
      </c>
      <c r="U1073">
        <v>0</v>
      </c>
      <c r="V1073">
        <v>0</v>
      </c>
      <c r="W1073">
        <v>400061</v>
      </c>
      <c r="AE1073">
        <v>0</v>
      </c>
      <c r="AP1073" t="s">
        <v>169</v>
      </c>
    </row>
    <row r="1074" spans="1:42">
      <c r="A1074" s="1" t="s">
        <v>46</v>
      </c>
      <c r="B1074" s="1" t="s">
        <v>2288</v>
      </c>
      <c r="C1074" s="1" t="s">
        <v>2288</v>
      </c>
      <c r="E1074" s="4" t="s">
        <v>2289</v>
      </c>
      <c r="G1074" s="16">
        <v>7</v>
      </c>
      <c r="M1074">
        <v>1</v>
      </c>
      <c r="N1074">
        <v>25</v>
      </c>
      <c r="O1074">
        <v>0</v>
      </c>
      <c r="P1074">
        <v>10</v>
      </c>
      <c r="Q1074">
        <v>250</v>
      </c>
      <c r="R1074" t="s">
        <v>241</v>
      </c>
      <c r="S1074">
        <v>0</v>
      </c>
      <c r="T1074" t="s">
        <v>52</v>
      </c>
      <c r="U1074">
        <v>0</v>
      </c>
      <c r="V1074">
        <v>0</v>
      </c>
      <c r="W1074">
        <v>410302</v>
      </c>
      <c r="AE1074">
        <v>0</v>
      </c>
      <c r="AP1074" t="s">
        <v>177</v>
      </c>
    </row>
    <row r="1075" spans="1:42">
      <c r="A1075" s="1" t="s">
        <v>46</v>
      </c>
      <c r="B1075" s="1" t="s">
        <v>2290</v>
      </c>
      <c r="C1075" s="1" t="s">
        <v>2290</v>
      </c>
      <c r="E1075" s="4" t="s">
        <v>2291</v>
      </c>
      <c r="G1075" s="16"/>
      <c r="I1075">
        <v>39</v>
      </c>
      <c r="M1075">
        <v>1</v>
      </c>
      <c r="N1075">
        <v>2</v>
      </c>
      <c r="O1075">
        <v>0</v>
      </c>
      <c r="P1075">
        <v>27.51</v>
      </c>
      <c r="Q1075">
        <v>55.03</v>
      </c>
      <c r="R1075" t="s">
        <v>1050</v>
      </c>
      <c r="S1075">
        <v>0</v>
      </c>
      <c r="T1075" t="s">
        <v>52</v>
      </c>
      <c r="U1075">
        <v>0</v>
      </c>
      <c r="V1075">
        <v>0</v>
      </c>
      <c r="W1075">
        <v>400013</v>
      </c>
      <c r="AE1075">
        <v>0</v>
      </c>
      <c r="AH1075">
        <v>39</v>
      </c>
      <c r="AP1075" t="s">
        <v>232</v>
      </c>
    </row>
    <row r="1076" spans="1:42">
      <c r="A1076" s="1" t="s">
        <v>46</v>
      </c>
      <c r="B1076" s="1" t="s">
        <v>2292</v>
      </c>
      <c r="C1076" s="1" t="s">
        <v>2292</v>
      </c>
      <c r="E1076" s="4" t="s">
        <v>2293</v>
      </c>
      <c r="G1076" s="16"/>
      <c r="M1076">
        <v>1</v>
      </c>
      <c r="N1076">
        <v>16</v>
      </c>
      <c r="O1076">
        <v>0</v>
      </c>
      <c r="P1076">
        <v>2.42</v>
      </c>
      <c r="Q1076">
        <v>38.700000000000003</v>
      </c>
      <c r="R1076" t="s">
        <v>556</v>
      </c>
      <c r="S1076">
        <v>0</v>
      </c>
      <c r="T1076" t="s">
        <v>52</v>
      </c>
      <c r="U1076">
        <v>0</v>
      </c>
      <c r="V1076">
        <v>0</v>
      </c>
      <c r="W1076">
        <v>400013</v>
      </c>
      <c r="X1076" t="s">
        <v>56</v>
      </c>
      <c r="Y1076" t="s">
        <v>57</v>
      </c>
      <c r="AE1076">
        <v>0</v>
      </c>
      <c r="AP1076" t="s">
        <v>232</v>
      </c>
    </row>
    <row r="1077" spans="1:42">
      <c r="A1077" s="1" t="s">
        <v>46</v>
      </c>
      <c r="B1077" s="1" t="s">
        <v>2294</v>
      </c>
      <c r="C1077" s="1" t="s">
        <v>2294</v>
      </c>
      <c r="E1077" s="4" t="s">
        <v>2295</v>
      </c>
      <c r="G1077" s="16">
        <v>9</v>
      </c>
      <c r="M1077">
        <v>1</v>
      </c>
      <c r="N1077">
        <v>61</v>
      </c>
      <c r="O1077">
        <v>0</v>
      </c>
      <c r="P1077">
        <v>1.89</v>
      </c>
      <c r="Q1077">
        <v>115.34</v>
      </c>
      <c r="R1077" t="s">
        <v>556</v>
      </c>
      <c r="S1077">
        <v>0</v>
      </c>
      <c r="T1077" t="s">
        <v>52</v>
      </c>
      <c r="U1077">
        <v>0</v>
      </c>
      <c r="V1077">
        <v>0</v>
      </c>
      <c r="W1077">
        <v>400214</v>
      </c>
      <c r="X1077" t="s">
        <v>56</v>
      </c>
      <c r="Y1077" t="s">
        <v>57</v>
      </c>
      <c r="AE1077">
        <v>0</v>
      </c>
      <c r="AP1077" t="s">
        <v>689</v>
      </c>
    </row>
    <row r="1078" spans="1:42">
      <c r="A1078" s="1" t="s">
        <v>46</v>
      </c>
      <c r="B1078" s="1" t="s">
        <v>2296</v>
      </c>
      <c r="C1078" s="1" t="s">
        <v>2296</v>
      </c>
      <c r="E1078" s="4" t="s">
        <v>2297</v>
      </c>
      <c r="G1078" s="16"/>
      <c r="M1078">
        <v>1</v>
      </c>
      <c r="N1078">
        <v>-3</v>
      </c>
      <c r="O1078">
        <v>0</v>
      </c>
      <c r="P1078">
        <v>0.76</v>
      </c>
      <c r="Q1078">
        <v>-2.2799999999999998</v>
      </c>
      <c r="R1078" t="s">
        <v>241</v>
      </c>
      <c r="S1078">
        <v>0</v>
      </c>
      <c r="T1078" t="s">
        <v>52</v>
      </c>
      <c r="U1078">
        <v>0</v>
      </c>
      <c r="V1078">
        <v>0</v>
      </c>
      <c r="W1078">
        <v>400112</v>
      </c>
      <c r="AE1078">
        <v>0</v>
      </c>
      <c r="AP1078" t="s">
        <v>220</v>
      </c>
    </row>
    <row r="1079" spans="1:42">
      <c r="A1079" s="1" t="s">
        <v>46</v>
      </c>
      <c r="B1079" s="1" t="s">
        <v>2298</v>
      </c>
      <c r="C1079" s="1" t="s">
        <v>2298</v>
      </c>
      <c r="E1079" s="4" t="s">
        <v>2299</v>
      </c>
      <c r="G1079" s="16">
        <v>11</v>
      </c>
      <c r="M1079">
        <v>1</v>
      </c>
      <c r="N1079">
        <v>6</v>
      </c>
      <c r="O1079">
        <v>0</v>
      </c>
      <c r="P1079">
        <v>0.86</v>
      </c>
      <c r="Q1079">
        <v>5.15</v>
      </c>
      <c r="R1079" t="s">
        <v>556</v>
      </c>
      <c r="S1079">
        <v>0</v>
      </c>
      <c r="T1079" t="s">
        <v>52</v>
      </c>
      <c r="U1079">
        <v>0</v>
      </c>
      <c r="V1079">
        <v>0</v>
      </c>
      <c r="W1079">
        <v>400013</v>
      </c>
      <c r="AE1079">
        <v>0</v>
      </c>
      <c r="AP1079" t="s">
        <v>232</v>
      </c>
    </row>
    <row r="1080" spans="1:42">
      <c r="A1080" s="1" t="s">
        <v>46</v>
      </c>
      <c r="B1080" s="1" t="s">
        <v>2300</v>
      </c>
      <c r="C1080" s="1" t="s">
        <v>2300</v>
      </c>
      <c r="E1080" s="4" t="s">
        <v>2301</v>
      </c>
      <c r="G1080" s="16"/>
      <c r="M1080">
        <v>1</v>
      </c>
      <c r="N1080">
        <v>11</v>
      </c>
      <c r="O1080">
        <v>0</v>
      </c>
      <c r="P1080">
        <v>1</v>
      </c>
      <c r="Q1080">
        <v>11</v>
      </c>
      <c r="R1080" t="s">
        <v>241</v>
      </c>
      <c r="S1080">
        <v>0</v>
      </c>
      <c r="T1080" t="s">
        <v>52</v>
      </c>
      <c r="U1080">
        <v>0</v>
      </c>
      <c r="V1080">
        <v>0</v>
      </c>
      <c r="W1080">
        <v>410302</v>
      </c>
      <c r="AE1080">
        <v>0</v>
      </c>
      <c r="AP1080" t="s">
        <v>177</v>
      </c>
    </row>
    <row r="1081" spans="1:42">
      <c r="A1081" s="1" t="s">
        <v>46</v>
      </c>
      <c r="B1081" s="1" t="s">
        <v>2302</v>
      </c>
      <c r="C1081" s="1" t="s">
        <v>2302</v>
      </c>
      <c r="E1081" s="4" t="s">
        <v>2303</v>
      </c>
      <c r="G1081" s="16"/>
      <c r="M1081">
        <v>1</v>
      </c>
      <c r="N1081">
        <v>15</v>
      </c>
      <c r="O1081">
        <v>0</v>
      </c>
      <c r="P1081">
        <v>1.75</v>
      </c>
      <c r="Q1081">
        <v>26.25</v>
      </c>
      <c r="R1081" t="s">
        <v>241</v>
      </c>
      <c r="S1081">
        <v>0</v>
      </c>
      <c r="T1081" t="s">
        <v>52</v>
      </c>
      <c r="W1081">
        <v>410302</v>
      </c>
      <c r="AE1081">
        <v>0</v>
      </c>
      <c r="AP1081" t="s">
        <v>177</v>
      </c>
    </row>
    <row r="1082" spans="1:42">
      <c r="A1082" s="1" t="s">
        <v>46</v>
      </c>
      <c r="B1082" s="1" t="s">
        <v>2304</v>
      </c>
      <c r="C1082" s="1" t="s">
        <v>2304</v>
      </c>
      <c r="E1082" s="4" t="s">
        <v>2305</v>
      </c>
      <c r="G1082" s="16">
        <v>6.5</v>
      </c>
      <c r="M1082">
        <v>1</v>
      </c>
      <c r="N1082">
        <v>15</v>
      </c>
      <c r="O1082">
        <v>0</v>
      </c>
      <c r="P1082">
        <v>1.25</v>
      </c>
      <c r="Q1082">
        <v>18.75</v>
      </c>
      <c r="R1082" t="s">
        <v>241</v>
      </c>
      <c r="S1082">
        <v>0</v>
      </c>
      <c r="T1082" t="s">
        <v>52</v>
      </c>
      <c r="U1082">
        <v>0</v>
      </c>
      <c r="V1082">
        <v>0</v>
      </c>
      <c r="W1082">
        <v>410302</v>
      </c>
      <c r="AE1082">
        <v>0</v>
      </c>
      <c r="AP1082" t="s">
        <v>177</v>
      </c>
    </row>
    <row r="1083" spans="1:42">
      <c r="A1083" s="1" t="s">
        <v>46</v>
      </c>
      <c r="B1083" s="1" t="s">
        <v>2306</v>
      </c>
      <c r="C1083" s="1" t="s">
        <v>2306</v>
      </c>
      <c r="E1083" s="4" t="s">
        <v>2307</v>
      </c>
      <c r="G1083" s="16">
        <v>15</v>
      </c>
      <c r="M1083">
        <v>1</v>
      </c>
      <c r="N1083">
        <v>-2</v>
      </c>
      <c r="O1083">
        <v>0</v>
      </c>
      <c r="P1083">
        <v>3</v>
      </c>
      <c r="Q1083">
        <v>-6</v>
      </c>
      <c r="R1083" t="s">
        <v>241</v>
      </c>
      <c r="S1083">
        <v>0</v>
      </c>
      <c r="T1083" t="s">
        <v>52</v>
      </c>
      <c r="U1083">
        <v>0</v>
      </c>
      <c r="V1083">
        <v>0</v>
      </c>
      <c r="W1083">
        <v>400200</v>
      </c>
      <c r="AE1083">
        <v>0</v>
      </c>
      <c r="AP1083" t="s">
        <v>771</v>
      </c>
    </row>
    <row r="1084" spans="1:42">
      <c r="A1084" s="1" t="s">
        <v>46</v>
      </c>
      <c r="B1084" s="1" t="s">
        <v>2308</v>
      </c>
      <c r="C1084" s="1" t="s">
        <v>2308</v>
      </c>
      <c r="E1084" s="4" t="s">
        <v>2309</v>
      </c>
      <c r="G1084" s="16"/>
      <c r="M1084">
        <v>1</v>
      </c>
      <c r="N1084">
        <v>10</v>
      </c>
      <c r="O1084">
        <v>0</v>
      </c>
      <c r="P1084">
        <v>0.85</v>
      </c>
      <c r="Q1084">
        <v>8.5</v>
      </c>
      <c r="R1084" t="s">
        <v>556</v>
      </c>
      <c r="S1084">
        <v>0</v>
      </c>
      <c r="T1084" t="s">
        <v>52</v>
      </c>
      <c r="U1084">
        <v>0</v>
      </c>
      <c r="V1084">
        <v>0</v>
      </c>
      <c r="W1084">
        <v>400013</v>
      </c>
      <c r="AE1084">
        <v>0</v>
      </c>
      <c r="AP1084" t="s">
        <v>232</v>
      </c>
    </row>
    <row r="1085" spans="1:42">
      <c r="A1085" s="1" t="s">
        <v>46</v>
      </c>
      <c r="B1085" s="1" t="s">
        <v>2310</v>
      </c>
      <c r="C1085" s="1" t="s">
        <v>2310</v>
      </c>
      <c r="E1085" s="4" t="s">
        <v>2311</v>
      </c>
      <c r="G1085" s="16"/>
      <c r="M1085">
        <v>1</v>
      </c>
      <c r="N1085">
        <v>11</v>
      </c>
      <c r="O1085">
        <v>0</v>
      </c>
      <c r="P1085">
        <v>1.25</v>
      </c>
      <c r="Q1085">
        <v>13.75</v>
      </c>
      <c r="R1085" t="s">
        <v>241</v>
      </c>
      <c r="S1085">
        <v>0</v>
      </c>
      <c r="T1085" t="s">
        <v>52</v>
      </c>
      <c r="U1085">
        <v>0</v>
      </c>
      <c r="V1085">
        <v>0</v>
      </c>
      <c r="W1085">
        <v>410302</v>
      </c>
      <c r="AE1085">
        <v>0</v>
      </c>
      <c r="AP1085" t="s">
        <v>177</v>
      </c>
    </row>
    <row r="1086" spans="1:42">
      <c r="A1086" s="1" t="s">
        <v>46</v>
      </c>
      <c r="B1086" s="1" t="s">
        <v>2312</v>
      </c>
      <c r="C1086" s="1" t="s">
        <v>2312</v>
      </c>
      <c r="E1086" s="4" t="s">
        <v>2313</v>
      </c>
      <c r="G1086" s="16"/>
      <c r="M1086">
        <v>1</v>
      </c>
      <c r="N1086">
        <v>2</v>
      </c>
      <c r="O1086">
        <v>0</v>
      </c>
      <c r="P1086">
        <v>2.2999999999999998</v>
      </c>
      <c r="Q1086">
        <v>4.5999999999999996</v>
      </c>
      <c r="R1086" t="s">
        <v>241</v>
      </c>
      <c r="S1086">
        <v>0</v>
      </c>
      <c r="T1086" t="s">
        <v>52</v>
      </c>
      <c r="U1086">
        <v>0</v>
      </c>
      <c r="V1086">
        <v>0</v>
      </c>
      <c r="W1086">
        <v>400112</v>
      </c>
      <c r="AE1086">
        <v>0</v>
      </c>
      <c r="AP1086" t="s">
        <v>220</v>
      </c>
    </row>
    <row r="1087" spans="1:42">
      <c r="A1087" s="1" t="s">
        <v>46</v>
      </c>
      <c r="B1087" s="1" t="s">
        <v>2314</v>
      </c>
      <c r="C1087" s="1" t="s">
        <v>2314</v>
      </c>
      <c r="E1087" s="4" t="s">
        <v>2315</v>
      </c>
      <c r="G1087" s="16"/>
      <c r="M1087">
        <v>1</v>
      </c>
      <c r="N1087">
        <v>7</v>
      </c>
      <c r="O1087">
        <v>0</v>
      </c>
      <c r="P1087">
        <v>13</v>
      </c>
      <c r="Q1087">
        <v>91</v>
      </c>
      <c r="R1087" t="s">
        <v>176</v>
      </c>
      <c r="S1087">
        <v>0</v>
      </c>
      <c r="T1087" t="s">
        <v>227</v>
      </c>
      <c r="U1087">
        <v>0</v>
      </c>
      <c r="V1087">
        <v>0</v>
      </c>
      <c r="W1087">
        <v>400061</v>
      </c>
      <c r="AE1087">
        <v>0</v>
      </c>
      <c r="AP1087" t="s">
        <v>169</v>
      </c>
    </row>
    <row r="1088" spans="1:42">
      <c r="A1088" s="1" t="s">
        <v>46</v>
      </c>
      <c r="B1088" s="1" t="s">
        <v>2316</v>
      </c>
      <c r="C1088" s="1" t="s">
        <v>2316</v>
      </c>
      <c r="E1088" s="4" t="s">
        <v>2317</v>
      </c>
      <c r="G1088" s="16"/>
      <c r="M1088">
        <v>1</v>
      </c>
      <c r="N1088">
        <v>4</v>
      </c>
      <c r="O1088">
        <v>0</v>
      </c>
      <c r="P1088">
        <v>1.25</v>
      </c>
      <c r="Q1088">
        <v>5</v>
      </c>
      <c r="W1088">
        <v>400017</v>
      </c>
      <c r="AE1088">
        <v>0</v>
      </c>
      <c r="AP1088" t="s">
        <v>49</v>
      </c>
    </row>
    <row r="1089" spans="1:42">
      <c r="A1089" s="1" t="s">
        <v>46</v>
      </c>
      <c r="B1089" s="1" t="s">
        <v>2318</v>
      </c>
      <c r="C1089" s="1" t="s">
        <v>2318</v>
      </c>
      <c r="E1089" s="4" t="s">
        <v>2319</v>
      </c>
      <c r="G1089" s="16"/>
      <c r="M1089">
        <v>1</v>
      </c>
      <c r="N1089">
        <v>1099</v>
      </c>
      <c r="O1089">
        <v>0</v>
      </c>
      <c r="P1089">
        <v>1.75</v>
      </c>
      <c r="Q1089">
        <v>1923.25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400017</v>
      </c>
      <c r="X1089" t="s">
        <v>56</v>
      </c>
      <c r="Y1089" t="s">
        <v>57</v>
      </c>
      <c r="AE1089">
        <v>0</v>
      </c>
      <c r="AP1089" t="s">
        <v>49</v>
      </c>
    </row>
    <row r="1090" spans="1:42">
      <c r="A1090" s="1" t="s">
        <v>46</v>
      </c>
      <c r="B1090" s="1" t="s">
        <v>2320</v>
      </c>
      <c r="C1090" s="1" t="s">
        <v>2320</v>
      </c>
      <c r="E1090" s="4" t="s">
        <v>2321</v>
      </c>
      <c r="G1090" s="16"/>
      <c r="M1090">
        <v>1</v>
      </c>
      <c r="N1090">
        <v>200</v>
      </c>
      <c r="O1090">
        <v>0</v>
      </c>
      <c r="P1090">
        <v>0.02</v>
      </c>
      <c r="Q1090">
        <v>4.5999999999999996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400017</v>
      </c>
      <c r="X1090" t="s">
        <v>56</v>
      </c>
      <c r="Y1090" t="s">
        <v>57</v>
      </c>
      <c r="AE1090">
        <v>0</v>
      </c>
      <c r="AP1090" t="s">
        <v>49</v>
      </c>
    </row>
    <row r="1091" spans="1:42">
      <c r="A1091" s="1" t="s">
        <v>46</v>
      </c>
      <c r="B1091" s="1" t="s">
        <v>2322</v>
      </c>
      <c r="C1091" s="1" t="s">
        <v>2322</v>
      </c>
      <c r="E1091" s="4" t="s">
        <v>2323</v>
      </c>
      <c r="G1091" s="16"/>
      <c r="M1091">
        <v>1</v>
      </c>
      <c r="N1091">
        <v>9</v>
      </c>
      <c r="O1091">
        <v>0</v>
      </c>
      <c r="P1091">
        <v>47.98</v>
      </c>
      <c r="Q1091">
        <v>431.82</v>
      </c>
      <c r="R1091">
        <v>0</v>
      </c>
      <c r="S1091">
        <v>0</v>
      </c>
      <c r="T1091" t="s">
        <v>52</v>
      </c>
      <c r="U1091">
        <v>0</v>
      </c>
      <c r="V1091">
        <v>0</v>
      </c>
      <c r="W1091">
        <v>400219</v>
      </c>
      <c r="AE1091">
        <v>0</v>
      </c>
      <c r="AP1091" t="s">
        <v>637</v>
      </c>
    </row>
    <row r="1092" spans="1:42">
      <c r="A1092" s="1" t="s">
        <v>46</v>
      </c>
      <c r="B1092" s="1" t="s">
        <v>2324</v>
      </c>
      <c r="C1092" s="1" t="s">
        <v>2324</v>
      </c>
      <c r="E1092" s="4" t="s">
        <v>2325</v>
      </c>
      <c r="G1092" s="16"/>
      <c r="M1092">
        <v>1</v>
      </c>
      <c r="N1092">
        <v>3</v>
      </c>
      <c r="O1092">
        <v>0</v>
      </c>
      <c r="P1092">
        <v>33</v>
      </c>
      <c r="Q1092">
        <v>99</v>
      </c>
      <c r="W1092">
        <v>400128</v>
      </c>
      <c r="AE1092">
        <v>0</v>
      </c>
      <c r="AP1092" t="s">
        <v>1180</v>
      </c>
    </row>
    <row r="1093" spans="1:42">
      <c r="A1093" s="1" t="s">
        <v>46</v>
      </c>
      <c r="B1093" s="1" t="s">
        <v>2326</v>
      </c>
      <c r="C1093" s="1" t="s">
        <v>2326</v>
      </c>
      <c r="E1093" s="4" t="s">
        <v>2327</v>
      </c>
      <c r="G1093" s="16"/>
      <c r="M1093">
        <v>1</v>
      </c>
      <c r="N1093">
        <v>2</v>
      </c>
      <c r="O1093">
        <v>0</v>
      </c>
      <c r="P1093">
        <v>30</v>
      </c>
      <c r="Q1093">
        <v>60</v>
      </c>
      <c r="T1093" t="s">
        <v>52</v>
      </c>
      <c r="W1093">
        <v>400045</v>
      </c>
      <c r="AE1093">
        <v>0</v>
      </c>
      <c r="AP1093" t="s">
        <v>217</v>
      </c>
    </row>
    <row r="1094" spans="1:42">
      <c r="A1094" s="1" t="s">
        <v>46</v>
      </c>
      <c r="B1094" s="1" t="s">
        <v>2328</v>
      </c>
      <c r="C1094" s="1" t="s">
        <v>2328</v>
      </c>
      <c r="E1094" s="4" t="s">
        <v>2329</v>
      </c>
      <c r="G1094" s="16"/>
      <c r="M1094">
        <v>1</v>
      </c>
      <c r="N1094">
        <v>12</v>
      </c>
      <c r="O1094">
        <v>0</v>
      </c>
      <c r="P1094">
        <v>105</v>
      </c>
      <c r="Q1094">
        <v>1260</v>
      </c>
      <c r="R1094">
        <v>0</v>
      </c>
      <c r="S1094">
        <v>0</v>
      </c>
      <c r="T1094" t="s">
        <v>17</v>
      </c>
      <c r="W1094">
        <v>400111</v>
      </c>
      <c r="AE1094">
        <v>0</v>
      </c>
      <c r="AP1094" t="s">
        <v>646</v>
      </c>
    </row>
    <row r="1095" spans="1:42">
      <c r="A1095" s="1" t="s">
        <v>46</v>
      </c>
      <c r="B1095" s="1" t="s">
        <v>2330</v>
      </c>
      <c r="C1095" s="1" t="s">
        <v>2330</v>
      </c>
      <c r="E1095" s="4" t="s">
        <v>2331</v>
      </c>
      <c r="G1095" s="16">
        <v>12</v>
      </c>
      <c r="M1095">
        <v>1</v>
      </c>
      <c r="N1095">
        <v>1</v>
      </c>
      <c r="O1095">
        <v>0</v>
      </c>
      <c r="P1095">
        <v>98</v>
      </c>
      <c r="Q1095">
        <v>98</v>
      </c>
      <c r="R1095">
        <v>0</v>
      </c>
      <c r="S1095">
        <v>0</v>
      </c>
      <c r="T1095" t="s">
        <v>17</v>
      </c>
      <c r="W1095">
        <v>400111</v>
      </c>
      <c r="AE1095">
        <v>0</v>
      </c>
      <c r="AP1095" t="s">
        <v>646</v>
      </c>
    </row>
    <row r="1096" spans="1:42">
      <c r="A1096" s="1" t="s">
        <v>46</v>
      </c>
      <c r="B1096" s="1" t="s">
        <v>2332</v>
      </c>
      <c r="C1096" s="1" t="s">
        <v>2332</v>
      </c>
      <c r="E1096" s="4" t="s">
        <v>2333</v>
      </c>
      <c r="G1096" s="16"/>
      <c r="I1096">
        <v>7</v>
      </c>
      <c r="M1096">
        <v>1</v>
      </c>
      <c r="N1096">
        <v>-38</v>
      </c>
      <c r="O1096">
        <v>0</v>
      </c>
      <c r="P1096">
        <v>1.86</v>
      </c>
      <c r="Q1096">
        <v>-70.510000000000005</v>
      </c>
      <c r="R1096" t="s">
        <v>579</v>
      </c>
      <c r="S1096">
        <v>0</v>
      </c>
      <c r="T1096" t="s">
        <v>52</v>
      </c>
      <c r="U1096">
        <v>0</v>
      </c>
      <c r="V1096">
        <v>0</v>
      </c>
      <c r="W1096">
        <v>400136</v>
      </c>
      <c r="AE1096">
        <v>0</v>
      </c>
      <c r="AH1096">
        <v>7</v>
      </c>
      <c r="AP1096" t="s">
        <v>732</v>
      </c>
    </row>
    <row r="1097" spans="1:42">
      <c r="A1097" s="1" t="s">
        <v>46</v>
      </c>
      <c r="B1097" s="1" t="s">
        <v>2334</v>
      </c>
      <c r="C1097" s="1" t="s">
        <v>2334</v>
      </c>
      <c r="E1097" s="4" t="s">
        <v>2335</v>
      </c>
      <c r="G1097" s="16"/>
      <c r="M1097">
        <v>1</v>
      </c>
      <c r="N1097">
        <v>-42</v>
      </c>
      <c r="O1097">
        <v>0</v>
      </c>
      <c r="P1097">
        <v>1.43</v>
      </c>
      <c r="Q1097">
        <v>-60.06</v>
      </c>
      <c r="R1097" t="s">
        <v>579</v>
      </c>
      <c r="S1097">
        <v>0</v>
      </c>
      <c r="T1097" t="s">
        <v>52</v>
      </c>
      <c r="U1097">
        <v>0</v>
      </c>
      <c r="V1097">
        <v>0</v>
      </c>
      <c r="W1097">
        <v>400112</v>
      </c>
      <c r="AE1097">
        <v>0</v>
      </c>
      <c r="AP1097" t="s">
        <v>220</v>
      </c>
    </row>
    <row r="1098" spans="1:42">
      <c r="A1098" s="1" t="s">
        <v>46</v>
      </c>
      <c r="B1098" s="1" t="s">
        <v>2336</v>
      </c>
      <c r="C1098" s="1" t="s">
        <v>2336</v>
      </c>
      <c r="E1098" s="4" t="s">
        <v>2337</v>
      </c>
      <c r="G1098" s="16"/>
      <c r="M1098">
        <v>1</v>
      </c>
      <c r="N1098">
        <v>3</v>
      </c>
      <c r="O1098">
        <v>0</v>
      </c>
      <c r="P1098">
        <v>5.23</v>
      </c>
      <c r="Q1098">
        <v>15.69</v>
      </c>
      <c r="R1098" t="s">
        <v>556</v>
      </c>
      <c r="S1098">
        <v>0</v>
      </c>
      <c r="T1098" t="s">
        <v>52</v>
      </c>
      <c r="U1098">
        <v>0</v>
      </c>
      <c r="V1098">
        <v>0</v>
      </c>
      <c r="W1098">
        <v>400013</v>
      </c>
      <c r="X1098" t="s">
        <v>56</v>
      </c>
      <c r="Y1098" t="s">
        <v>57</v>
      </c>
      <c r="AE1098">
        <v>0</v>
      </c>
      <c r="AP1098" t="s">
        <v>232</v>
      </c>
    </row>
    <row r="1099" spans="1:42">
      <c r="A1099" s="1" t="s">
        <v>46</v>
      </c>
      <c r="B1099" s="1" t="s">
        <v>2338</v>
      </c>
      <c r="C1099" s="1" t="s">
        <v>2338</v>
      </c>
      <c r="E1099" s="4" t="s">
        <v>2339</v>
      </c>
      <c r="G1099" s="16"/>
      <c r="I1099">
        <v>7.5</v>
      </c>
      <c r="M1099">
        <v>1</v>
      </c>
      <c r="N1099">
        <v>-4</v>
      </c>
      <c r="O1099">
        <v>0</v>
      </c>
      <c r="P1099">
        <v>2.04</v>
      </c>
      <c r="Q1099">
        <v>-8.17</v>
      </c>
      <c r="R1099" t="s">
        <v>579</v>
      </c>
      <c r="S1099">
        <v>0</v>
      </c>
      <c r="T1099">
        <v>0</v>
      </c>
      <c r="U1099">
        <v>0</v>
      </c>
      <c r="V1099">
        <v>0</v>
      </c>
      <c r="W1099">
        <v>400136</v>
      </c>
      <c r="AE1099">
        <v>0</v>
      </c>
      <c r="AH1099">
        <v>7.5</v>
      </c>
      <c r="AP1099" t="s">
        <v>732</v>
      </c>
    </row>
    <row r="1100" spans="1:42">
      <c r="A1100" s="1" t="s">
        <v>46</v>
      </c>
      <c r="B1100" s="1" t="s">
        <v>2340</v>
      </c>
      <c r="C1100" s="1" t="s">
        <v>2340</v>
      </c>
      <c r="E1100" s="4" t="s">
        <v>2341</v>
      </c>
      <c r="G1100" s="16"/>
      <c r="M1100">
        <v>1</v>
      </c>
      <c r="N1100">
        <v>-76</v>
      </c>
      <c r="O1100">
        <v>0</v>
      </c>
      <c r="P1100">
        <v>3.05</v>
      </c>
      <c r="Q1100">
        <v>-231.91</v>
      </c>
      <c r="R1100" t="s">
        <v>579</v>
      </c>
      <c r="S1100">
        <v>0</v>
      </c>
      <c r="T1100" t="s">
        <v>52</v>
      </c>
      <c r="U1100">
        <v>0</v>
      </c>
      <c r="V1100">
        <v>0</v>
      </c>
      <c r="W1100">
        <v>400013</v>
      </c>
      <c r="AE1100">
        <v>0</v>
      </c>
      <c r="AP1100" t="s">
        <v>232</v>
      </c>
    </row>
    <row r="1101" spans="1:42">
      <c r="A1101" s="1" t="s">
        <v>46</v>
      </c>
      <c r="B1101" s="1" t="s">
        <v>2342</v>
      </c>
      <c r="C1101" s="1" t="s">
        <v>2342</v>
      </c>
      <c r="E1101" s="4" t="s">
        <v>2343</v>
      </c>
      <c r="G1101" s="16"/>
      <c r="M1101">
        <v>1</v>
      </c>
      <c r="N1101">
        <v>-157</v>
      </c>
      <c r="O1101">
        <v>0</v>
      </c>
      <c r="P1101">
        <v>0.36</v>
      </c>
      <c r="Q1101">
        <v>-56.64</v>
      </c>
      <c r="R1101">
        <v>0</v>
      </c>
      <c r="S1101">
        <v>0</v>
      </c>
      <c r="T1101" t="s">
        <v>17</v>
      </c>
      <c r="W1101">
        <v>400103</v>
      </c>
      <c r="AE1101">
        <v>0</v>
      </c>
      <c r="AP1101" t="s">
        <v>261</v>
      </c>
    </row>
    <row r="1102" spans="1:42">
      <c r="A1102" s="1" t="s">
        <v>46</v>
      </c>
      <c r="B1102" s="1" t="s">
        <v>2344</v>
      </c>
      <c r="C1102" s="1" t="s">
        <v>2344</v>
      </c>
      <c r="E1102" s="4" t="s">
        <v>2345</v>
      </c>
      <c r="G1102" s="16"/>
      <c r="M1102">
        <v>1</v>
      </c>
      <c r="N1102">
        <v>-11</v>
      </c>
      <c r="O1102">
        <v>0</v>
      </c>
      <c r="P1102">
        <v>1.1499999999999999</v>
      </c>
      <c r="Q1102">
        <v>-12.65</v>
      </c>
      <c r="R1102" t="s">
        <v>579</v>
      </c>
      <c r="S1102">
        <v>0</v>
      </c>
      <c r="T1102">
        <v>0</v>
      </c>
      <c r="U1102">
        <v>0</v>
      </c>
      <c r="V1102">
        <v>0</v>
      </c>
      <c r="W1102">
        <v>400136</v>
      </c>
      <c r="AE1102">
        <v>0</v>
      </c>
      <c r="AP1102" t="s">
        <v>732</v>
      </c>
    </row>
    <row r="1103" spans="1:42">
      <c r="A1103" s="1" t="s">
        <v>46</v>
      </c>
      <c r="B1103" s="1" t="s">
        <v>2346</v>
      </c>
      <c r="C1103" s="1" t="s">
        <v>2346</v>
      </c>
      <c r="E1103" s="4" t="s">
        <v>2347</v>
      </c>
      <c r="G1103" s="16">
        <v>24</v>
      </c>
      <c r="M1103">
        <v>1</v>
      </c>
      <c r="N1103">
        <v>5</v>
      </c>
      <c r="O1103">
        <v>0</v>
      </c>
      <c r="P1103">
        <v>3.18</v>
      </c>
      <c r="Q1103">
        <v>15.89</v>
      </c>
      <c r="R1103" t="s">
        <v>556</v>
      </c>
      <c r="S1103">
        <v>0</v>
      </c>
      <c r="T1103" t="s">
        <v>52</v>
      </c>
      <c r="U1103">
        <v>0</v>
      </c>
      <c r="V1103">
        <v>0</v>
      </c>
      <c r="W1103">
        <v>400013</v>
      </c>
      <c r="AE1103">
        <v>0</v>
      </c>
      <c r="AP1103" t="s">
        <v>232</v>
      </c>
    </row>
    <row r="1104" spans="1:42">
      <c r="A1104" s="1" t="s">
        <v>46</v>
      </c>
      <c r="B1104" s="1" t="s">
        <v>2348</v>
      </c>
      <c r="C1104" s="1" t="s">
        <v>2348</v>
      </c>
      <c r="E1104" s="4" t="s">
        <v>2349</v>
      </c>
      <c r="G1104" s="16"/>
      <c r="M1104">
        <v>1</v>
      </c>
      <c r="N1104">
        <v>8</v>
      </c>
      <c r="O1104">
        <v>0</v>
      </c>
      <c r="P1104">
        <v>75.209999999999994</v>
      </c>
      <c r="Q1104">
        <v>601.66999999999996</v>
      </c>
      <c r="R1104" t="s">
        <v>556</v>
      </c>
      <c r="S1104">
        <v>0</v>
      </c>
      <c r="T1104" t="s">
        <v>52</v>
      </c>
      <c r="U1104">
        <v>0</v>
      </c>
      <c r="V1104">
        <v>0</v>
      </c>
      <c r="W1104">
        <v>400013</v>
      </c>
      <c r="X1104" t="s">
        <v>56</v>
      </c>
      <c r="Y1104" t="s">
        <v>57</v>
      </c>
      <c r="AE1104">
        <v>0</v>
      </c>
      <c r="AP1104" t="s">
        <v>232</v>
      </c>
    </row>
    <row r="1105" spans="1:42">
      <c r="A1105" s="1" t="s">
        <v>46</v>
      </c>
      <c r="B1105" s="1" t="s">
        <v>2350</v>
      </c>
      <c r="C1105" s="1" t="s">
        <v>2350</v>
      </c>
      <c r="E1105" s="4" t="s">
        <v>2351</v>
      </c>
      <c r="G1105" s="16"/>
      <c r="M1105">
        <v>1</v>
      </c>
      <c r="N1105">
        <v>-17</v>
      </c>
      <c r="O1105">
        <v>0</v>
      </c>
      <c r="P1105">
        <v>1.96</v>
      </c>
      <c r="Q1105">
        <v>-33.4</v>
      </c>
      <c r="R1105" t="s">
        <v>579</v>
      </c>
      <c r="S1105">
        <v>0</v>
      </c>
      <c r="T1105" t="s">
        <v>52</v>
      </c>
      <c r="W1105">
        <v>400013</v>
      </c>
      <c r="AE1105">
        <v>0</v>
      </c>
      <c r="AP1105" t="s">
        <v>232</v>
      </c>
    </row>
    <row r="1106" spans="1:42">
      <c r="A1106" s="1" t="s">
        <v>46</v>
      </c>
      <c r="B1106" s="1" t="s">
        <v>2352</v>
      </c>
      <c r="C1106" s="1" t="s">
        <v>2352</v>
      </c>
      <c r="E1106" s="4" t="s">
        <v>2353</v>
      </c>
      <c r="G1106" s="16"/>
      <c r="M1106">
        <v>1</v>
      </c>
      <c r="N1106">
        <v>-1</v>
      </c>
      <c r="O1106">
        <v>0</v>
      </c>
      <c r="P1106">
        <v>109.8</v>
      </c>
      <c r="Q1106">
        <v>-109.8</v>
      </c>
      <c r="R1106" t="s">
        <v>556</v>
      </c>
      <c r="S1106">
        <v>0</v>
      </c>
      <c r="T1106" t="s">
        <v>52</v>
      </c>
      <c r="AE1106">
        <v>0</v>
      </c>
    </row>
    <row r="1107" spans="1:42">
      <c r="A1107" s="1" t="s">
        <v>46</v>
      </c>
      <c r="B1107" s="1" t="s">
        <v>2354</v>
      </c>
      <c r="C1107" s="1" t="s">
        <v>2354</v>
      </c>
      <c r="E1107" s="4" t="s">
        <v>2355</v>
      </c>
      <c r="G1107" s="16">
        <v>12</v>
      </c>
      <c r="I1107">
        <v>3</v>
      </c>
      <c r="M1107">
        <v>1</v>
      </c>
      <c r="N1107">
        <v>-114.7</v>
      </c>
      <c r="O1107">
        <v>0</v>
      </c>
      <c r="P1107">
        <v>13.85</v>
      </c>
      <c r="Q1107">
        <v>-1588.6</v>
      </c>
      <c r="R1107" t="s">
        <v>579</v>
      </c>
      <c r="S1107">
        <v>0</v>
      </c>
      <c r="T1107" t="s">
        <v>209</v>
      </c>
      <c r="U1107">
        <v>0</v>
      </c>
      <c r="V1107">
        <v>0</v>
      </c>
      <c r="W1107">
        <v>410029</v>
      </c>
      <c r="X1107" t="s">
        <v>56</v>
      </c>
      <c r="Y1107" t="s">
        <v>57</v>
      </c>
      <c r="AE1107">
        <v>0</v>
      </c>
      <c r="AH1107">
        <v>3</v>
      </c>
      <c r="AP1107" t="s">
        <v>606</v>
      </c>
    </row>
    <row r="1108" spans="1:42">
      <c r="A1108" s="1" t="s">
        <v>46</v>
      </c>
      <c r="B1108" s="1" t="s">
        <v>2356</v>
      </c>
      <c r="C1108" s="1" t="s">
        <v>2356</v>
      </c>
      <c r="E1108" s="4" t="s">
        <v>2357</v>
      </c>
      <c r="G1108" s="16">
        <v>18</v>
      </c>
      <c r="M1108">
        <v>1</v>
      </c>
      <c r="N1108">
        <v>12.4</v>
      </c>
      <c r="O1108">
        <v>0</v>
      </c>
      <c r="P1108">
        <v>39.65</v>
      </c>
      <c r="Q1108">
        <v>491.72</v>
      </c>
      <c r="R1108" t="s">
        <v>556</v>
      </c>
      <c r="S1108">
        <v>0</v>
      </c>
      <c r="T1108" t="s">
        <v>209</v>
      </c>
      <c r="U1108">
        <v>0</v>
      </c>
      <c r="V1108">
        <v>0</v>
      </c>
      <c r="W1108">
        <v>400013</v>
      </c>
      <c r="X1108" t="s">
        <v>56</v>
      </c>
      <c r="Y1108" t="s">
        <v>57</v>
      </c>
      <c r="AE1108">
        <v>0</v>
      </c>
      <c r="AP1108" t="s">
        <v>232</v>
      </c>
    </row>
    <row r="1109" spans="1:42">
      <c r="A1109" s="1" t="s">
        <v>46</v>
      </c>
      <c r="B1109" s="1" t="s">
        <v>2358</v>
      </c>
      <c r="C1109" s="1" t="s">
        <v>2358</v>
      </c>
      <c r="E1109" s="4" t="s">
        <v>2359</v>
      </c>
      <c r="G1109" s="16">
        <v>2.75</v>
      </c>
      <c r="M1109">
        <v>1</v>
      </c>
      <c r="N1109">
        <v>18</v>
      </c>
      <c r="O1109">
        <v>0</v>
      </c>
      <c r="P1109">
        <v>16.239999999999998</v>
      </c>
      <c r="Q1109">
        <v>292.3</v>
      </c>
      <c r="R1109" t="s">
        <v>241</v>
      </c>
      <c r="S1109">
        <v>0</v>
      </c>
      <c r="T1109" t="s">
        <v>209</v>
      </c>
      <c r="U1109">
        <v>0</v>
      </c>
      <c r="V1109">
        <v>0</v>
      </c>
      <c r="W1109">
        <v>400118</v>
      </c>
      <c r="AE1109">
        <v>0</v>
      </c>
      <c r="AP1109" t="s">
        <v>1004</v>
      </c>
    </row>
    <row r="1110" spans="1:42">
      <c r="A1110" s="1" t="s">
        <v>46</v>
      </c>
      <c r="B1110" s="1" t="s">
        <v>2360</v>
      </c>
      <c r="C1110" s="1" t="s">
        <v>2360</v>
      </c>
      <c r="E1110" s="4" t="s">
        <v>2361</v>
      </c>
      <c r="G1110" s="16">
        <v>2.75</v>
      </c>
      <c r="M1110">
        <v>1</v>
      </c>
      <c r="N1110">
        <v>2</v>
      </c>
      <c r="O1110">
        <v>0</v>
      </c>
      <c r="P1110">
        <v>15.72</v>
      </c>
      <c r="Q1110">
        <v>31.44</v>
      </c>
      <c r="R1110" t="s">
        <v>556</v>
      </c>
      <c r="S1110">
        <v>0</v>
      </c>
      <c r="T1110" t="s">
        <v>52</v>
      </c>
      <c r="U1110">
        <v>0</v>
      </c>
      <c r="V1110">
        <v>0</v>
      </c>
      <c r="W1110">
        <v>400013</v>
      </c>
      <c r="AE1110">
        <v>0</v>
      </c>
      <c r="AP1110" t="s">
        <v>232</v>
      </c>
    </row>
    <row r="1111" spans="1:42">
      <c r="A1111" s="1" t="s">
        <v>46</v>
      </c>
      <c r="B1111" s="1" t="s">
        <v>2362</v>
      </c>
      <c r="C1111" s="1" t="s">
        <v>2362</v>
      </c>
      <c r="E1111" s="4" t="s">
        <v>2363</v>
      </c>
      <c r="G1111" s="16"/>
      <c r="M1111">
        <v>1</v>
      </c>
      <c r="N1111">
        <v>37</v>
      </c>
      <c r="O1111">
        <v>0</v>
      </c>
      <c r="P1111">
        <v>4.34</v>
      </c>
      <c r="Q1111">
        <v>160.74</v>
      </c>
      <c r="R1111" t="s">
        <v>556</v>
      </c>
      <c r="S1111">
        <v>0</v>
      </c>
      <c r="T1111" t="s">
        <v>52</v>
      </c>
      <c r="U1111">
        <v>0</v>
      </c>
      <c r="V1111">
        <v>0</v>
      </c>
      <c r="W1111">
        <v>400013</v>
      </c>
      <c r="X1111" t="s">
        <v>56</v>
      </c>
      <c r="Y1111" t="s">
        <v>57</v>
      </c>
      <c r="AE1111">
        <v>0</v>
      </c>
      <c r="AP1111" t="s">
        <v>232</v>
      </c>
    </row>
    <row r="1112" spans="1:42">
      <c r="A1112" s="1" t="s">
        <v>46</v>
      </c>
      <c r="B1112" s="1" t="s">
        <v>2364</v>
      </c>
      <c r="C1112" s="1" t="s">
        <v>2364</v>
      </c>
      <c r="E1112" s="4" t="s">
        <v>2365</v>
      </c>
      <c r="G1112" s="16"/>
      <c r="I1112">
        <v>4.75</v>
      </c>
      <c r="M1112">
        <v>1</v>
      </c>
      <c r="N1112">
        <v>-3</v>
      </c>
      <c r="O1112">
        <v>0</v>
      </c>
      <c r="P1112">
        <v>1.52</v>
      </c>
      <c r="Q1112">
        <v>-4.5599999999999996</v>
      </c>
      <c r="R1112" t="s">
        <v>579</v>
      </c>
      <c r="S1112">
        <v>0</v>
      </c>
      <c r="T1112" t="s">
        <v>52</v>
      </c>
      <c r="V1112">
        <v>0</v>
      </c>
      <c r="W1112">
        <v>400136</v>
      </c>
      <c r="AE1112">
        <v>0</v>
      </c>
      <c r="AH1112">
        <v>4.75</v>
      </c>
      <c r="AP1112" t="s">
        <v>732</v>
      </c>
    </row>
    <row r="1113" spans="1:42">
      <c r="A1113" s="1" t="s">
        <v>46</v>
      </c>
      <c r="B1113" s="1" t="s">
        <v>2366</v>
      </c>
      <c r="C1113" s="1" t="s">
        <v>2366</v>
      </c>
      <c r="E1113" s="4" t="s">
        <v>2367</v>
      </c>
      <c r="G1113" s="16">
        <v>3.5</v>
      </c>
      <c r="M1113">
        <v>1</v>
      </c>
      <c r="N1113">
        <v>-79</v>
      </c>
      <c r="O1113">
        <v>0</v>
      </c>
      <c r="P1113">
        <v>2.31</v>
      </c>
      <c r="Q1113">
        <v>-182.52</v>
      </c>
      <c r="R1113" t="s">
        <v>579</v>
      </c>
      <c r="S1113">
        <v>0</v>
      </c>
      <c r="T1113" t="s">
        <v>52</v>
      </c>
      <c r="U1113">
        <v>0</v>
      </c>
      <c r="V1113">
        <v>0</v>
      </c>
      <c r="W1113">
        <v>400013</v>
      </c>
      <c r="AE1113">
        <v>0</v>
      </c>
      <c r="AP1113" t="s">
        <v>232</v>
      </c>
    </row>
    <row r="1114" spans="1:42">
      <c r="A1114" s="1" t="s">
        <v>46</v>
      </c>
      <c r="B1114" s="1" t="s">
        <v>2368</v>
      </c>
      <c r="C1114" s="1" t="s">
        <v>2368</v>
      </c>
      <c r="E1114" s="4" t="s">
        <v>2369</v>
      </c>
      <c r="G1114" s="16">
        <v>4</v>
      </c>
      <c r="M1114">
        <v>1</v>
      </c>
      <c r="N1114">
        <v>2</v>
      </c>
      <c r="O1114">
        <v>0</v>
      </c>
      <c r="P1114">
        <v>8.5500000000000007</v>
      </c>
      <c r="Q1114">
        <v>17.100000000000001</v>
      </c>
      <c r="R1114" t="s">
        <v>176</v>
      </c>
      <c r="S1114">
        <v>0</v>
      </c>
      <c r="T1114" t="s">
        <v>52</v>
      </c>
      <c r="U1114">
        <v>0</v>
      </c>
      <c r="V1114">
        <v>0</v>
      </c>
      <c r="W1114">
        <v>400061</v>
      </c>
      <c r="AE1114">
        <v>0</v>
      </c>
      <c r="AP1114" t="s">
        <v>169</v>
      </c>
    </row>
    <row r="1115" spans="1:42">
      <c r="A1115" s="1" t="s">
        <v>46</v>
      </c>
      <c r="B1115" s="1" t="s">
        <v>2370</v>
      </c>
      <c r="C1115" s="1" t="s">
        <v>2370</v>
      </c>
      <c r="E1115" s="4" t="s">
        <v>2371</v>
      </c>
      <c r="G1115" s="16"/>
      <c r="I1115">
        <v>3.75</v>
      </c>
      <c r="M1115">
        <v>1</v>
      </c>
      <c r="N1115">
        <v>-13</v>
      </c>
      <c r="O1115">
        <v>0</v>
      </c>
      <c r="P1115">
        <v>0.75</v>
      </c>
      <c r="Q1115">
        <v>-9.75</v>
      </c>
      <c r="R1115" t="s">
        <v>579</v>
      </c>
      <c r="S1115">
        <v>0</v>
      </c>
      <c r="T1115" t="s">
        <v>52</v>
      </c>
      <c r="W1115">
        <v>400112</v>
      </c>
      <c r="AE1115">
        <v>0</v>
      </c>
      <c r="AH1115">
        <v>3.75</v>
      </c>
      <c r="AP1115" t="s">
        <v>220</v>
      </c>
    </row>
    <row r="1116" spans="1:42">
      <c r="A1116" s="1" t="s">
        <v>46</v>
      </c>
      <c r="B1116" s="1" t="s">
        <v>2372</v>
      </c>
      <c r="C1116" s="1" t="s">
        <v>2372</v>
      </c>
      <c r="E1116" s="4" t="s">
        <v>2373</v>
      </c>
      <c r="F1116" s="4"/>
      <c r="G1116" s="16">
        <v>5.5</v>
      </c>
      <c r="M1116">
        <v>1</v>
      </c>
      <c r="N1116">
        <v>3</v>
      </c>
      <c r="O1116">
        <v>0</v>
      </c>
      <c r="P1116">
        <v>1.66</v>
      </c>
      <c r="Q1116">
        <v>4.99</v>
      </c>
      <c r="R1116" t="s">
        <v>241</v>
      </c>
      <c r="S1116">
        <v>0</v>
      </c>
      <c r="T1116" t="s">
        <v>52</v>
      </c>
      <c r="U1116">
        <v>0</v>
      </c>
      <c r="V1116">
        <v>0</v>
      </c>
      <c r="W1116">
        <v>400013</v>
      </c>
      <c r="AE1116">
        <v>0</v>
      </c>
      <c r="AP1116" t="s">
        <v>232</v>
      </c>
    </row>
    <row r="1117" spans="1:42">
      <c r="A1117" s="1" t="s">
        <v>46</v>
      </c>
      <c r="B1117" s="1" t="s">
        <v>2374</v>
      </c>
      <c r="C1117" s="1" t="s">
        <v>2374</v>
      </c>
      <c r="E1117" s="4" t="s">
        <v>2375</v>
      </c>
      <c r="G1117" s="16"/>
      <c r="M1117">
        <v>1</v>
      </c>
      <c r="N1117">
        <v>0</v>
      </c>
      <c r="O1117">
        <v>0</v>
      </c>
      <c r="P1117">
        <v>68.25</v>
      </c>
      <c r="Q1117">
        <v>0</v>
      </c>
      <c r="R1117" t="s">
        <v>176</v>
      </c>
      <c r="S1117">
        <v>0</v>
      </c>
      <c r="T1117" t="s">
        <v>227</v>
      </c>
      <c r="U1117">
        <v>0</v>
      </c>
      <c r="V1117">
        <v>0</v>
      </c>
      <c r="W1117">
        <v>400203</v>
      </c>
      <c r="X1117" t="s">
        <v>56</v>
      </c>
      <c r="Y1117" t="s">
        <v>57</v>
      </c>
      <c r="AE1117">
        <v>0</v>
      </c>
      <c r="AP1117" t="s">
        <v>837</v>
      </c>
    </row>
    <row r="1118" spans="1:42">
      <c r="A1118" s="1" t="s">
        <v>46</v>
      </c>
      <c r="B1118" s="1" t="s">
        <v>2376</v>
      </c>
      <c r="C1118" s="1" t="s">
        <v>2376</v>
      </c>
      <c r="E1118" s="4" t="s">
        <v>2377</v>
      </c>
      <c r="G1118" s="16"/>
      <c r="I1118">
        <v>5.5</v>
      </c>
      <c r="M1118">
        <v>1</v>
      </c>
      <c r="N1118">
        <v>-319</v>
      </c>
      <c r="O1118">
        <v>0</v>
      </c>
      <c r="P1118">
        <v>1.29</v>
      </c>
      <c r="Q1118">
        <v>-413.08</v>
      </c>
      <c r="R1118" t="s">
        <v>579</v>
      </c>
      <c r="S1118">
        <v>0</v>
      </c>
      <c r="T1118" t="s">
        <v>52</v>
      </c>
      <c r="U1118">
        <v>0</v>
      </c>
      <c r="V1118">
        <v>0</v>
      </c>
      <c r="W1118">
        <v>400013</v>
      </c>
      <c r="X1118" t="s">
        <v>56</v>
      </c>
      <c r="Y1118" t="s">
        <v>57</v>
      </c>
      <c r="AE1118">
        <v>0</v>
      </c>
      <c r="AH1118">
        <v>5.5</v>
      </c>
      <c r="AP1118" t="s">
        <v>232</v>
      </c>
    </row>
    <row r="1119" spans="1:42">
      <c r="A1119" s="1" t="s">
        <v>46</v>
      </c>
      <c r="B1119" s="1" t="s">
        <v>2378</v>
      </c>
      <c r="C1119" s="1" t="s">
        <v>2378</v>
      </c>
      <c r="E1119" s="4" t="s">
        <v>2379</v>
      </c>
      <c r="G1119" s="16">
        <v>9</v>
      </c>
      <c r="M1119">
        <v>1</v>
      </c>
      <c r="N1119">
        <v>24</v>
      </c>
      <c r="O1119">
        <v>0</v>
      </c>
      <c r="P1119">
        <v>2.7</v>
      </c>
      <c r="Q1119">
        <v>64.73</v>
      </c>
      <c r="R1119" t="s">
        <v>556</v>
      </c>
      <c r="S1119">
        <v>0</v>
      </c>
      <c r="T1119" t="s">
        <v>52</v>
      </c>
      <c r="U1119">
        <v>0</v>
      </c>
      <c r="V1119">
        <v>0</v>
      </c>
      <c r="W1119">
        <v>400013</v>
      </c>
      <c r="X1119" t="s">
        <v>56</v>
      </c>
      <c r="Y1119" t="s">
        <v>57</v>
      </c>
      <c r="AE1119">
        <v>0</v>
      </c>
      <c r="AP1119" t="s">
        <v>232</v>
      </c>
    </row>
    <row r="1120" spans="1:42">
      <c r="A1120" s="1" t="s">
        <v>46</v>
      </c>
      <c r="B1120" s="1" t="s">
        <v>2380</v>
      </c>
      <c r="C1120" s="1" t="s">
        <v>2380</v>
      </c>
      <c r="E1120" s="4" t="s">
        <v>2381</v>
      </c>
      <c r="G1120" s="16"/>
      <c r="M1120">
        <v>1</v>
      </c>
      <c r="N1120">
        <v>6</v>
      </c>
      <c r="O1120">
        <v>0</v>
      </c>
      <c r="P1120">
        <v>7.42</v>
      </c>
      <c r="Q1120">
        <v>44.54</v>
      </c>
      <c r="R1120" t="s">
        <v>556</v>
      </c>
      <c r="S1120">
        <v>0</v>
      </c>
      <c r="T1120" t="s">
        <v>52</v>
      </c>
      <c r="U1120">
        <v>0</v>
      </c>
      <c r="V1120">
        <v>0</v>
      </c>
      <c r="W1120">
        <v>400013</v>
      </c>
      <c r="X1120" t="s">
        <v>56</v>
      </c>
      <c r="Y1120" t="s">
        <v>57</v>
      </c>
      <c r="AE1120">
        <v>0</v>
      </c>
      <c r="AP1120" t="s">
        <v>232</v>
      </c>
    </row>
    <row r="1121" spans="1:42">
      <c r="A1121" s="1" t="s">
        <v>46</v>
      </c>
      <c r="B1121" s="1" t="s">
        <v>2382</v>
      </c>
      <c r="C1121" s="1" t="s">
        <v>2382</v>
      </c>
      <c r="E1121" s="4" t="s">
        <v>2383</v>
      </c>
      <c r="G1121" s="16"/>
      <c r="M1121">
        <v>1</v>
      </c>
      <c r="N1121">
        <v>2</v>
      </c>
      <c r="O1121">
        <v>0</v>
      </c>
      <c r="P1121">
        <v>5.31</v>
      </c>
      <c r="Q1121">
        <v>10.63</v>
      </c>
      <c r="R1121" t="s">
        <v>556</v>
      </c>
      <c r="S1121">
        <v>0</v>
      </c>
      <c r="T1121" t="s">
        <v>52</v>
      </c>
      <c r="U1121">
        <v>0</v>
      </c>
      <c r="V1121">
        <v>0</v>
      </c>
      <c r="W1121">
        <v>400013</v>
      </c>
      <c r="AE1121">
        <v>0</v>
      </c>
      <c r="AP1121" t="s">
        <v>232</v>
      </c>
    </row>
    <row r="1122" spans="1:42">
      <c r="A1122" s="1" t="s">
        <v>46</v>
      </c>
      <c r="B1122" s="1" t="s">
        <v>2384</v>
      </c>
      <c r="C1122" s="1" t="s">
        <v>2384</v>
      </c>
      <c r="E1122" s="4" t="s">
        <v>2385</v>
      </c>
      <c r="G1122" s="16">
        <v>13</v>
      </c>
      <c r="M1122">
        <v>1</v>
      </c>
      <c r="N1122">
        <v>2</v>
      </c>
      <c r="O1122">
        <v>0</v>
      </c>
      <c r="P1122">
        <v>5</v>
      </c>
      <c r="Q1122">
        <v>10</v>
      </c>
      <c r="W1122">
        <v>400061</v>
      </c>
      <c r="AE1122">
        <v>0</v>
      </c>
      <c r="AP1122" t="s">
        <v>169</v>
      </c>
    </row>
    <row r="1123" spans="1:42">
      <c r="A1123" s="1" t="s">
        <v>46</v>
      </c>
      <c r="B1123" s="1" t="s">
        <v>2386</v>
      </c>
      <c r="C1123" s="1" t="s">
        <v>2386</v>
      </c>
      <c r="E1123" s="4" t="s">
        <v>2387</v>
      </c>
      <c r="G1123" s="16"/>
      <c r="M1123">
        <v>1</v>
      </c>
      <c r="N1123">
        <v>-4</v>
      </c>
      <c r="O1123">
        <v>0</v>
      </c>
      <c r="P1123">
        <v>6.18</v>
      </c>
      <c r="Q1123">
        <v>-24.72</v>
      </c>
      <c r="R1123" t="s">
        <v>556</v>
      </c>
      <c r="S1123">
        <v>0</v>
      </c>
      <c r="T1123" t="s">
        <v>52</v>
      </c>
      <c r="AE1123">
        <v>0</v>
      </c>
    </row>
    <row r="1124" spans="1:42">
      <c r="A1124" s="1" t="s">
        <v>46</v>
      </c>
      <c r="B1124" s="1" t="s">
        <v>2388</v>
      </c>
      <c r="C1124" s="1" t="s">
        <v>2388</v>
      </c>
      <c r="E1124" s="4" t="s">
        <v>2389</v>
      </c>
      <c r="G1124" s="16"/>
      <c r="I1124">
        <v>7</v>
      </c>
      <c r="M1124">
        <v>1</v>
      </c>
      <c r="N1124">
        <v>-1</v>
      </c>
      <c r="O1124">
        <v>0</v>
      </c>
      <c r="P1124">
        <v>3.91</v>
      </c>
      <c r="Q1124">
        <v>-3.91</v>
      </c>
      <c r="R1124" t="s">
        <v>579</v>
      </c>
      <c r="S1124">
        <v>0</v>
      </c>
      <c r="T1124" t="s">
        <v>52</v>
      </c>
      <c r="U1124">
        <v>0</v>
      </c>
      <c r="V1124">
        <v>0</v>
      </c>
      <c r="W1124">
        <v>400013</v>
      </c>
      <c r="AE1124">
        <v>0</v>
      </c>
      <c r="AH1124">
        <v>7</v>
      </c>
      <c r="AP1124" t="s">
        <v>232</v>
      </c>
    </row>
    <row r="1125" spans="1:42">
      <c r="A1125" s="1" t="s">
        <v>46</v>
      </c>
      <c r="B1125" s="1" t="s">
        <v>2390</v>
      </c>
      <c r="C1125" s="1" t="s">
        <v>2390</v>
      </c>
      <c r="E1125" s="4" t="s">
        <v>2391</v>
      </c>
      <c r="G1125" s="16">
        <v>23</v>
      </c>
      <c r="I1125">
        <v>7.5</v>
      </c>
      <c r="M1125">
        <v>1</v>
      </c>
      <c r="N1125">
        <v>2</v>
      </c>
      <c r="O1125">
        <v>0</v>
      </c>
      <c r="P1125">
        <v>4.0599999999999996</v>
      </c>
      <c r="Q1125">
        <v>8.1199999999999992</v>
      </c>
      <c r="R1125" t="s">
        <v>579</v>
      </c>
      <c r="S1125">
        <v>0</v>
      </c>
      <c r="T1125" t="s">
        <v>52</v>
      </c>
      <c r="U1125">
        <v>0</v>
      </c>
      <c r="V1125">
        <v>0</v>
      </c>
      <c r="W1125">
        <v>400013</v>
      </c>
      <c r="AE1125">
        <v>0</v>
      </c>
      <c r="AH1125">
        <v>7.5</v>
      </c>
      <c r="AP1125" t="s">
        <v>232</v>
      </c>
    </row>
    <row r="1126" spans="1:42">
      <c r="A1126" s="1" t="s">
        <v>46</v>
      </c>
      <c r="B1126" s="1" t="s">
        <v>2392</v>
      </c>
      <c r="C1126" s="1" t="s">
        <v>2392</v>
      </c>
      <c r="E1126" s="4" t="s">
        <v>2393</v>
      </c>
      <c r="G1126" s="16"/>
      <c r="M1126">
        <v>1</v>
      </c>
      <c r="N1126">
        <v>514</v>
      </c>
      <c r="O1126">
        <v>0</v>
      </c>
      <c r="P1126">
        <v>2.5</v>
      </c>
      <c r="Q1126">
        <v>1285</v>
      </c>
      <c r="R1126" t="s">
        <v>579</v>
      </c>
      <c r="S1126">
        <v>0</v>
      </c>
      <c r="T1126" t="s">
        <v>52</v>
      </c>
      <c r="U1126">
        <v>0</v>
      </c>
      <c r="V1126">
        <v>0</v>
      </c>
      <c r="W1126">
        <v>400112</v>
      </c>
      <c r="AE1126">
        <v>0</v>
      </c>
      <c r="AP1126" t="s">
        <v>220</v>
      </c>
    </row>
    <row r="1127" spans="1:42">
      <c r="A1127" s="1" t="s">
        <v>46</v>
      </c>
      <c r="B1127" s="1" t="s">
        <v>2394</v>
      </c>
      <c r="C1127" s="1" t="s">
        <v>2394</v>
      </c>
      <c r="E1127" s="4" t="s">
        <v>2395</v>
      </c>
      <c r="G1127" s="16"/>
      <c r="I1127">
        <v>5</v>
      </c>
      <c r="M1127">
        <v>1</v>
      </c>
      <c r="N1127">
        <v>-40</v>
      </c>
      <c r="O1127">
        <v>0</v>
      </c>
      <c r="P1127">
        <v>0.71</v>
      </c>
      <c r="Q1127">
        <v>-28.26</v>
      </c>
      <c r="R1127" t="s">
        <v>579</v>
      </c>
      <c r="S1127">
        <v>0</v>
      </c>
      <c r="T1127" t="s">
        <v>52</v>
      </c>
      <c r="U1127">
        <v>0</v>
      </c>
      <c r="V1127">
        <v>0</v>
      </c>
      <c r="W1127">
        <v>400013</v>
      </c>
      <c r="AE1127">
        <v>0</v>
      </c>
      <c r="AH1127">
        <v>5</v>
      </c>
      <c r="AP1127" t="s">
        <v>232</v>
      </c>
    </row>
    <row r="1128" spans="1:42">
      <c r="A1128" s="1" t="s">
        <v>46</v>
      </c>
      <c r="B1128" s="1" t="s">
        <v>2396</v>
      </c>
      <c r="C1128" s="1" t="s">
        <v>2396</v>
      </c>
      <c r="E1128" s="4" t="s">
        <v>2397</v>
      </c>
      <c r="G1128" s="16"/>
      <c r="M1128">
        <v>1</v>
      </c>
      <c r="N1128">
        <v>2</v>
      </c>
      <c r="O1128">
        <v>0</v>
      </c>
      <c r="P1128">
        <v>1.43</v>
      </c>
      <c r="Q1128">
        <v>2.85</v>
      </c>
      <c r="R1128" t="s">
        <v>556</v>
      </c>
      <c r="S1128">
        <v>0</v>
      </c>
      <c r="T1128" t="s">
        <v>52</v>
      </c>
      <c r="U1128">
        <v>0</v>
      </c>
      <c r="V1128">
        <v>0</v>
      </c>
      <c r="W1128">
        <v>400013</v>
      </c>
      <c r="AE1128">
        <v>0</v>
      </c>
      <c r="AP1128" t="s">
        <v>232</v>
      </c>
    </row>
    <row r="1129" spans="1:42">
      <c r="A1129" s="1" t="s">
        <v>46</v>
      </c>
      <c r="B1129" s="1" t="s">
        <v>2398</v>
      </c>
      <c r="C1129" s="1" t="s">
        <v>2398</v>
      </c>
      <c r="E1129" s="4" t="s">
        <v>2399</v>
      </c>
      <c r="G1129" s="16"/>
      <c r="M1129">
        <v>1</v>
      </c>
      <c r="N1129">
        <v>8</v>
      </c>
      <c r="O1129">
        <v>0</v>
      </c>
      <c r="P1129">
        <v>1.52</v>
      </c>
      <c r="Q1129">
        <v>12.15</v>
      </c>
      <c r="R1129" t="s">
        <v>556</v>
      </c>
      <c r="S1129">
        <v>0</v>
      </c>
      <c r="T1129" t="s">
        <v>52</v>
      </c>
      <c r="U1129">
        <v>0</v>
      </c>
      <c r="V1129">
        <v>0</v>
      </c>
      <c r="W1129">
        <v>400013</v>
      </c>
      <c r="X1129" t="s">
        <v>56</v>
      </c>
      <c r="Y1129" t="s">
        <v>57</v>
      </c>
      <c r="AE1129">
        <v>0</v>
      </c>
      <c r="AP1129" t="s">
        <v>232</v>
      </c>
    </row>
    <row r="1130" spans="1:42">
      <c r="A1130" s="1" t="s">
        <v>46</v>
      </c>
      <c r="B1130" s="1" t="s">
        <v>2400</v>
      </c>
      <c r="C1130" s="1" t="s">
        <v>2400</v>
      </c>
      <c r="E1130" s="4" t="s">
        <v>2401</v>
      </c>
      <c r="G1130" s="16"/>
      <c r="M1130">
        <v>1</v>
      </c>
      <c r="N1130">
        <v>1</v>
      </c>
      <c r="O1130">
        <v>0</v>
      </c>
      <c r="P1130">
        <v>6</v>
      </c>
      <c r="Q1130">
        <v>6</v>
      </c>
      <c r="W1130">
        <v>400061</v>
      </c>
      <c r="AE1130">
        <v>0</v>
      </c>
      <c r="AP1130" t="s">
        <v>169</v>
      </c>
    </row>
    <row r="1131" spans="1:42">
      <c r="A1131" s="1" t="s">
        <v>46</v>
      </c>
      <c r="B1131" s="1" t="s">
        <v>2402</v>
      </c>
      <c r="C1131" s="1" t="s">
        <v>2402</v>
      </c>
      <c r="E1131" s="4" t="s">
        <v>2403</v>
      </c>
      <c r="G1131" s="16"/>
      <c r="I1131">
        <v>23</v>
      </c>
      <c r="M1131">
        <v>1</v>
      </c>
      <c r="N1131">
        <v>25</v>
      </c>
      <c r="O1131">
        <v>0</v>
      </c>
      <c r="P1131">
        <v>8.5</v>
      </c>
      <c r="Q1131">
        <v>212.5</v>
      </c>
      <c r="R1131" t="s">
        <v>172</v>
      </c>
      <c r="S1131">
        <v>0</v>
      </c>
      <c r="T1131" t="s">
        <v>52</v>
      </c>
      <c r="U1131">
        <v>0</v>
      </c>
      <c r="V1131">
        <v>0</v>
      </c>
      <c r="W1131">
        <v>400045</v>
      </c>
      <c r="X1131" t="s">
        <v>56</v>
      </c>
      <c r="Y1131" t="s">
        <v>57</v>
      </c>
      <c r="AE1131">
        <v>0</v>
      </c>
      <c r="AH1131">
        <v>23</v>
      </c>
      <c r="AP1131" t="s">
        <v>217</v>
      </c>
    </row>
    <row r="1132" spans="1:42">
      <c r="A1132" s="1" t="s">
        <v>46</v>
      </c>
      <c r="B1132" s="1" t="s">
        <v>2404</v>
      </c>
      <c r="C1132" s="1" t="s">
        <v>2404</v>
      </c>
      <c r="E1132" s="4" t="s">
        <v>2405</v>
      </c>
      <c r="G1132" s="16"/>
      <c r="M1132">
        <v>1</v>
      </c>
      <c r="N1132">
        <v>-15</v>
      </c>
      <c r="O1132">
        <v>0</v>
      </c>
      <c r="T1132" t="s">
        <v>17</v>
      </c>
      <c r="AE1132">
        <v>0</v>
      </c>
    </row>
    <row r="1133" spans="1:42">
      <c r="A1133" s="1" t="s">
        <v>46</v>
      </c>
      <c r="B1133" s="1" t="s">
        <v>2406</v>
      </c>
      <c r="C1133" s="1" t="s">
        <v>2406</v>
      </c>
      <c r="E1133" s="4" t="s">
        <v>2407</v>
      </c>
      <c r="G1133" s="16"/>
      <c r="I1133">
        <v>9.8000000000000007</v>
      </c>
      <c r="M1133">
        <v>1</v>
      </c>
      <c r="N1133">
        <v>39.75</v>
      </c>
      <c r="O1133">
        <v>0</v>
      </c>
      <c r="P1133">
        <v>29.4</v>
      </c>
      <c r="Q1133">
        <v>1168.6500000000001</v>
      </c>
      <c r="R1133" t="s">
        <v>172</v>
      </c>
      <c r="S1133">
        <v>0</v>
      </c>
      <c r="T1133" t="s">
        <v>209</v>
      </c>
      <c r="U1133">
        <v>0</v>
      </c>
      <c r="V1133">
        <v>0</v>
      </c>
      <c r="W1133">
        <v>400002</v>
      </c>
      <c r="X1133" t="s">
        <v>56</v>
      </c>
      <c r="Y1133" t="s">
        <v>57</v>
      </c>
      <c r="AE1133">
        <v>0</v>
      </c>
      <c r="AH1133">
        <v>9.8000000000000007</v>
      </c>
      <c r="AP1133" t="s">
        <v>116</v>
      </c>
    </row>
    <row r="1134" spans="1:42">
      <c r="A1134" s="1" t="s">
        <v>46</v>
      </c>
      <c r="B1134" s="1" t="s">
        <v>2408</v>
      </c>
      <c r="C1134" s="1" t="s">
        <v>2408</v>
      </c>
      <c r="E1134" s="4" t="s">
        <v>2409</v>
      </c>
      <c r="G1134" s="16"/>
      <c r="I1134">
        <v>15.5</v>
      </c>
      <c r="M1134">
        <v>1</v>
      </c>
      <c r="N1134">
        <v>26</v>
      </c>
      <c r="O1134">
        <v>0</v>
      </c>
      <c r="P1134">
        <v>6</v>
      </c>
      <c r="Q1134">
        <v>156</v>
      </c>
      <c r="R1134" t="s">
        <v>172</v>
      </c>
      <c r="S1134">
        <v>0</v>
      </c>
      <c r="T1134" t="s">
        <v>52</v>
      </c>
      <c r="U1134">
        <v>0</v>
      </c>
      <c r="V1134">
        <v>0</v>
      </c>
      <c r="W1134">
        <v>400045</v>
      </c>
      <c r="X1134" t="s">
        <v>56</v>
      </c>
      <c r="Y1134" t="s">
        <v>57</v>
      </c>
      <c r="AE1134">
        <v>0</v>
      </c>
      <c r="AH1134">
        <v>15.5</v>
      </c>
      <c r="AP1134" t="s">
        <v>217</v>
      </c>
    </row>
    <row r="1135" spans="1:42">
      <c r="A1135" s="1" t="s">
        <v>46</v>
      </c>
      <c r="B1135" s="1" t="s">
        <v>2410</v>
      </c>
      <c r="C1135" s="1" t="s">
        <v>2410</v>
      </c>
      <c r="E1135" s="4" t="s">
        <v>2411</v>
      </c>
      <c r="G1135" s="16"/>
      <c r="I1135">
        <v>13</v>
      </c>
      <c r="M1135">
        <v>1</v>
      </c>
      <c r="N1135">
        <v>53</v>
      </c>
      <c r="O1135">
        <v>0</v>
      </c>
      <c r="P1135">
        <v>5.5</v>
      </c>
      <c r="Q1135">
        <v>291.5</v>
      </c>
      <c r="R1135" t="s">
        <v>172</v>
      </c>
      <c r="S1135">
        <v>0</v>
      </c>
      <c r="T1135" t="s">
        <v>52</v>
      </c>
      <c r="U1135">
        <v>0</v>
      </c>
      <c r="V1135">
        <v>0</v>
      </c>
      <c r="W1135">
        <v>400002</v>
      </c>
      <c r="AE1135">
        <v>0</v>
      </c>
      <c r="AH1135">
        <v>13</v>
      </c>
      <c r="AP1135" t="s">
        <v>116</v>
      </c>
    </row>
    <row r="1136" spans="1:42">
      <c r="A1136" s="1" t="s">
        <v>46</v>
      </c>
      <c r="B1136" s="1" t="s">
        <v>2412</v>
      </c>
      <c r="C1136" s="1" t="s">
        <v>2412</v>
      </c>
      <c r="E1136" s="4" t="s">
        <v>2413</v>
      </c>
      <c r="G1136" s="16"/>
      <c r="I1136">
        <v>5</v>
      </c>
      <c r="M1136">
        <v>1</v>
      </c>
      <c r="N1136">
        <v>18</v>
      </c>
      <c r="O1136">
        <v>0</v>
      </c>
      <c r="P1136">
        <v>1.88</v>
      </c>
      <c r="Q1136">
        <v>33.75</v>
      </c>
      <c r="R1136" t="s">
        <v>172</v>
      </c>
      <c r="S1136">
        <v>0</v>
      </c>
      <c r="T1136" t="s">
        <v>52</v>
      </c>
      <c r="U1136">
        <v>0</v>
      </c>
      <c r="V1136">
        <v>0</v>
      </c>
      <c r="W1136">
        <v>400200</v>
      </c>
      <c r="AE1136">
        <v>0</v>
      </c>
      <c r="AH1136">
        <v>5</v>
      </c>
      <c r="AP1136" t="s">
        <v>771</v>
      </c>
    </row>
    <row r="1137" spans="1:42">
      <c r="A1137" s="1" t="s">
        <v>46</v>
      </c>
      <c r="B1137" s="1" t="s">
        <v>2414</v>
      </c>
      <c r="C1137" s="1" t="s">
        <v>2414</v>
      </c>
      <c r="E1137" s="4" t="s">
        <v>2415</v>
      </c>
      <c r="G1137" s="16"/>
      <c r="I1137">
        <v>5</v>
      </c>
      <c r="M1137">
        <v>1</v>
      </c>
      <c r="N1137">
        <v>-1</v>
      </c>
      <c r="O1137">
        <v>0</v>
      </c>
      <c r="P1137">
        <v>1.65</v>
      </c>
      <c r="Q1137">
        <v>-1.65</v>
      </c>
      <c r="R1137" t="s">
        <v>172</v>
      </c>
      <c r="S1137">
        <v>0</v>
      </c>
      <c r="T1137" t="s">
        <v>52</v>
      </c>
      <c r="U1137">
        <v>0</v>
      </c>
      <c r="V1137">
        <v>0</v>
      </c>
      <c r="W1137">
        <v>400194</v>
      </c>
      <c r="AE1137">
        <v>0</v>
      </c>
      <c r="AH1137">
        <v>5</v>
      </c>
      <c r="AP1137" t="s">
        <v>173</v>
      </c>
    </row>
    <row r="1138" spans="1:42">
      <c r="A1138" s="1" t="s">
        <v>46</v>
      </c>
      <c r="B1138" s="1" t="s">
        <v>2416</v>
      </c>
      <c r="C1138" s="1" t="s">
        <v>2416</v>
      </c>
      <c r="E1138" s="4" t="s">
        <v>2417</v>
      </c>
      <c r="G1138" s="16"/>
      <c r="M1138">
        <v>1</v>
      </c>
      <c r="N1138">
        <v>140</v>
      </c>
      <c r="O1138">
        <v>0</v>
      </c>
      <c r="P1138">
        <v>0.08</v>
      </c>
      <c r="Q1138">
        <v>11.2</v>
      </c>
      <c r="W1138">
        <v>400017</v>
      </c>
      <c r="AE1138">
        <v>0</v>
      </c>
      <c r="AP1138" t="s">
        <v>49</v>
      </c>
    </row>
    <row r="1139" spans="1:42">
      <c r="A1139" s="1" t="s">
        <v>46</v>
      </c>
      <c r="B1139" s="1" t="s">
        <v>2418</v>
      </c>
      <c r="C1139" s="1" t="s">
        <v>2418</v>
      </c>
      <c r="E1139" s="4" t="s">
        <v>2419</v>
      </c>
      <c r="G1139" s="16"/>
      <c r="M1139">
        <v>1</v>
      </c>
      <c r="N1139">
        <v>5</v>
      </c>
      <c r="O1139">
        <v>0</v>
      </c>
      <c r="P1139">
        <v>1.5</v>
      </c>
      <c r="Q1139">
        <v>7.5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400017</v>
      </c>
      <c r="X1139" t="s">
        <v>56</v>
      </c>
      <c r="Y1139" t="s">
        <v>57</v>
      </c>
      <c r="AE1139">
        <v>0</v>
      </c>
      <c r="AP1139" t="s">
        <v>49</v>
      </c>
    </row>
    <row r="1140" spans="1:42">
      <c r="A1140" s="1" t="s">
        <v>46</v>
      </c>
      <c r="B1140" s="1" t="s">
        <v>2420</v>
      </c>
      <c r="C1140" s="1" t="s">
        <v>2420</v>
      </c>
      <c r="E1140" s="4" t="s">
        <v>2421</v>
      </c>
      <c r="G1140" s="16"/>
      <c r="I1140">
        <v>3</v>
      </c>
      <c r="M1140">
        <v>1</v>
      </c>
      <c r="N1140">
        <v>-76</v>
      </c>
      <c r="O1140">
        <v>0</v>
      </c>
      <c r="P1140">
        <v>2.16</v>
      </c>
      <c r="Q1140">
        <v>-164.16</v>
      </c>
      <c r="R1140" t="s">
        <v>172</v>
      </c>
      <c r="S1140">
        <v>0</v>
      </c>
      <c r="T1140" t="s">
        <v>52</v>
      </c>
      <c r="U1140">
        <v>0</v>
      </c>
      <c r="V1140">
        <v>0</v>
      </c>
      <c r="W1140">
        <v>400045</v>
      </c>
      <c r="AE1140">
        <v>0</v>
      </c>
      <c r="AF1140">
        <v>5.25</v>
      </c>
      <c r="AH1140">
        <v>3</v>
      </c>
      <c r="AP1140" t="s">
        <v>217</v>
      </c>
    </row>
    <row r="1141" spans="1:42">
      <c r="A1141" s="1" t="s">
        <v>46</v>
      </c>
      <c r="B1141" s="1" t="s">
        <v>2422</v>
      </c>
      <c r="C1141" s="1" t="s">
        <v>2422</v>
      </c>
      <c r="E1141" s="4" t="s">
        <v>2423</v>
      </c>
      <c r="G1141" s="16"/>
      <c r="M1141">
        <v>1</v>
      </c>
      <c r="N1141">
        <v>1</v>
      </c>
      <c r="O1141">
        <v>0</v>
      </c>
      <c r="P1141">
        <v>1.98</v>
      </c>
      <c r="Q1141">
        <v>1.98</v>
      </c>
      <c r="R1141" t="s">
        <v>172</v>
      </c>
      <c r="S1141">
        <v>0</v>
      </c>
      <c r="T1141" t="s">
        <v>52</v>
      </c>
      <c r="U1141">
        <v>0</v>
      </c>
      <c r="V1141">
        <v>0</v>
      </c>
      <c r="W1141">
        <v>400002</v>
      </c>
      <c r="AE1141">
        <v>0</v>
      </c>
      <c r="AP1141" t="s">
        <v>116</v>
      </c>
    </row>
    <row r="1142" spans="1:42">
      <c r="A1142" s="1" t="s">
        <v>46</v>
      </c>
      <c r="B1142" s="1" t="s">
        <v>2424</v>
      </c>
      <c r="C1142" s="1" t="s">
        <v>2424</v>
      </c>
      <c r="E1142" s="4" t="s">
        <v>2425</v>
      </c>
      <c r="G1142" s="16"/>
      <c r="M1142">
        <v>1</v>
      </c>
      <c r="N1142">
        <v>-55</v>
      </c>
      <c r="O1142">
        <v>0</v>
      </c>
      <c r="P1142">
        <v>0.92</v>
      </c>
      <c r="Q1142">
        <v>-50.6</v>
      </c>
      <c r="R1142">
        <v>0</v>
      </c>
      <c r="S1142">
        <v>0</v>
      </c>
      <c r="T1142" t="s">
        <v>52</v>
      </c>
      <c r="U1142">
        <v>0</v>
      </c>
      <c r="V1142">
        <v>0</v>
      </c>
      <c r="W1142">
        <v>400112</v>
      </c>
      <c r="AE1142">
        <v>0</v>
      </c>
      <c r="AP1142" t="s">
        <v>220</v>
      </c>
    </row>
    <row r="1143" spans="1:42">
      <c r="A1143" s="1" t="s">
        <v>46</v>
      </c>
      <c r="B1143" s="1" t="s">
        <v>2426</v>
      </c>
      <c r="C1143" s="1" t="s">
        <v>2426</v>
      </c>
      <c r="E1143" s="4" t="s">
        <v>2427</v>
      </c>
      <c r="G1143" s="16"/>
      <c r="M1143">
        <v>1</v>
      </c>
      <c r="N1143">
        <v>23</v>
      </c>
      <c r="O1143">
        <v>0</v>
      </c>
      <c r="P1143">
        <v>1.8</v>
      </c>
      <c r="Q1143">
        <v>41.4</v>
      </c>
      <c r="R1143" t="s">
        <v>492</v>
      </c>
      <c r="S1143">
        <v>0</v>
      </c>
      <c r="T1143">
        <v>0</v>
      </c>
      <c r="U1143">
        <v>0</v>
      </c>
      <c r="V1143">
        <v>0</v>
      </c>
      <c r="W1143">
        <v>400112</v>
      </c>
      <c r="AE1143">
        <v>0</v>
      </c>
      <c r="AP1143" t="s">
        <v>220</v>
      </c>
    </row>
    <row r="1144" spans="1:42">
      <c r="A1144" s="1" t="s">
        <v>46</v>
      </c>
      <c r="B1144" s="1" t="s">
        <v>2428</v>
      </c>
      <c r="C1144" s="1" t="s">
        <v>2428</v>
      </c>
      <c r="E1144" s="4" t="s">
        <v>2429</v>
      </c>
      <c r="G1144" s="16"/>
      <c r="M1144">
        <v>1</v>
      </c>
      <c r="N1144">
        <v>15</v>
      </c>
      <c r="O1144">
        <v>0</v>
      </c>
      <c r="P1144">
        <v>1.88</v>
      </c>
      <c r="Q1144">
        <v>28.12</v>
      </c>
      <c r="R1144" t="s">
        <v>579</v>
      </c>
      <c r="S1144">
        <v>0</v>
      </c>
      <c r="T1144" t="s">
        <v>52</v>
      </c>
      <c r="U1144">
        <v>0</v>
      </c>
      <c r="V1144">
        <v>0</v>
      </c>
      <c r="W1144">
        <v>400112</v>
      </c>
      <c r="AE1144">
        <v>0</v>
      </c>
      <c r="AP1144" t="s">
        <v>220</v>
      </c>
    </row>
    <row r="1145" spans="1:42">
      <c r="A1145" s="1" t="s">
        <v>46</v>
      </c>
      <c r="B1145" s="1" t="s">
        <v>2430</v>
      </c>
      <c r="C1145" s="1" t="s">
        <v>2430</v>
      </c>
      <c r="E1145" s="4" t="s">
        <v>2431</v>
      </c>
      <c r="G1145" s="16"/>
      <c r="M1145">
        <v>1</v>
      </c>
      <c r="N1145">
        <v>996</v>
      </c>
      <c r="O1145">
        <v>0</v>
      </c>
      <c r="P1145">
        <v>0.05</v>
      </c>
      <c r="Q1145">
        <v>52.28</v>
      </c>
      <c r="R1145">
        <v>0</v>
      </c>
      <c r="S1145">
        <v>0</v>
      </c>
      <c r="T1145" t="s">
        <v>52</v>
      </c>
      <c r="U1145">
        <v>0</v>
      </c>
      <c r="V1145">
        <v>0</v>
      </c>
      <c r="W1145">
        <v>400017</v>
      </c>
      <c r="X1145" t="s">
        <v>56</v>
      </c>
      <c r="Y1145" t="s">
        <v>57</v>
      </c>
      <c r="AE1145">
        <v>0</v>
      </c>
      <c r="AP1145" t="s">
        <v>49</v>
      </c>
    </row>
    <row r="1146" spans="1:42">
      <c r="A1146" s="1" t="s">
        <v>46</v>
      </c>
      <c r="B1146" s="1" t="s">
        <v>2432</v>
      </c>
      <c r="C1146" s="1" t="s">
        <v>2432</v>
      </c>
      <c r="E1146" s="4" t="s">
        <v>2433</v>
      </c>
      <c r="G1146" s="16"/>
      <c r="M1146">
        <v>1</v>
      </c>
      <c r="N1146">
        <v>20</v>
      </c>
      <c r="O1146">
        <v>0</v>
      </c>
      <c r="P1146">
        <v>2.25</v>
      </c>
      <c r="Q1146">
        <v>45</v>
      </c>
      <c r="R1146">
        <v>0</v>
      </c>
      <c r="S1146">
        <v>0</v>
      </c>
      <c r="T1146">
        <v>0</v>
      </c>
      <c r="W1146">
        <v>400045</v>
      </c>
      <c r="AE1146">
        <v>0</v>
      </c>
      <c r="AP1146" t="s">
        <v>217</v>
      </c>
    </row>
    <row r="1147" spans="1:42">
      <c r="A1147" s="1" t="s">
        <v>46</v>
      </c>
      <c r="B1147" s="1" t="s">
        <v>2434</v>
      </c>
      <c r="C1147" s="1" t="s">
        <v>2434</v>
      </c>
      <c r="E1147" s="4" t="s">
        <v>2435</v>
      </c>
      <c r="G1147" s="16"/>
      <c r="M1147">
        <v>1</v>
      </c>
      <c r="N1147">
        <v>-1</v>
      </c>
      <c r="O1147">
        <v>0</v>
      </c>
      <c r="P1147">
        <v>117</v>
      </c>
      <c r="Q1147">
        <v>-117</v>
      </c>
      <c r="R1147">
        <v>0</v>
      </c>
      <c r="S1147">
        <v>0</v>
      </c>
      <c r="T1147" t="s">
        <v>52</v>
      </c>
      <c r="W1147">
        <v>400030</v>
      </c>
      <c r="AE1147">
        <v>0</v>
      </c>
      <c r="AP1147" t="s">
        <v>92</v>
      </c>
    </row>
    <row r="1148" spans="1:42">
      <c r="A1148" s="1" t="s">
        <v>46</v>
      </c>
      <c r="B1148" s="1" t="s">
        <v>2436</v>
      </c>
      <c r="C1148" s="1" t="s">
        <v>2436</v>
      </c>
      <c r="E1148" s="4" t="s">
        <v>2437</v>
      </c>
      <c r="G1148" s="16"/>
      <c r="M1148">
        <v>1</v>
      </c>
      <c r="N1148">
        <v>4</v>
      </c>
      <c r="O1148">
        <v>0</v>
      </c>
      <c r="P1148">
        <v>70</v>
      </c>
      <c r="Q1148">
        <v>280</v>
      </c>
      <c r="R1148">
        <v>0</v>
      </c>
      <c r="S1148">
        <v>0</v>
      </c>
      <c r="T1148" t="s">
        <v>52</v>
      </c>
      <c r="U1148">
        <v>0</v>
      </c>
      <c r="V1148">
        <v>0</v>
      </c>
      <c r="W1148">
        <v>400191</v>
      </c>
      <c r="AE1148">
        <v>0</v>
      </c>
      <c r="AP1148" t="s">
        <v>2071</v>
      </c>
    </row>
    <row r="1149" spans="1:42">
      <c r="A1149" s="1" t="s">
        <v>46</v>
      </c>
      <c r="B1149" s="1" t="s">
        <v>2438</v>
      </c>
      <c r="C1149" s="1" t="s">
        <v>2438</v>
      </c>
      <c r="E1149" s="4" t="s">
        <v>2439</v>
      </c>
      <c r="G1149" s="16"/>
      <c r="M1149">
        <v>1</v>
      </c>
      <c r="N1149">
        <v>180</v>
      </c>
      <c r="O1149">
        <v>0</v>
      </c>
      <c r="P1149">
        <v>98.79</v>
      </c>
      <c r="Q1149">
        <v>17782.2</v>
      </c>
      <c r="R1149">
        <v>0</v>
      </c>
      <c r="S1149">
        <v>0</v>
      </c>
      <c r="T1149" t="s">
        <v>52</v>
      </c>
      <c r="U1149">
        <v>0</v>
      </c>
      <c r="V1149">
        <v>0</v>
      </c>
      <c r="W1149">
        <v>400012</v>
      </c>
      <c r="AE1149">
        <v>0</v>
      </c>
      <c r="AP1149" t="s">
        <v>582</v>
      </c>
    </row>
    <row r="1150" spans="1:42">
      <c r="A1150" s="1" t="s">
        <v>46</v>
      </c>
      <c r="B1150" s="1" t="s">
        <v>2440</v>
      </c>
      <c r="C1150" s="1" t="s">
        <v>2440</v>
      </c>
      <c r="E1150" s="4" t="s">
        <v>2441</v>
      </c>
      <c r="G1150" s="16"/>
      <c r="M1150">
        <v>1</v>
      </c>
      <c r="N1150">
        <v>404</v>
      </c>
      <c r="O1150">
        <v>0</v>
      </c>
      <c r="P1150">
        <v>58</v>
      </c>
      <c r="Q1150">
        <v>23432</v>
      </c>
      <c r="R1150">
        <v>0</v>
      </c>
      <c r="S1150">
        <v>0</v>
      </c>
      <c r="T1150" t="s">
        <v>52</v>
      </c>
      <c r="U1150">
        <v>0</v>
      </c>
      <c r="V1150">
        <v>0</v>
      </c>
      <c r="W1150">
        <v>400114</v>
      </c>
      <c r="X1150" t="s">
        <v>56</v>
      </c>
      <c r="Y1150" t="s">
        <v>57</v>
      </c>
      <c r="AE1150">
        <v>0</v>
      </c>
      <c r="AP1150" t="s">
        <v>2076</v>
      </c>
    </row>
    <row r="1151" spans="1:42">
      <c r="A1151" s="1" t="s">
        <v>46</v>
      </c>
      <c r="B1151" s="1" t="s">
        <v>2442</v>
      </c>
      <c r="C1151" s="1" t="s">
        <v>2442</v>
      </c>
      <c r="E1151" s="4" t="s">
        <v>2443</v>
      </c>
      <c r="G1151" s="16"/>
      <c r="M1151">
        <v>1</v>
      </c>
      <c r="N1151">
        <v>8</v>
      </c>
      <c r="O1151">
        <v>0</v>
      </c>
      <c r="P1151">
        <v>48</v>
      </c>
      <c r="Q1151">
        <v>384</v>
      </c>
      <c r="R1151">
        <v>0</v>
      </c>
      <c r="S1151">
        <v>0</v>
      </c>
      <c r="T1151" t="s">
        <v>52</v>
      </c>
      <c r="U1151">
        <v>0</v>
      </c>
      <c r="V1151">
        <v>0</v>
      </c>
      <c r="W1151">
        <v>400130</v>
      </c>
      <c r="X1151" t="s">
        <v>56</v>
      </c>
      <c r="Y1151" t="s">
        <v>57</v>
      </c>
      <c r="AE1151">
        <v>0</v>
      </c>
      <c r="AP1151" t="s">
        <v>139</v>
      </c>
    </row>
    <row r="1152" spans="1:42">
      <c r="A1152" s="1" t="s">
        <v>46</v>
      </c>
      <c r="B1152" s="1" t="s">
        <v>2444</v>
      </c>
      <c r="C1152" s="1" t="s">
        <v>2444</v>
      </c>
      <c r="E1152" s="4" t="s">
        <v>2445</v>
      </c>
      <c r="G1152" s="16"/>
      <c r="M1152">
        <v>1</v>
      </c>
      <c r="N1152">
        <v>117</v>
      </c>
      <c r="O1152">
        <v>0</v>
      </c>
      <c r="P1152">
        <v>2.67</v>
      </c>
      <c r="Q1152">
        <v>312.33999999999997</v>
      </c>
      <c r="R1152">
        <v>0</v>
      </c>
      <c r="S1152">
        <v>0</v>
      </c>
      <c r="T1152" t="s">
        <v>52</v>
      </c>
      <c r="U1152">
        <v>0</v>
      </c>
      <c r="V1152">
        <v>0</v>
      </c>
      <c r="W1152">
        <v>400013</v>
      </c>
      <c r="AE1152">
        <v>0</v>
      </c>
      <c r="AP1152" t="s">
        <v>232</v>
      </c>
    </row>
    <row r="1153" spans="1:42">
      <c r="A1153" s="1" t="s">
        <v>46</v>
      </c>
      <c r="B1153" s="1" t="s">
        <v>2446</v>
      </c>
      <c r="C1153" s="1" t="s">
        <v>2446</v>
      </c>
      <c r="E1153" s="4" t="s">
        <v>2447</v>
      </c>
      <c r="G1153" s="16"/>
      <c r="M1153">
        <v>1</v>
      </c>
      <c r="N1153">
        <v>2</v>
      </c>
      <c r="O1153">
        <v>0</v>
      </c>
      <c r="P1153">
        <v>65</v>
      </c>
      <c r="Q1153">
        <v>130</v>
      </c>
      <c r="W1153">
        <v>400111</v>
      </c>
      <c r="AE1153">
        <v>0</v>
      </c>
      <c r="AP1153" t="s">
        <v>646</v>
      </c>
    </row>
    <row r="1154" spans="1:42">
      <c r="A1154" s="1" t="s">
        <v>46</v>
      </c>
      <c r="B1154" s="1" t="s">
        <v>2448</v>
      </c>
      <c r="C1154" s="1" t="s">
        <v>2448</v>
      </c>
      <c r="E1154" s="4" t="s">
        <v>2449</v>
      </c>
      <c r="G1154" s="16"/>
      <c r="M1154">
        <v>1</v>
      </c>
      <c r="N1154">
        <v>2</v>
      </c>
      <c r="O1154">
        <v>0</v>
      </c>
      <c r="P1154">
        <v>135</v>
      </c>
      <c r="Q1154">
        <v>270</v>
      </c>
      <c r="W1154">
        <v>400111</v>
      </c>
      <c r="AE1154">
        <v>0</v>
      </c>
      <c r="AP1154" t="s">
        <v>646</v>
      </c>
    </row>
    <row r="1155" spans="1:42">
      <c r="A1155" s="1" t="s">
        <v>46</v>
      </c>
      <c r="B1155" s="1" t="s">
        <v>2450</v>
      </c>
      <c r="C1155" s="1" t="s">
        <v>2450</v>
      </c>
      <c r="E1155" s="4" t="s">
        <v>2451</v>
      </c>
      <c r="G1155" s="16"/>
      <c r="M1155">
        <v>1</v>
      </c>
      <c r="N1155">
        <v>-2</v>
      </c>
      <c r="O1155">
        <v>0</v>
      </c>
      <c r="P1155">
        <v>47</v>
      </c>
      <c r="Q1155">
        <v>-94</v>
      </c>
      <c r="R1155">
        <v>0</v>
      </c>
      <c r="S1155">
        <v>0</v>
      </c>
      <c r="T1155" t="s">
        <v>52</v>
      </c>
      <c r="W1155">
        <v>400111</v>
      </c>
      <c r="AE1155">
        <v>0</v>
      </c>
      <c r="AP1155" t="s">
        <v>646</v>
      </c>
    </row>
    <row r="1156" spans="1:42">
      <c r="A1156" s="1" t="s">
        <v>46</v>
      </c>
      <c r="B1156" s="1" t="s">
        <v>2452</v>
      </c>
      <c r="C1156" s="1" t="s">
        <v>2452</v>
      </c>
      <c r="E1156" s="4" t="s">
        <v>2453</v>
      </c>
      <c r="G1156" s="16"/>
      <c r="M1156">
        <v>1</v>
      </c>
      <c r="N1156">
        <v>3</v>
      </c>
      <c r="O1156">
        <v>0</v>
      </c>
      <c r="P1156">
        <v>48</v>
      </c>
      <c r="Q1156">
        <v>144</v>
      </c>
      <c r="R1156">
        <v>0</v>
      </c>
      <c r="S1156">
        <v>0</v>
      </c>
      <c r="T1156" t="s">
        <v>52</v>
      </c>
      <c r="W1156">
        <v>400128</v>
      </c>
      <c r="AE1156">
        <v>0</v>
      </c>
      <c r="AP1156" t="s">
        <v>1180</v>
      </c>
    </row>
    <row r="1157" spans="1:42">
      <c r="A1157" s="1" t="s">
        <v>46</v>
      </c>
      <c r="B1157" s="1" t="s">
        <v>2454</v>
      </c>
      <c r="C1157" s="1" t="s">
        <v>2454</v>
      </c>
      <c r="E1157" s="4" t="s">
        <v>2455</v>
      </c>
      <c r="G1157" s="16"/>
      <c r="M1157">
        <v>1</v>
      </c>
      <c r="N1157">
        <v>25</v>
      </c>
      <c r="O1157">
        <v>0</v>
      </c>
      <c r="P1157">
        <v>110</v>
      </c>
      <c r="Q1157">
        <v>2750</v>
      </c>
      <c r="R1157">
        <v>0</v>
      </c>
      <c r="S1157">
        <v>0</v>
      </c>
      <c r="T1157" t="s">
        <v>17</v>
      </c>
      <c r="U1157">
        <v>0</v>
      </c>
      <c r="V1157">
        <v>0</v>
      </c>
      <c r="W1157">
        <v>400111</v>
      </c>
      <c r="AE1157">
        <v>0</v>
      </c>
      <c r="AP1157" t="s">
        <v>646</v>
      </c>
    </row>
    <row r="1158" spans="1:42">
      <c r="A1158" s="1" t="s">
        <v>46</v>
      </c>
      <c r="B1158" s="1" t="s">
        <v>2456</v>
      </c>
      <c r="C1158" s="1" t="s">
        <v>2456</v>
      </c>
      <c r="E1158" s="4" t="s">
        <v>2457</v>
      </c>
      <c r="G1158" s="16"/>
      <c r="M1158">
        <v>1</v>
      </c>
      <c r="N1158">
        <v>2</v>
      </c>
      <c r="O1158">
        <v>0</v>
      </c>
      <c r="P1158">
        <v>1.75</v>
      </c>
      <c r="Q1158">
        <v>3.5</v>
      </c>
      <c r="W1158">
        <v>400017</v>
      </c>
      <c r="AE1158">
        <v>0</v>
      </c>
      <c r="AP1158" t="s">
        <v>49</v>
      </c>
    </row>
    <row r="1159" spans="1:42">
      <c r="A1159" s="1" t="s">
        <v>46</v>
      </c>
      <c r="B1159" s="1" t="s">
        <v>2458</v>
      </c>
      <c r="C1159" s="1" t="s">
        <v>2458</v>
      </c>
      <c r="E1159" s="4" t="s">
        <v>2459</v>
      </c>
      <c r="G1159" s="16"/>
      <c r="M1159">
        <v>1</v>
      </c>
      <c r="N1159">
        <v>711</v>
      </c>
      <c r="O1159">
        <v>0</v>
      </c>
      <c r="P1159">
        <v>3.88</v>
      </c>
      <c r="Q1159">
        <v>2761.73</v>
      </c>
      <c r="R1159">
        <v>0</v>
      </c>
      <c r="S1159">
        <v>0</v>
      </c>
      <c r="T1159" t="s">
        <v>52</v>
      </c>
      <c r="U1159">
        <v>0</v>
      </c>
      <c r="V1159">
        <v>0</v>
      </c>
      <c r="W1159">
        <v>400033</v>
      </c>
      <c r="AE1159">
        <v>0</v>
      </c>
      <c r="AP1159" t="s">
        <v>126</v>
      </c>
    </row>
    <row r="1160" spans="1:42">
      <c r="A1160" s="1" t="s">
        <v>46</v>
      </c>
      <c r="B1160" s="1" t="s">
        <v>2460</v>
      </c>
      <c r="C1160" s="1" t="s">
        <v>2460</v>
      </c>
      <c r="E1160" s="4" t="s">
        <v>2461</v>
      </c>
      <c r="G1160" s="16"/>
      <c r="M1160">
        <v>1</v>
      </c>
      <c r="N1160">
        <v>-1</v>
      </c>
      <c r="O1160">
        <v>0</v>
      </c>
      <c r="AE1160">
        <v>0</v>
      </c>
    </row>
    <row r="1161" spans="1:42">
      <c r="A1161" s="1" t="s">
        <v>46</v>
      </c>
      <c r="B1161" s="1" t="s">
        <v>2462</v>
      </c>
      <c r="C1161" s="1" t="s">
        <v>2462</v>
      </c>
      <c r="E1161" s="4" t="s">
        <v>2463</v>
      </c>
      <c r="G1161" s="16"/>
      <c r="M1161">
        <v>1</v>
      </c>
      <c r="N1161">
        <v>3</v>
      </c>
      <c r="O1161">
        <v>0</v>
      </c>
      <c r="P1161">
        <v>6.9</v>
      </c>
      <c r="Q1161">
        <v>20.69</v>
      </c>
      <c r="R1161" t="s">
        <v>556</v>
      </c>
      <c r="S1161">
        <v>0</v>
      </c>
      <c r="T1161" t="s">
        <v>52</v>
      </c>
      <c r="U1161">
        <v>0</v>
      </c>
      <c r="V1161">
        <v>0</v>
      </c>
      <c r="W1161">
        <v>400013</v>
      </c>
      <c r="AE1161">
        <v>0</v>
      </c>
      <c r="AP1161" t="s">
        <v>232</v>
      </c>
    </row>
    <row r="1162" spans="1:42">
      <c r="A1162" s="1" t="s">
        <v>46</v>
      </c>
      <c r="B1162" s="1" t="s">
        <v>2464</v>
      </c>
      <c r="C1162" s="1" t="s">
        <v>2464</v>
      </c>
      <c r="E1162" s="4" t="s">
        <v>2465</v>
      </c>
      <c r="G1162" s="16"/>
      <c r="M1162">
        <v>1</v>
      </c>
      <c r="N1162">
        <v>1</v>
      </c>
      <c r="O1162">
        <v>0</v>
      </c>
      <c r="P1162">
        <v>9.7200000000000006</v>
      </c>
      <c r="Q1162">
        <v>9.7200000000000006</v>
      </c>
      <c r="R1162" t="s">
        <v>556</v>
      </c>
      <c r="S1162">
        <v>0</v>
      </c>
      <c r="T1162" t="s">
        <v>52</v>
      </c>
      <c r="U1162">
        <v>0</v>
      </c>
      <c r="V1162">
        <v>0</v>
      </c>
      <c r="W1162">
        <v>400013</v>
      </c>
      <c r="AE1162">
        <v>0</v>
      </c>
      <c r="AP1162" t="s">
        <v>232</v>
      </c>
    </row>
    <row r="1163" spans="1:42">
      <c r="A1163" s="1" t="s">
        <v>46</v>
      </c>
      <c r="B1163" s="1" t="s">
        <v>2466</v>
      </c>
      <c r="C1163" s="1" t="s">
        <v>2466</v>
      </c>
      <c r="E1163" s="4" t="s">
        <v>2467</v>
      </c>
      <c r="G1163" s="16"/>
      <c r="M1163">
        <v>1</v>
      </c>
      <c r="N1163">
        <v>1</v>
      </c>
      <c r="O1163">
        <v>0</v>
      </c>
      <c r="P1163">
        <v>150.07</v>
      </c>
      <c r="Q1163">
        <v>150.07</v>
      </c>
      <c r="R1163" t="s">
        <v>579</v>
      </c>
      <c r="S1163">
        <v>0</v>
      </c>
      <c r="T1163" t="s">
        <v>52</v>
      </c>
      <c r="U1163">
        <v>0</v>
      </c>
      <c r="V1163">
        <v>0</v>
      </c>
      <c r="W1163">
        <v>400013</v>
      </c>
      <c r="AE1163">
        <v>0</v>
      </c>
      <c r="AP1163" t="s">
        <v>232</v>
      </c>
    </row>
    <row r="1164" spans="1:42">
      <c r="A1164" s="1" t="s">
        <v>46</v>
      </c>
      <c r="B1164" s="1" t="s">
        <v>2468</v>
      </c>
      <c r="C1164" s="1" t="s">
        <v>2468</v>
      </c>
      <c r="E1164" s="4" t="s">
        <v>2469</v>
      </c>
      <c r="G1164" s="16"/>
      <c r="M1164">
        <v>1</v>
      </c>
      <c r="N1164">
        <v>-1</v>
      </c>
      <c r="O1164">
        <v>0</v>
      </c>
      <c r="P1164">
        <v>28</v>
      </c>
      <c r="Q1164">
        <v>-28</v>
      </c>
      <c r="R1164" t="s">
        <v>176</v>
      </c>
      <c r="S1164">
        <v>0</v>
      </c>
      <c r="T1164" t="s">
        <v>52</v>
      </c>
      <c r="U1164">
        <v>0</v>
      </c>
      <c r="V1164">
        <v>0</v>
      </c>
      <c r="W1164">
        <v>400061</v>
      </c>
      <c r="AE1164">
        <v>0</v>
      </c>
      <c r="AP1164" t="s">
        <v>169</v>
      </c>
    </row>
    <row r="1165" spans="1:42">
      <c r="A1165" s="1" t="s">
        <v>46</v>
      </c>
      <c r="B1165" s="1" t="s">
        <v>2470</v>
      </c>
      <c r="C1165" s="1" t="s">
        <v>2470</v>
      </c>
      <c r="E1165" s="4" t="s">
        <v>2471</v>
      </c>
      <c r="G1165" s="16"/>
      <c r="M1165">
        <v>1</v>
      </c>
      <c r="N1165">
        <v>-1</v>
      </c>
      <c r="O1165">
        <v>0</v>
      </c>
      <c r="P1165">
        <v>90.82</v>
      </c>
      <c r="Q1165">
        <v>-90.82</v>
      </c>
      <c r="R1165" t="s">
        <v>556</v>
      </c>
      <c r="S1165">
        <v>0</v>
      </c>
      <c r="T1165" t="s">
        <v>52</v>
      </c>
      <c r="W1165">
        <v>400013</v>
      </c>
      <c r="AE1165">
        <v>0</v>
      </c>
      <c r="AP1165" t="s">
        <v>232</v>
      </c>
    </row>
    <row r="1166" spans="1:42">
      <c r="A1166" s="1" t="s">
        <v>46</v>
      </c>
      <c r="B1166" s="1" t="s">
        <v>2472</v>
      </c>
      <c r="C1166" s="1" t="s">
        <v>2472</v>
      </c>
      <c r="E1166" s="4" t="s">
        <v>2473</v>
      </c>
      <c r="G1166" s="16"/>
      <c r="M1166">
        <v>1</v>
      </c>
      <c r="N1166">
        <v>-1</v>
      </c>
      <c r="O1166">
        <v>0</v>
      </c>
      <c r="P1166">
        <v>5.75</v>
      </c>
      <c r="Q1166">
        <v>-5.75</v>
      </c>
      <c r="R1166" t="s">
        <v>556</v>
      </c>
      <c r="S1166">
        <v>0</v>
      </c>
      <c r="T1166" t="s">
        <v>52</v>
      </c>
      <c r="U1166">
        <v>0</v>
      </c>
      <c r="V1166">
        <v>0</v>
      </c>
      <c r="W1166">
        <v>400013</v>
      </c>
      <c r="AE1166">
        <v>0</v>
      </c>
      <c r="AP1166" t="s">
        <v>232</v>
      </c>
    </row>
    <row r="1167" spans="1:42">
      <c r="A1167" s="1" t="s">
        <v>46</v>
      </c>
      <c r="B1167" s="1" t="s">
        <v>2474</v>
      </c>
      <c r="C1167" s="1" t="s">
        <v>2474</v>
      </c>
      <c r="E1167" s="4" t="s">
        <v>2475</v>
      </c>
      <c r="G1167" s="16"/>
      <c r="M1167">
        <v>1</v>
      </c>
      <c r="N1167">
        <v>3</v>
      </c>
      <c r="O1167">
        <v>0</v>
      </c>
      <c r="P1167">
        <v>12.5</v>
      </c>
      <c r="Q1167">
        <v>37.5</v>
      </c>
      <c r="R1167" t="s">
        <v>176</v>
      </c>
      <c r="S1167">
        <v>0</v>
      </c>
      <c r="T1167" t="s">
        <v>52</v>
      </c>
      <c r="U1167">
        <v>0</v>
      </c>
      <c r="V1167">
        <v>0</v>
      </c>
      <c r="W1167">
        <v>400061</v>
      </c>
      <c r="AE1167">
        <v>0</v>
      </c>
      <c r="AP1167" t="s">
        <v>169</v>
      </c>
    </row>
    <row r="1168" spans="1:42">
      <c r="A1168" s="1" t="s">
        <v>46</v>
      </c>
      <c r="B1168" s="1" t="s">
        <v>2476</v>
      </c>
      <c r="C1168" s="1" t="s">
        <v>2476</v>
      </c>
      <c r="E1168" s="4" t="s">
        <v>2477</v>
      </c>
      <c r="G1168" s="16"/>
      <c r="M1168">
        <v>1</v>
      </c>
      <c r="N1168">
        <v>96</v>
      </c>
      <c r="O1168">
        <v>0</v>
      </c>
      <c r="P1168">
        <v>2.4300000000000002</v>
      </c>
      <c r="Q1168">
        <v>233.28</v>
      </c>
      <c r="R1168">
        <v>0</v>
      </c>
      <c r="S1168">
        <v>0</v>
      </c>
      <c r="T1168" t="s">
        <v>52</v>
      </c>
      <c r="U1168">
        <v>0</v>
      </c>
      <c r="V1168">
        <v>0</v>
      </c>
      <c r="W1168">
        <v>400195</v>
      </c>
      <c r="AE1168">
        <v>0</v>
      </c>
      <c r="AP1168" t="s">
        <v>380</v>
      </c>
    </row>
    <row r="1169" spans="1:42">
      <c r="A1169" s="1" t="s">
        <v>46</v>
      </c>
      <c r="B1169" s="1" t="s">
        <v>2478</v>
      </c>
      <c r="C1169" s="1" t="s">
        <v>2478</v>
      </c>
      <c r="E1169" s="4" t="s">
        <v>2479</v>
      </c>
      <c r="G1169" s="16"/>
      <c r="M1169">
        <v>1</v>
      </c>
      <c r="N1169">
        <v>2</v>
      </c>
      <c r="O1169">
        <v>0</v>
      </c>
      <c r="P1169">
        <v>4.3899999999999997</v>
      </c>
      <c r="Q1169">
        <v>8.7799999999999994</v>
      </c>
      <c r="R1169" t="s">
        <v>556</v>
      </c>
      <c r="S1169">
        <v>0</v>
      </c>
      <c r="T1169" t="s">
        <v>52</v>
      </c>
      <c r="U1169">
        <v>0</v>
      </c>
      <c r="V1169">
        <v>0</v>
      </c>
      <c r="W1169">
        <v>400013</v>
      </c>
      <c r="X1169" t="s">
        <v>56</v>
      </c>
      <c r="Y1169" t="s">
        <v>57</v>
      </c>
      <c r="AE1169">
        <v>0</v>
      </c>
      <c r="AP1169" t="s">
        <v>232</v>
      </c>
    </row>
    <row r="1170" spans="1:42">
      <c r="A1170" s="1" t="s">
        <v>46</v>
      </c>
      <c r="B1170" s="1" t="s">
        <v>2480</v>
      </c>
      <c r="C1170" s="1" t="s">
        <v>2480</v>
      </c>
      <c r="E1170" s="4" t="s">
        <v>2481</v>
      </c>
      <c r="G1170" s="16">
        <v>2.75</v>
      </c>
      <c r="M1170">
        <v>1</v>
      </c>
      <c r="N1170">
        <v>-1</v>
      </c>
      <c r="O1170">
        <v>0</v>
      </c>
      <c r="AE1170">
        <v>0</v>
      </c>
    </row>
    <row r="1171" spans="1:42">
      <c r="A1171" s="1" t="s">
        <v>46</v>
      </c>
      <c r="B1171" s="1" t="s">
        <v>2482</v>
      </c>
      <c r="C1171" s="1" t="s">
        <v>2482</v>
      </c>
      <c r="E1171" s="4" t="s">
        <v>2483</v>
      </c>
      <c r="G1171" s="16"/>
      <c r="M1171">
        <v>1</v>
      </c>
      <c r="N1171">
        <v>2</v>
      </c>
      <c r="O1171">
        <v>0</v>
      </c>
      <c r="P1171">
        <v>7</v>
      </c>
      <c r="Q1171">
        <v>14</v>
      </c>
      <c r="W1171">
        <v>400013</v>
      </c>
      <c r="AE1171">
        <v>0</v>
      </c>
      <c r="AP1171" t="s">
        <v>232</v>
      </c>
    </row>
    <row r="1172" spans="1:42">
      <c r="A1172" s="1" t="s">
        <v>46</v>
      </c>
      <c r="B1172" s="1" t="s">
        <v>2484</v>
      </c>
      <c r="C1172" s="1" t="s">
        <v>2484</v>
      </c>
      <c r="E1172" s="4" t="s">
        <v>2485</v>
      </c>
      <c r="G1172" s="16">
        <v>3.5</v>
      </c>
      <c r="M1172">
        <v>1</v>
      </c>
      <c r="N1172">
        <v>2</v>
      </c>
      <c r="O1172">
        <v>0</v>
      </c>
      <c r="P1172">
        <v>7.84</v>
      </c>
      <c r="Q1172">
        <v>15.67</v>
      </c>
      <c r="R1172" t="s">
        <v>556</v>
      </c>
      <c r="S1172">
        <v>0</v>
      </c>
      <c r="T1172" t="s">
        <v>209</v>
      </c>
      <c r="U1172">
        <v>0</v>
      </c>
      <c r="V1172">
        <v>0</v>
      </c>
      <c r="W1172">
        <v>400013</v>
      </c>
      <c r="AE1172">
        <v>0</v>
      </c>
      <c r="AP1172" t="s">
        <v>232</v>
      </c>
    </row>
    <row r="1173" spans="1:42">
      <c r="A1173" s="1" t="s">
        <v>46</v>
      </c>
      <c r="B1173" s="1" t="s">
        <v>2486</v>
      </c>
      <c r="C1173" s="1" t="s">
        <v>2486</v>
      </c>
      <c r="E1173" s="4" t="s">
        <v>2487</v>
      </c>
      <c r="G1173" s="16">
        <v>4.5</v>
      </c>
      <c r="M1173">
        <v>1</v>
      </c>
      <c r="N1173">
        <v>2</v>
      </c>
      <c r="O1173">
        <v>0</v>
      </c>
      <c r="P1173">
        <v>6.4</v>
      </c>
      <c r="Q1173">
        <v>12.79</v>
      </c>
      <c r="R1173" t="s">
        <v>574</v>
      </c>
      <c r="S1173">
        <v>0</v>
      </c>
      <c r="T1173" t="s">
        <v>52</v>
      </c>
      <c r="U1173">
        <v>0</v>
      </c>
      <c r="V1173">
        <v>0</v>
      </c>
      <c r="W1173">
        <v>400013</v>
      </c>
      <c r="AE1173">
        <v>0</v>
      </c>
      <c r="AP1173" t="s">
        <v>232</v>
      </c>
    </row>
    <row r="1174" spans="1:42">
      <c r="A1174" s="1" t="s">
        <v>46</v>
      </c>
      <c r="B1174" s="1" t="s">
        <v>2488</v>
      </c>
      <c r="C1174" s="1" t="s">
        <v>2488</v>
      </c>
      <c r="E1174" s="4" t="s">
        <v>2489</v>
      </c>
      <c r="G1174" s="16">
        <v>9</v>
      </c>
      <c r="M1174">
        <v>1</v>
      </c>
      <c r="N1174">
        <v>5</v>
      </c>
      <c r="O1174">
        <v>0</v>
      </c>
      <c r="P1174">
        <v>2.29</v>
      </c>
      <c r="Q1174">
        <v>11.43</v>
      </c>
      <c r="R1174" t="s">
        <v>556</v>
      </c>
      <c r="S1174">
        <v>0</v>
      </c>
      <c r="T1174" t="s">
        <v>52</v>
      </c>
      <c r="U1174">
        <v>0</v>
      </c>
      <c r="V1174">
        <v>0</v>
      </c>
      <c r="W1174">
        <v>400013</v>
      </c>
      <c r="AE1174">
        <v>0</v>
      </c>
      <c r="AP1174" t="s">
        <v>232</v>
      </c>
    </row>
    <row r="1175" spans="1:42">
      <c r="A1175" s="1" t="s">
        <v>46</v>
      </c>
      <c r="B1175" s="1" t="s">
        <v>2490</v>
      </c>
      <c r="C1175" s="1" t="s">
        <v>2490</v>
      </c>
      <c r="E1175" s="4" t="s">
        <v>2491</v>
      </c>
      <c r="G1175" s="16"/>
      <c r="M1175">
        <v>1</v>
      </c>
      <c r="N1175">
        <v>3</v>
      </c>
      <c r="O1175">
        <v>0</v>
      </c>
      <c r="P1175">
        <v>2.29</v>
      </c>
      <c r="Q1175">
        <v>6.86</v>
      </c>
      <c r="R1175" t="s">
        <v>556</v>
      </c>
      <c r="S1175">
        <v>0</v>
      </c>
      <c r="T1175" t="s">
        <v>52</v>
      </c>
      <c r="U1175">
        <v>0</v>
      </c>
      <c r="V1175">
        <v>0</v>
      </c>
      <c r="W1175">
        <v>400013</v>
      </c>
      <c r="AE1175">
        <v>0</v>
      </c>
      <c r="AP1175" t="s">
        <v>232</v>
      </c>
    </row>
    <row r="1176" spans="1:42">
      <c r="A1176" s="1" t="s">
        <v>46</v>
      </c>
      <c r="B1176" s="1" t="s">
        <v>2492</v>
      </c>
      <c r="C1176" s="1" t="s">
        <v>2492</v>
      </c>
      <c r="E1176" s="4" t="s">
        <v>2493</v>
      </c>
      <c r="G1176" s="16"/>
      <c r="M1176">
        <v>1</v>
      </c>
      <c r="N1176">
        <v>3</v>
      </c>
      <c r="O1176">
        <v>0</v>
      </c>
      <c r="P1176">
        <v>50</v>
      </c>
      <c r="Q1176">
        <v>150</v>
      </c>
      <c r="R1176">
        <v>0</v>
      </c>
      <c r="S1176">
        <v>0</v>
      </c>
      <c r="T1176" t="s">
        <v>52</v>
      </c>
      <c r="W1176">
        <v>400111</v>
      </c>
      <c r="AE1176">
        <v>0</v>
      </c>
      <c r="AP1176" t="s">
        <v>646</v>
      </c>
    </row>
    <row r="1177" spans="1:42">
      <c r="A1177" s="1" t="s">
        <v>46</v>
      </c>
      <c r="B1177" s="1" t="s">
        <v>2494</v>
      </c>
      <c r="C1177" s="1" t="s">
        <v>2494</v>
      </c>
      <c r="E1177" s="4" t="s">
        <v>2495</v>
      </c>
      <c r="G1177" s="16"/>
      <c r="M1177">
        <v>1</v>
      </c>
      <c r="N1177">
        <v>15</v>
      </c>
      <c r="O1177">
        <v>0</v>
      </c>
      <c r="P1177">
        <v>165</v>
      </c>
      <c r="Q1177">
        <v>2475</v>
      </c>
      <c r="R1177">
        <v>0</v>
      </c>
      <c r="S1177">
        <v>0</v>
      </c>
      <c r="T1177" t="s">
        <v>17</v>
      </c>
      <c r="W1177">
        <v>400111</v>
      </c>
      <c r="AE1177">
        <v>0</v>
      </c>
      <c r="AP1177" t="s">
        <v>646</v>
      </c>
    </row>
    <row r="1178" spans="1:42">
      <c r="A1178" s="1" t="s">
        <v>46</v>
      </c>
      <c r="B1178" s="1" t="s">
        <v>2496</v>
      </c>
      <c r="C1178" s="1" t="s">
        <v>2496</v>
      </c>
      <c r="E1178" s="4" t="s">
        <v>2497</v>
      </c>
      <c r="G1178" s="16"/>
      <c r="M1178">
        <v>1</v>
      </c>
      <c r="N1178">
        <v>508</v>
      </c>
      <c r="O1178">
        <v>0</v>
      </c>
      <c r="P1178">
        <v>0.4</v>
      </c>
      <c r="Q1178">
        <v>203.2</v>
      </c>
      <c r="R1178">
        <v>0</v>
      </c>
      <c r="S1178">
        <v>0</v>
      </c>
      <c r="T1178" t="s">
        <v>52</v>
      </c>
      <c r="U1178">
        <v>0</v>
      </c>
      <c r="V1178">
        <v>0</v>
      </c>
      <c r="W1178">
        <v>400158</v>
      </c>
      <c r="X1178" t="s">
        <v>56</v>
      </c>
      <c r="Y1178" t="s">
        <v>57</v>
      </c>
      <c r="AE1178">
        <v>0</v>
      </c>
      <c r="AP1178" t="s">
        <v>61</v>
      </c>
    </row>
    <row r="1179" spans="1:42">
      <c r="A1179" s="1" t="s">
        <v>46</v>
      </c>
      <c r="B1179" s="1" t="s">
        <v>2498</v>
      </c>
      <c r="C1179" s="1" t="s">
        <v>2498</v>
      </c>
      <c r="E1179" s="4" t="s">
        <v>2499</v>
      </c>
      <c r="G1179" s="16"/>
      <c r="M1179">
        <v>1</v>
      </c>
      <c r="N1179">
        <v>19</v>
      </c>
      <c r="O1179">
        <v>0</v>
      </c>
      <c r="P1179">
        <v>30</v>
      </c>
      <c r="Q1179">
        <v>570</v>
      </c>
      <c r="R1179" t="s">
        <v>241</v>
      </c>
      <c r="S1179">
        <v>0</v>
      </c>
      <c r="T1179" t="s">
        <v>52</v>
      </c>
      <c r="U1179">
        <v>0</v>
      </c>
      <c r="V1179">
        <v>0</v>
      </c>
      <c r="W1179">
        <v>410302</v>
      </c>
      <c r="AE1179">
        <v>0</v>
      </c>
      <c r="AP1179" t="s">
        <v>177</v>
      </c>
    </row>
    <row r="1180" spans="1:42">
      <c r="A1180" s="1" t="s">
        <v>46</v>
      </c>
      <c r="B1180" s="1" t="s">
        <v>2500</v>
      </c>
      <c r="C1180" s="1" t="s">
        <v>2500</v>
      </c>
      <c r="E1180" s="4" t="s">
        <v>2501</v>
      </c>
      <c r="G1180" s="16"/>
      <c r="M1180">
        <v>1</v>
      </c>
      <c r="N1180">
        <v>-84</v>
      </c>
      <c r="O1180">
        <v>0</v>
      </c>
      <c r="AE1180">
        <v>0</v>
      </c>
    </row>
    <row r="1181" spans="1:42">
      <c r="A1181" s="1" t="s">
        <v>46</v>
      </c>
      <c r="B1181" s="1" t="s">
        <v>2502</v>
      </c>
      <c r="C1181" s="1" t="s">
        <v>2502</v>
      </c>
      <c r="E1181" s="4" t="s">
        <v>2503</v>
      </c>
      <c r="G1181" s="16"/>
      <c r="I1181">
        <v>17.71</v>
      </c>
      <c r="M1181">
        <v>1</v>
      </c>
      <c r="N1181">
        <v>9</v>
      </c>
      <c r="O1181">
        <v>0</v>
      </c>
      <c r="P1181">
        <v>4.3499999999999996</v>
      </c>
      <c r="Q1181">
        <v>39.119999999999997</v>
      </c>
      <c r="R1181" t="s">
        <v>2504</v>
      </c>
      <c r="S1181">
        <v>0</v>
      </c>
      <c r="T1181" t="s">
        <v>52</v>
      </c>
      <c r="U1181">
        <v>0</v>
      </c>
      <c r="V1181">
        <v>0</v>
      </c>
      <c r="W1181">
        <v>400125</v>
      </c>
      <c r="AE1181">
        <v>0</v>
      </c>
      <c r="AH1181">
        <v>17.71</v>
      </c>
      <c r="AP1181" t="s">
        <v>184</v>
      </c>
    </row>
    <row r="1182" spans="1:42">
      <c r="A1182" s="1" t="s">
        <v>46</v>
      </c>
      <c r="B1182" s="1" t="s">
        <v>2505</v>
      </c>
      <c r="C1182" s="1" t="s">
        <v>2505</v>
      </c>
      <c r="E1182" s="4" t="s">
        <v>2506</v>
      </c>
      <c r="G1182" s="16"/>
      <c r="I1182">
        <v>5.17</v>
      </c>
      <c r="M1182">
        <v>1</v>
      </c>
      <c r="N1182">
        <v>1</v>
      </c>
      <c r="O1182">
        <v>0</v>
      </c>
      <c r="P1182">
        <v>2.88</v>
      </c>
      <c r="Q1182">
        <v>2.88</v>
      </c>
      <c r="R1182" t="s">
        <v>2504</v>
      </c>
      <c r="S1182">
        <v>0</v>
      </c>
      <c r="T1182" t="s">
        <v>52</v>
      </c>
      <c r="U1182">
        <v>0</v>
      </c>
      <c r="V1182">
        <v>0</v>
      </c>
      <c r="W1182">
        <v>400013</v>
      </c>
      <c r="AE1182">
        <v>0</v>
      </c>
      <c r="AH1182">
        <v>5.17</v>
      </c>
      <c r="AP1182" t="s">
        <v>232</v>
      </c>
    </row>
    <row r="1183" spans="1:42">
      <c r="A1183" s="1" t="s">
        <v>46</v>
      </c>
      <c r="B1183" s="1" t="s">
        <v>2507</v>
      </c>
      <c r="C1183" s="1" t="s">
        <v>2507</v>
      </c>
      <c r="E1183" s="4" t="s">
        <v>2508</v>
      </c>
      <c r="G1183" s="16"/>
      <c r="I1183">
        <v>7.04</v>
      </c>
      <c r="M1183">
        <v>1</v>
      </c>
      <c r="N1183">
        <v>-21</v>
      </c>
      <c r="O1183">
        <v>0</v>
      </c>
      <c r="P1183">
        <v>1.62</v>
      </c>
      <c r="Q1183">
        <v>-34.07</v>
      </c>
      <c r="R1183" t="s">
        <v>2504</v>
      </c>
      <c r="S1183">
        <v>0</v>
      </c>
      <c r="T1183" t="s">
        <v>52</v>
      </c>
      <c r="U1183">
        <v>0</v>
      </c>
      <c r="V1183">
        <v>0</v>
      </c>
      <c r="W1183">
        <v>400125</v>
      </c>
      <c r="AE1183">
        <v>0</v>
      </c>
      <c r="AH1183">
        <v>7.04</v>
      </c>
      <c r="AP1183" t="s">
        <v>184</v>
      </c>
    </row>
    <row r="1184" spans="1:42">
      <c r="A1184" s="1" t="s">
        <v>46</v>
      </c>
      <c r="B1184" s="1" t="s">
        <v>2509</v>
      </c>
      <c r="C1184" s="1" t="s">
        <v>2509</v>
      </c>
      <c r="E1184" s="4" t="s">
        <v>2510</v>
      </c>
      <c r="G1184" s="16"/>
      <c r="I1184">
        <v>25.47</v>
      </c>
      <c r="M1184">
        <v>1</v>
      </c>
      <c r="N1184">
        <v>-8</v>
      </c>
      <c r="O1184">
        <v>0</v>
      </c>
      <c r="P1184">
        <v>6.85</v>
      </c>
      <c r="Q1184">
        <v>-54.78</v>
      </c>
      <c r="R1184" t="s">
        <v>2504</v>
      </c>
      <c r="S1184">
        <v>0</v>
      </c>
      <c r="T1184" t="s">
        <v>52</v>
      </c>
      <c r="U1184">
        <v>0</v>
      </c>
      <c r="V1184">
        <v>0</v>
      </c>
      <c r="W1184">
        <v>400128</v>
      </c>
      <c r="AE1184">
        <v>0</v>
      </c>
      <c r="AH1184">
        <v>25.47</v>
      </c>
      <c r="AP1184" t="s">
        <v>1180</v>
      </c>
    </row>
    <row r="1185" spans="1:42">
      <c r="A1185" s="1" t="s">
        <v>46</v>
      </c>
      <c r="B1185" s="1" t="s">
        <v>2511</v>
      </c>
      <c r="C1185" s="1" t="s">
        <v>2511</v>
      </c>
      <c r="E1185" s="4" t="s">
        <v>2512</v>
      </c>
      <c r="G1185" s="16"/>
      <c r="I1185">
        <v>13.65</v>
      </c>
      <c r="M1185">
        <v>1</v>
      </c>
      <c r="N1185">
        <v>-16</v>
      </c>
      <c r="O1185">
        <v>0</v>
      </c>
      <c r="P1185">
        <v>6.18</v>
      </c>
      <c r="Q1185">
        <v>-98.94</v>
      </c>
      <c r="R1185" t="s">
        <v>2504</v>
      </c>
      <c r="S1185">
        <v>0</v>
      </c>
      <c r="T1185" t="s">
        <v>52</v>
      </c>
      <c r="U1185">
        <v>0</v>
      </c>
      <c r="V1185">
        <v>0</v>
      </c>
      <c r="W1185">
        <v>400125</v>
      </c>
      <c r="AE1185">
        <v>0</v>
      </c>
      <c r="AH1185">
        <v>13.65</v>
      </c>
      <c r="AP1185" t="s">
        <v>184</v>
      </c>
    </row>
    <row r="1186" spans="1:42">
      <c r="A1186" s="1" t="s">
        <v>46</v>
      </c>
      <c r="B1186" s="1" t="s">
        <v>2513</v>
      </c>
      <c r="C1186" s="1" t="s">
        <v>2513</v>
      </c>
      <c r="E1186" s="4" t="s">
        <v>2514</v>
      </c>
      <c r="G1186" s="16"/>
      <c r="I1186">
        <v>14.85</v>
      </c>
      <c r="M1186">
        <v>1</v>
      </c>
      <c r="N1186">
        <v>3</v>
      </c>
      <c r="O1186">
        <v>0</v>
      </c>
      <c r="P1186">
        <v>3.3</v>
      </c>
      <c r="Q1186">
        <v>9.91</v>
      </c>
      <c r="R1186" t="s">
        <v>2504</v>
      </c>
      <c r="S1186">
        <v>0</v>
      </c>
      <c r="T1186" t="s">
        <v>52</v>
      </c>
      <c r="U1186">
        <v>0</v>
      </c>
      <c r="V1186">
        <v>0</v>
      </c>
      <c r="W1186">
        <v>400125</v>
      </c>
      <c r="AE1186">
        <v>0</v>
      </c>
      <c r="AH1186">
        <v>14.85</v>
      </c>
      <c r="AP1186" t="s">
        <v>184</v>
      </c>
    </row>
    <row r="1187" spans="1:42">
      <c r="A1187" s="1" t="s">
        <v>46</v>
      </c>
      <c r="B1187" s="1" t="s">
        <v>2515</v>
      </c>
      <c r="C1187" s="1" t="s">
        <v>2515</v>
      </c>
      <c r="E1187" s="4" t="s">
        <v>2516</v>
      </c>
      <c r="G1187" s="16"/>
      <c r="I1187">
        <v>27.8</v>
      </c>
      <c r="M1187">
        <v>1</v>
      </c>
      <c r="N1187">
        <v>15</v>
      </c>
      <c r="O1187">
        <v>0</v>
      </c>
      <c r="P1187">
        <v>3.72</v>
      </c>
      <c r="Q1187">
        <v>55.82</v>
      </c>
      <c r="R1187" t="s">
        <v>2504</v>
      </c>
      <c r="S1187">
        <v>0</v>
      </c>
      <c r="T1187" t="s">
        <v>52</v>
      </c>
      <c r="U1187">
        <v>0</v>
      </c>
      <c r="V1187">
        <v>0</v>
      </c>
      <c r="W1187">
        <v>400013</v>
      </c>
      <c r="AE1187">
        <v>0</v>
      </c>
      <c r="AH1187">
        <v>27.8</v>
      </c>
      <c r="AP1187" t="s">
        <v>232</v>
      </c>
    </row>
    <row r="1188" spans="1:42">
      <c r="A1188" s="1" t="s">
        <v>46</v>
      </c>
      <c r="B1188" s="1" t="s">
        <v>2517</v>
      </c>
      <c r="C1188" s="1" t="s">
        <v>2517</v>
      </c>
      <c r="E1188" s="4" t="s">
        <v>2518</v>
      </c>
      <c r="G1188" s="16"/>
      <c r="I1188">
        <v>8.8000000000000007</v>
      </c>
      <c r="M1188">
        <v>1</v>
      </c>
      <c r="N1188">
        <v>5</v>
      </c>
      <c r="O1188">
        <v>0</v>
      </c>
      <c r="P1188">
        <v>3.82</v>
      </c>
      <c r="Q1188">
        <v>19.079999999999998</v>
      </c>
      <c r="R1188" t="s">
        <v>2504</v>
      </c>
      <c r="S1188">
        <v>0</v>
      </c>
      <c r="T1188" t="s">
        <v>52</v>
      </c>
      <c r="U1188">
        <v>0</v>
      </c>
      <c r="V1188">
        <v>0</v>
      </c>
      <c r="W1188">
        <v>400013</v>
      </c>
      <c r="AE1188">
        <v>0</v>
      </c>
      <c r="AH1188">
        <v>8.8000000000000007</v>
      </c>
      <c r="AP1188" t="s">
        <v>232</v>
      </c>
    </row>
    <row r="1189" spans="1:42">
      <c r="A1189" s="1" t="s">
        <v>46</v>
      </c>
      <c r="B1189" s="1" t="s">
        <v>2519</v>
      </c>
      <c r="C1189" s="1" t="s">
        <v>2519</v>
      </c>
      <c r="E1189" s="4" t="s">
        <v>2520</v>
      </c>
      <c r="G1189" s="16"/>
      <c r="I1189">
        <v>4.9000000000000004</v>
      </c>
      <c r="M1189">
        <v>1</v>
      </c>
      <c r="N1189">
        <v>21</v>
      </c>
      <c r="O1189">
        <v>0</v>
      </c>
      <c r="P1189">
        <v>1.1100000000000001</v>
      </c>
      <c r="Q1189">
        <v>23.31</v>
      </c>
      <c r="R1189" t="s">
        <v>2504</v>
      </c>
      <c r="S1189">
        <v>0</v>
      </c>
      <c r="T1189" t="s">
        <v>52</v>
      </c>
      <c r="U1189">
        <v>0</v>
      </c>
      <c r="V1189">
        <v>0</v>
      </c>
      <c r="W1189">
        <v>400125</v>
      </c>
      <c r="AE1189">
        <v>0</v>
      </c>
      <c r="AH1189">
        <v>4.9000000000000004</v>
      </c>
      <c r="AP1189" t="s">
        <v>184</v>
      </c>
    </row>
    <row r="1190" spans="1:42">
      <c r="A1190" s="1" t="s">
        <v>46</v>
      </c>
      <c r="B1190" s="1" t="s">
        <v>2521</v>
      </c>
      <c r="C1190" s="1" t="s">
        <v>2521</v>
      </c>
      <c r="E1190" s="4" t="s">
        <v>2522</v>
      </c>
      <c r="G1190" s="16"/>
      <c r="I1190">
        <v>10.51</v>
      </c>
      <c r="M1190">
        <v>1</v>
      </c>
      <c r="N1190">
        <v>-1</v>
      </c>
      <c r="O1190">
        <v>0</v>
      </c>
      <c r="P1190">
        <v>4.7</v>
      </c>
      <c r="Q1190">
        <v>-4.7</v>
      </c>
      <c r="R1190" t="s">
        <v>2504</v>
      </c>
      <c r="S1190">
        <v>0</v>
      </c>
      <c r="T1190" t="s">
        <v>52</v>
      </c>
      <c r="U1190">
        <v>0</v>
      </c>
      <c r="V1190">
        <v>0</v>
      </c>
      <c r="W1190">
        <v>400004</v>
      </c>
      <c r="AE1190">
        <v>0</v>
      </c>
      <c r="AH1190">
        <v>10.51</v>
      </c>
      <c r="AP1190" t="s">
        <v>352</v>
      </c>
    </row>
    <row r="1191" spans="1:42">
      <c r="A1191" s="1" t="s">
        <v>46</v>
      </c>
      <c r="B1191" s="1" t="s">
        <v>2523</v>
      </c>
      <c r="C1191" s="1" t="s">
        <v>2523</v>
      </c>
      <c r="E1191" s="4" t="s">
        <v>2524</v>
      </c>
      <c r="G1191" s="16"/>
      <c r="I1191">
        <v>6.49</v>
      </c>
      <c r="M1191">
        <v>1</v>
      </c>
      <c r="N1191">
        <v>-1</v>
      </c>
      <c r="O1191">
        <v>0</v>
      </c>
      <c r="R1191" t="s">
        <v>2504</v>
      </c>
      <c r="S1191">
        <v>0</v>
      </c>
      <c r="T1191" t="s">
        <v>52</v>
      </c>
      <c r="U1191">
        <v>0</v>
      </c>
      <c r="V1191">
        <v>0</v>
      </c>
      <c r="AE1191">
        <v>0</v>
      </c>
      <c r="AH1191">
        <v>6.49</v>
      </c>
    </row>
    <row r="1192" spans="1:42">
      <c r="A1192" s="1" t="s">
        <v>46</v>
      </c>
      <c r="B1192" s="1" t="s">
        <v>2525</v>
      </c>
      <c r="C1192" s="1" t="s">
        <v>2525</v>
      </c>
      <c r="E1192" s="4" t="s">
        <v>2526</v>
      </c>
      <c r="G1192" s="16"/>
      <c r="I1192">
        <v>7.15</v>
      </c>
      <c r="M1192">
        <v>1</v>
      </c>
      <c r="N1192">
        <v>-27</v>
      </c>
      <c r="O1192">
        <v>0</v>
      </c>
      <c r="R1192" t="s">
        <v>2504</v>
      </c>
      <c r="S1192">
        <v>0</v>
      </c>
      <c r="T1192" t="s">
        <v>52</v>
      </c>
      <c r="U1192">
        <v>0</v>
      </c>
      <c r="V1192">
        <v>0</v>
      </c>
      <c r="AE1192">
        <v>0</v>
      </c>
      <c r="AH1192">
        <v>7.15</v>
      </c>
    </row>
    <row r="1193" spans="1:42">
      <c r="A1193" s="1" t="s">
        <v>46</v>
      </c>
      <c r="B1193" s="1" t="s">
        <v>2527</v>
      </c>
      <c r="C1193" s="1" t="s">
        <v>2527</v>
      </c>
      <c r="E1193" s="4" t="s">
        <v>2528</v>
      </c>
      <c r="G1193" s="16"/>
      <c r="I1193">
        <v>12.54</v>
      </c>
      <c r="M1193">
        <v>1</v>
      </c>
      <c r="N1193">
        <v>-1</v>
      </c>
      <c r="O1193">
        <v>0</v>
      </c>
      <c r="R1193" t="s">
        <v>2504</v>
      </c>
      <c r="S1193">
        <v>0</v>
      </c>
      <c r="T1193" t="s">
        <v>52</v>
      </c>
      <c r="U1193">
        <v>0</v>
      </c>
      <c r="V1193">
        <v>0</v>
      </c>
      <c r="AE1193">
        <v>0</v>
      </c>
      <c r="AH1193">
        <v>12.54</v>
      </c>
    </row>
    <row r="1194" spans="1:42">
      <c r="A1194" s="1" t="s">
        <v>46</v>
      </c>
      <c r="B1194" s="1" t="s">
        <v>2529</v>
      </c>
      <c r="C1194" s="1" t="s">
        <v>2529</v>
      </c>
      <c r="E1194" s="4" t="s">
        <v>2530</v>
      </c>
      <c r="G1194" s="16"/>
      <c r="I1194">
        <v>11.44</v>
      </c>
      <c r="M1194">
        <v>1</v>
      </c>
      <c r="N1194">
        <v>-18</v>
      </c>
      <c r="O1194">
        <v>0</v>
      </c>
      <c r="P1194">
        <v>3.19</v>
      </c>
      <c r="Q1194">
        <v>-57.42</v>
      </c>
      <c r="R1194" t="s">
        <v>2504</v>
      </c>
      <c r="S1194">
        <v>0</v>
      </c>
      <c r="T1194" t="s">
        <v>52</v>
      </c>
      <c r="U1194">
        <v>0</v>
      </c>
      <c r="V1194">
        <v>0</v>
      </c>
      <c r="W1194">
        <v>400125</v>
      </c>
      <c r="AE1194">
        <v>0</v>
      </c>
      <c r="AH1194">
        <v>11.44</v>
      </c>
      <c r="AP1194" t="s">
        <v>184</v>
      </c>
    </row>
    <row r="1195" spans="1:42">
      <c r="A1195" s="1" t="s">
        <v>46</v>
      </c>
      <c r="B1195" s="1" t="s">
        <v>2531</v>
      </c>
      <c r="C1195" s="1" t="s">
        <v>2531</v>
      </c>
      <c r="E1195" s="4" t="s">
        <v>2532</v>
      </c>
      <c r="G1195" s="16"/>
      <c r="I1195">
        <v>4.24</v>
      </c>
      <c r="M1195">
        <v>1</v>
      </c>
      <c r="N1195">
        <v>2</v>
      </c>
      <c r="O1195">
        <v>0</v>
      </c>
      <c r="P1195">
        <v>0.98</v>
      </c>
      <c r="Q1195">
        <v>1.96</v>
      </c>
      <c r="R1195" t="s">
        <v>2504</v>
      </c>
      <c r="S1195">
        <v>0</v>
      </c>
      <c r="T1195" t="s">
        <v>52</v>
      </c>
      <c r="U1195">
        <v>0</v>
      </c>
      <c r="V1195">
        <v>0</v>
      </c>
      <c r="W1195">
        <v>400125</v>
      </c>
      <c r="AE1195">
        <v>0</v>
      </c>
      <c r="AH1195">
        <v>4.24</v>
      </c>
      <c r="AP1195" t="s">
        <v>184</v>
      </c>
    </row>
    <row r="1196" spans="1:42">
      <c r="A1196" s="1" t="s">
        <v>46</v>
      </c>
      <c r="B1196" s="1" t="s">
        <v>2533</v>
      </c>
      <c r="C1196" s="1" t="s">
        <v>2533</v>
      </c>
      <c r="E1196" s="4" t="s">
        <v>2534</v>
      </c>
      <c r="G1196" s="16"/>
      <c r="I1196">
        <v>6.11</v>
      </c>
      <c r="M1196">
        <v>1</v>
      </c>
      <c r="N1196">
        <v>11</v>
      </c>
      <c r="O1196">
        <v>0</v>
      </c>
      <c r="P1196">
        <v>1.37</v>
      </c>
      <c r="Q1196">
        <v>15.1</v>
      </c>
      <c r="R1196" t="s">
        <v>2504</v>
      </c>
      <c r="S1196">
        <v>0</v>
      </c>
      <c r="T1196" t="s">
        <v>52</v>
      </c>
      <c r="U1196">
        <v>0</v>
      </c>
      <c r="V1196">
        <v>0</v>
      </c>
      <c r="W1196">
        <v>400125</v>
      </c>
      <c r="AE1196">
        <v>0</v>
      </c>
      <c r="AH1196">
        <v>6.11</v>
      </c>
      <c r="AP1196" t="s">
        <v>184</v>
      </c>
    </row>
    <row r="1197" spans="1:42">
      <c r="A1197" s="1" t="s">
        <v>46</v>
      </c>
      <c r="B1197" s="1" t="s">
        <v>2535</v>
      </c>
      <c r="C1197" s="1" t="s">
        <v>2535</v>
      </c>
      <c r="E1197" s="4" t="s">
        <v>2536</v>
      </c>
      <c r="G1197" s="16"/>
      <c r="I1197">
        <v>21.78</v>
      </c>
      <c r="M1197">
        <v>1</v>
      </c>
      <c r="N1197">
        <v>11</v>
      </c>
      <c r="O1197">
        <v>0</v>
      </c>
      <c r="P1197">
        <v>4.6900000000000004</v>
      </c>
      <c r="Q1197">
        <v>51.59</v>
      </c>
      <c r="R1197" t="s">
        <v>2504</v>
      </c>
      <c r="S1197">
        <v>0</v>
      </c>
      <c r="T1197" t="s">
        <v>52</v>
      </c>
      <c r="U1197">
        <v>0</v>
      </c>
      <c r="V1197">
        <v>0</v>
      </c>
      <c r="W1197">
        <v>400125</v>
      </c>
      <c r="AE1197">
        <v>0</v>
      </c>
      <c r="AH1197">
        <v>21.78</v>
      </c>
      <c r="AP1197" t="s">
        <v>184</v>
      </c>
    </row>
    <row r="1198" spans="1:42">
      <c r="A1198" s="1" t="s">
        <v>46</v>
      </c>
      <c r="B1198" s="1" t="s">
        <v>2537</v>
      </c>
      <c r="C1198" s="1" t="s">
        <v>2537</v>
      </c>
      <c r="E1198" s="4" t="s">
        <v>2538</v>
      </c>
      <c r="G1198" s="16"/>
      <c r="I1198">
        <v>8.4499999999999993</v>
      </c>
      <c r="M1198">
        <v>1</v>
      </c>
      <c r="N1198">
        <v>-13</v>
      </c>
      <c r="O1198">
        <v>0</v>
      </c>
      <c r="P1198">
        <v>1.98</v>
      </c>
      <c r="Q1198">
        <v>-25.69</v>
      </c>
      <c r="R1198" t="s">
        <v>2504</v>
      </c>
      <c r="S1198">
        <v>0</v>
      </c>
      <c r="T1198" t="s">
        <v>52</v>
      </c>
      <c r="U1198">
        <v>0</v>
      </c>
      <c r="V1198">
        <v>0</v>
      </c>
      <c r="W1198">
        <v>400013</v>
      </c>
      <c r="AE1198">
        <v>0</v>
      </c>
      <c r="AH1198">
        <v>8.4499999999999993</v>
      </c>
      <c r="AP1198" t="s">
        <v>232</v>
      </c>
    </row>
    <row r="1199" spans="1:42">
      <c r="A1199" s="1" t="s">
        <v>46</v>
      </c>
      <c r="B1199" s="1" t="s">
        <v>2539</v>
      </c>
      <c r="C1199" s="1" t="s">
        <v>2539</v>
      </c>
      <c r="E1199" s="4" t="s">
        <v>2540</v>
      </c>
      <c r="G1199" s="16"/>
      <c r="I1199">
        <v>9.9</v>
      </c>
      <c r="M1199">
        <v>1</v>
      </c>
      <c r="N1199">
        <v>11</v>
      </c>
      <c r="O1199">
        <v>0</v>
      </c>
      <c r="P1199">
        <v>2.2599999999999998</v>
      </c>
      <c r="Q1199">
        <v>24.89</v>
      </c>
      <c r="R1199" t="s">
        <v>2504</v>
      </c>
      <c r="S1199">
        <v>0</v>
      </c>
      <c r="T1199" t="s">
        <v>52</v>
      </c>
      <c r="U1199">
        <v>0</v>
      </c>
      <c r="V1199">
        <v>0</v>
      </c>
      <c r="W1199">
        <v>400125</v>
      </c>
      <c r="AE1199">
        <v>0</v>
      </c>
      <c r="AH1199">
        <v>9.9</v>
      </c>
      <c r="AP1199" t="s">
        <v>184</v>
      </c>
    </row>
    <row r="1200" spans="1:42">
      <c r="A1200" s="1" t="s">
        <v>46</v>
      </c>
      <c r="B1200" s="1" t="s">
        <v>2541</v>
      </c>
      <c r="C1200" s="1" t="s">
        <v>2541</v>
      </c>
      <c r="E1200" s="4" t="s">
        <v>2542</v>
      </c>
      <c r="G1200" s="16">
        <v>5.5</v>
      </c>
      <c r="I1200">
        <v>22.05</v>
      </c>
      <c r="M1200">
        <v>1</v>
      </c>
      <c r="N1200">
        <v>-8</v>
      </c>
      <c r="O1200">
        <v>0</v>
      </c>
      <c r="P1200">
        <v>4.9000000000000004</v>
      </c>
      <c r="Q1200">
        <v>-39.159999999999997</v>
      </c>
      <c r="R1200" t="s">
        <v>2504</v>
      </c>
      <c r="S1200">
        <v>0</v>
      </c>
      <c r="T1200" t="s">
        <v>52</v>
      </c>
      <c r="U1200">
        <v>0</v>
      </c>
      <c r="V1200">
        <v>0</v>
      </c>
      <c r="W1200">
        <v>400125</v>
      </c>
      <c r="AE1200">
        <v>0</v>
      </c>
      <c r="AH1200">
        <v>22.05</v>
      </c>
      <c r="AP1200" t="s">
        <v>184</v>
      </c>
    </row>
    <row r="1201" spans="1:42">
      <c r="A1201" s="1" t="s">
        <v>46</v>
      </c>
      <c r="B1201" s="1" t="s">
        <v>2543</v>
      </c>
      <c r="C1201" s="1" t="s">
        <v>2543</v>
      </c>
      <c r="E1201" s="4" t="s">
        <v>2544</v>
      </c>
      <c r="G1201" s="16"/>
      <c r="I1201">
        <v>20.05</v>
      </c>
      <c r="M1201">
        <v>1</v>
      </c>
      <c r="N1201">
        <v>-1</v>
      </c>
      <c r="O1201">
        <v>0</v>
      </c>
      <c r="R1201" t="s">
        <v>2504</v>
      </c>
      <c r="S1201">
        <v>0</v>
      </c>
      <c r="T1201" t="s">
        <v>52</v>
      </c>
      <c r="U1201">
        <v>0</v>
      </c>
      <c r="V1201">
        <v>0</v>
      </c>
      <c r="AE1201">
        <v>0</v>
      </c>
      <c r="AH1201">
        <v>20.05</v>
      </c>
    </row>
    <row r="1202" spans="1:42">
      <c r="A1202" s="1" t="s">
        <v>46</v>
      </c>
      <c r="B1202" s="1" t="s">
        <v>2545</v>
      </c>
      <c r="C1202" s="1" t="s">
        <v>2545</v>
      </c>
      <c r="E1202" s="4" t="s">
        <v>2546</v>
      </c>
      <c r="G1202" s="16"/>
      <c r="I1202">
        <v>11.55</v>
      </c>
      <c r="M1202">
        <v>1</v>
      </c>
      <c r="N1202">
        <v>-4</v>
      </c>
      <c r="O1202">
        <v>0</v>
      </c>
      <c r="P1202">
        <v>11.55</v>
      </c>
      <c r="Q1202">
        <v>-46.2</v>
      </c>
      <c r="R1202" t="s">
        <v>2504</v>
      </c>
      <c r="S1202">
        <v>0</v>
      </c>
      <c r="T1202" t="s">
        <v>52</v>
      </c>
      <c r="U1202">
        <v>0</v>
      </c>
      <c r="V1202">
        <v>0</v>
      </c>
      <c r="W1202">
        <v>400004</v>
      </c>
      <c r="AE1202">
        <v>0</v>
      </c>
      <c r="AH1202">
        <v>11.55</v>
      </c>
      <c r="AP1202" t="s">
        <v>352</v>
      </c>
    </row>
    <row r="1203" spans="1:42">
      <c r="A1203" s="1" t="s">
        <v>46</v>
      </c>
      <c r="B1203" s="1" t="s">
        <v>2547</v>
      </c>
      <c r="C1203" s="1" t="s">
        <v>2547</v>
      </c>
      <c r="E1203" s="4" t="s">
        <v>2548</v>
      </c>
      <c r="G1203" s="16"/>
      <c r="M1203">
        <v>1</v>
      </c>
      <c r="N1203">
        <v>10</v>
      </c>
      <c r="O1203">
        <v>0</v>
      </c>
      <c r="P1203">
        <v>0.94</v>
      </c>
      <c r="Q1203">
        <v>9.3800000000000008</v>
      </c>
      <c r="R1203">
        <v>0</v>
      </c>
      <c r="S1203">
        <v>0</v>
      </c>
      <c r="T1203" t="s">
        <v>52</v>
      </c>
      <c r="U1203">
        <v>0</v>
      </c>
      <c r="V1203">
        <v>0</v>
      </c>
      <c r="W1203">
        <v>400125</v>
      </c>
      <c r="AE1203">
        <v>0</v>
      </c>
      <c r="AP1203" t="s">
        <v>184</v>
      </c>
    </row>
    <row r="1204" spans="1:42">
      <c r="A1204" s="1" t="s">
        <v>46</v>
      </c>
      <c r="B1204" s="1" t="s">
        <v>2549</v>
      </c>
      <c r="C1204" s="1" t="s">
        <v>2549</v>
      </c>
      <c r="E1204" s="4" t="s">
        <v>2550</v>
      </c>
      <c r="G1204" s="16">
        <v>2</v>
      </c>
      <c r="I1204">
        <v>7.87</v>
      </c>
      <c r="M1204">
        <v>1</v>
      </c>
      <c r="N1204">
        <v>-1</v>
      </c>
      <c r="O1204">
        <v>0</v>
      </c>
      <c r="R1204" t="s">
        <v>2504</v>
      </c>
      <c r="S1204">
        <v>0</v>
      </c>
      <c r="T1204" t="s">
        <v>52</v>
      </c>
      <c r="U1204">
        <v>0</v>
      </c>
      <c r="V1204">
        <v>0</v>
      </c>
      <c r="AE1204">
        <v>0</v>
      </c>
      <c r="AH1204">
        <v>7.87</v>
      </c>
    </row>
    <row r="1205" spans="1:42">
      <c r="A1205" s="1" t="s">
        <v>46</v>
      </c>
      <c r="B1205" s="1" t="s">
        <v>2551</v>
      </c>
      <c r="C1205" s="1" t="s">
        <v>2551</v>
      </c>
      <c r="E1205" s="4" t="s">
        <v>2552</v>
      </c>
      <c r="G1205" s="16"/>
      <c r="I1205">
        <v>10.23</v>
      </c>
      <c r="M1205">
        <v>1</v>
      </c>
      <c r="N1205">
        <v>3</v>
      </c>
      <c r="O1205">
        <v>0</v>
      </c>
      <c r="P1205">
        <v>2.37</v>
      </c>
      <c r="Q1205">
        <v>7.1</v>
      </c>
      <c r="R1205" t="s">
        <v>2504</v>
      </c>
      <c r="S1205">
        <v>0</v>
      </c>
      <c r="T1205" t="s">
        <v>52</v>
      </c>
      <c r="U1205">
        <v>0</v>
      </c>
      <c r="V1205">
        <v>0</v>
      </c>
      <c r="AE1205">
        <v>0</v>
      </c>
      <c r="AH1205">
        <v>10.23</v>
      </c>
    </row>
    <row r="1206" spans="1:42">
      <c r="A1206" s="1" t="s">
        <v>46</v>
      </c>
      <c r="B1206" s="1" t="s">
        <v>2553</v>
      </c>
      <c r="C1206" s="1" t="s">
        <v>2553</v>
      </c>
      <c r="E1206" s="4" t="s">
        <v>2554</v>
      </c>
      <c r="G1206" s="16"/>
      <c r="I1206">
        <v>4.9000000000000004</v>
      </c>
      <c r="M1206">
        <v>1</v>
      </c>
      <c r="N1206">
        <v>1</v>
      </c>
      <c r="O1206">
        <v>0</v>
      </c>
      <c r="P1206">
        <v>1.21</v>
      </c>
      <c r="Q1206">
        <v>1.21</v>
      </c>
      <c r="R1206" t="s">
        <v>2504</v>
      </c>
      <c r="S1206">
        <v>0</v>
      </c>
      <c r="T1206" t="s">
        <v>52</v>
      </c>
      <c r="U1206">
        <v>0</v>
      </c>
      <c r="V1206">
        <v>0</v>
      </c>
      <c r="W1206">
        <v>400125</v>
      </c>
      <c r="AE1206">
        <v>0</v>
      </c>
      <c r="AH1206">
        <v>4.9000000000000004</v>
      </c>
      <c r="AP1206" t="s">
        <v>184</v>
      </c>
    </row>
    <row r="1207" spans="1:42">
      <c r="A1207" s="1" t="s">
        <v>46</v>
      </c>
      <c r="B1207" s="1" t="s">
        <v>2555</v>
      </c>
      <c r="C1207" s="1" t="s">
        <v>2555</v>
      </c>
      <c r="E1207" s="4" t="s">
        <v>2556</v>
      </c>
      <c r="G1207" s="16">
        <v>2.75</v>
      </c>
      <c r="I1207">
        <v>4.4000000000000004</v>
      </c>
      <c r="M1207">
        <v>1</v>
      </c>
      <c r="N1207">
        <v>-9</v>
      </c>
      <c r="O1207">
        <v>0</v>
      </c>
      <c r="P1207">
        <v>1.74</v>
      </c>
      <c r="Q1207">
        <v>-15.68</v>
      </c>
      <c r="R1207" t="s">
        <v>2504</v>
      </c>
      <c r="S1207">
        <v>0</v>
      </c>
      <c r="T1207" t="s">
        <v>52</v>
      </c>
      <c r="U1207">
        <v>0</v>
      </c>
      <c r="V1207">
        <v>0</v>
      </c>
      <c r="W1207">
        <v>400094</v>
      </c>
      <c r="AE1207">
        <v>0</v>
      </c>
      <c r="AH1207">
        <v>4.4000000000000004</v>
      </c>
      <c r="AP1207" t="s">
        <v>1528</v>
      </c>
    </row>
    <row r="1208" spans="1:42">
      <c r="A1208" s="1" t="s">
        <v>46</v>
      </c>
      <c r="B1208" s="1" t="s">
        <v>2557</v>
      </c>
      <c r="C1208" s="1" t="s">
        <v>2557</v>
      </c>
      <c r="E1208" s="4" t="s">
        <v>2558</v>
      </c>
      <c r="G1208" s="16"/>
      <c r="I1208">
        <v>6.6</v>
      </c>
      <c r="M1208">
        <v>1</v>
      </c>
      <c r="N1208">
        <v>-26</v>
      </c>
      <c r="O1208">
        <v>0</v>
      </c>
      <c r="P1208">
        <v>2.67</v>
      </c>
      <c r="Q1208">
        <v>-69.33</v>
      </c>
      <c r="R1208" t="s">
        <v>2504</v>
      </c>
      <c r="S1208">
        <v>0</v>
      </c>
      <c r="T1208" t="s">
        <v>52</v>
      </c>
      <c r="U1208">
        <v>0</v>
      </c>
      <c r="V1208">
        <v>0</v>
      </c>
      <c r="W1208">
        <v>400013</v>
      </c>
      <c r="AE1208">
        <v>0</v>
      </c>
      <c r="AH1208">
        <v>6.6</v>
      </c>
      <c r="AP1208" t="s">
        <v>232</v>
      </c>
    </row>
    <row r="1209" spans="1:42">
      <c r="A1209" s="1" t="s">
        <v>46</v>
      </c>
      <c r="B1209" s="1" t="s">
        <v>2559</v>
      </c>
      <c r="C1209" s="1" t="s">
        <v>2559</v>
      </c>
      <c r="E1209" s="4" t="s">
        <v>2560</v>
      </c>
      <c r="G1209" s="16">
        <v>3.5</v>
      </c>
      <c r="I1209">
        <v>3.74</v>
      </c>
      <c r="M1209">
        <v>1</v>
      </c>
      <c r="N1209">
        <v>-99</v>
      </c>
      <c r="O1209">
        <v>0</v>
      </c>
      <c r="P1209">
        <v>0.8</v>
      </c>
      <c r="Q1209">
        <v>-79.67</v>
      </c>
      <c r="R1209" t="s">
        <v>2504</v>
      </c>
      <c r="S1209">
        <v>0</v>
      </c>
      <c r="T1209" t="s">
        <v>52</v>
      </c>
      <c r="U1209">
        <v>0</v>
      </c>
      <c r="V1209">
        <v>0</v>
      </c>
      <c r="W1209">
        <v>400125</v>
      </c>
      <c r="AE1209">
        <v>0</v>
      </c>
      <c r="AH1209">
        <v>3.74</v>
      </c>
      <c r="AP1209" t="s">
        <v>184</v>
      </c>
    </row>
    <row r="1210" spans="1:42">
      <c r="A1210" s="1" t="s">
        <v>46</v>
      </c>
      <c r="B1210" s="1" t="s">
        <v>2561</v>
      </c>
      <c r="C1210" s="1" t="s">
        <v>2561</v>
      </c>
      <c r="E1210" s="4" t="s">
        <v>2562</v>
      </c>
      <c r="G1210" s="16">
        <v>4.5</v>
      </c>
      <c r="I1210">
        <v>12.65</v>
      </c>
      <c r="M1210">
        <v>1</v>
      </c>
      <c r="N1210">
        <v>-41</v>
      </c>
      <c r="O1210">
        <v>0</v>
      </c>
      <c r="P1210">
        <v>2.84</v>
      </c>
      <c r="Q1210">
        <v>-116.62</v>
      </c>
      <c r="R1210" t="s">
        <v>2504</v>
      </c>
      <c r="S1210">
        <v>0</v>
      </c>
      <c r="T1210" t="s">
        <v>52</v>
      </c>
      <c r="U1210">
        <v>0</v>
      </c>
      <c r="V1210">
        <v>0</v>
      </c>
      <c r="W1210">
        <v>400125</v>
      </c>
      <c r="AE1210">
        <v>0</v>
      </c>
      <c r="AH1210">
        <v>12.65</v>
      </c>
      <c r="AP1210" t="s">
        <v>184</v>
      </c>
    </row>
    <row r="1211" spans="1:42">
      <c r="A1211" s="1" t="s">
        <v>46</v>
      </c>
      <c r="B1211" s="1" t="s">
        <v>2563</v>
      </c>
      <c r="C1211" s="1" t="s">
        <v>2563</v>
      </c>
      <c r="E1211" s="4" t="s">
        <v>2564</v>
      </c>
      <c r="G1211" s="16"/>
      <c r="I1211">
        <v>4.5</v>
      </c>
      <c r="M1211">
        <v>1</v>
      </c>
      <c r="N1211">
        <v>-77</v>
      </c>
      <c r="O1211">
        <v>0</v>
      </c>
      <c r="P1211">
        <v>1</v>
      </c>
      <c r="Q1211">
        <v>-76.92</v>
      </c>
      <c r="R1211" t="s">
        <v>2504</v>
      </c>
      <c r="S1211">
        <v>0</v>
      </c>
      <c r="T1211" t="s">
        <v>52</v>
      </c>
      <c r="U1211">
        <v>0</v>
      </c>
      <c r="V1211">
        <v>0</v>
      </c>
      <c r="W1211">
        <v>400125</v>
      </c>
      <c r="AE1211">
        <v>0</v>
      </c>
      <c r="AH1211">
        <v>4.5</v>
      </c>
      <c r="AP1211" t="s">
        <v>184</v>
      </c>
    </row>
    <row r="1212" spans="1:42">
      <c r="A1212" s="1" t="s">
        <v>46</v>
      </c>
      <c r="B1212" s="1" t="s">
        <v>2565</v>
      </c>
      <c r="C1212" s="1" t="s">
        <v>2565</v>
      </c>
      <c r="E1212" s="4" t="s">
        <v>2566</v>
      </c>
      <c r="G1212" s="16"/>
      <c r="I1212">
        <v>5.9</v>
      </c>
      <c r="M1212">
        <v>1</v>
      </c>
      <c r="N1212">
        <v>-7</v>
      </c>
      <c r="O1212">
        <v>0</v>
      </c>
      <c r="P1212">
        <v>1.44</v>
      </c>
      <c r="Q1212">
        <v>-10.09</v>
      </c>
      <c r="R1212" t="s">
        <v>2504</v>
      </c>
      <c r="S1212">
        <v>0</v>
      </c>
      <c r="T1212" t="s">
        <v>52</v>
      </c>
      <c r="U1212">
        <v>0</v>
      </c>
      <c r="V1212">
        <v>0</v>
      </c>
      <c r="W1212">
        <v>400125</v>
      </c>
      <c r="AE1212">
        <v>0</v>
      </c>
      <c r="AH1212">
        <v>5.9</v>
      </c>
      <c r="AP1212" t="s">
        <v>184</v>
      </c>
    </row>
    <row r="1213" spans="1:42">
      <c r="A1213" s="1" t="s">
        <v>46</v>
      </c>
      <c r="B1213" s="1" t="s">
        <v>2567</v>
      </c>
      <c r="C1213" s="1" t="s">
        <v>2567</v>
      </c>
      <c r="E1213" s="4" t="s">
        <v>2568</v>
      </c>
      <c r="G1213" s="16"/>
      <c r="I1213">
        <v>12.7</v>
      </c>
      <c r="M1213">
        <v>1</v>
      </c>
      <c r="N1213">
        <v>1</v>
      </c>
      <c r="O1213">
        <v>0</v>
      </c>
      <c r="P1213">
        <v>5.53</v>
      </c>
      <c r="Q1213">
        <v>5.53</v>
      </c>
      <c r="R1213" t="s">
        <v>2504</v>
      </c>
      <c r="S1213">
        <v>0</v>
      </c>
      <c r="T1213" t="s">
        <v>52</v>
      </c>
      <c r="U1213">
        <v>0</v>
      </c>
      <c r="V1213">
        <v>0</v>
      </c>
      <c r="W1213">
        <v>400013</v>
      </c>
      <c r="AE1213">
        <v>0</v>
      </c>
      <c r="AH1213">
        <v>12.7</v>
      </c>
      <c r="AP1213" t="s">
        <v>232</v>
      </c>
    </row>
    <row r="1214" spans="1:42">
      <c r="A1214" s="1" t="s">
        <v>46</v>
      </c>
      <c r="B1214" s="1" t="s">
        <v>2569</v>
      </c>
      <c r="C1214" s="1" t="s">
        <v>2569</v>
      </c>
      <c r="E1214" s="4" t="s">
        <v>2570</v>
      </c>
      <c r="G1214" s="16">
        <v>6</v>
      </c>
      <c r="I1214">
        <v>11.7</v>
      </c>
      <c r="M1214">
        <v>1</v>
      </c>
      <c r="N1214">
        <v>-1</v>
      </c>
      <c r="O1214">
        <v>0</v>
      </c>
      <c r="P1214">
        <v>5.53</v>
      </c>
      <c r="Q1214">
        <v>-5.53</v>
      </c>
      <c r="R1214" t="s">
        <v>2504</v>
      </c>
      <c r="S1214">
        <v>0</v>
      </c>
      <c r="T1214" t="s">
        <v>52</v>
      </c>
      <c r="U1214">
        <v>0</v>
      </c>
      <c r="V1214">
        <v>0</v>
      </c>
      <c r="W1214">
        <v>400013</v>
      </c>
      <c r="X1214" t="s">
        <v>56</v>
      </c>
      <c r="Y1214" t="s">
        <v>57</v>
      </c>
      <c r="AE1214">
        <v>0</v>
      </c>
      <c r="AH1214">
        <v>11.7</v>
      </c>
      <c r="AP1214" t="s">
        <v>232</v>
      </c>
    </row>
    <row r="1215" spans="1:42">
      <c r="A1215" s="1" t="s">
        <v>46</v>
      </c>
      <c r="B1215" s="1" t="s">
        <v>2571</v>
      </c>
      <c r="C1215" s="1" t="s">
        <v>2571</v>
      </c>
      <c r="E1215" s="4" t="s">
        <v>2572</v>
      </c>
      <c r="G1215" s="16">
        <v>3</v>
      </c>
      <c r="I1215">
        <v>11.39</v>
      </c>
      <c r="M1215">
        <v>1</v>
      </c>
      <c r="N1215">
        <v>-4</v>
      </c>
      <c r="O1215">
        <v>0</v>
      </c>
      <c r="P1215">
        <v>6.28</v>
      </c>
      <c r="Q1215">
        <v>-25.1</v>
      </c>
      <c r="R1215" t="s">
        <v>2504</v>
      </c>
      <c r="S1215">
        <v>0</v>
      </c>
      <c r="T1215" t="s">
        <v>52</v>
      </c>
      <c r="U1215">
        <v>0</v>
      </c>
      <c r="V1215">
        <v>0</v>
      </c>
      <c r="W1215">
        <v>400013</v>
      </c>
      <c r="AE1215">
        <v>0</v>
      </c>
      <c r="AH1215">
        <v>11.39</v>
      </c>
      <c r="AP1215" t="s">
        <v>232</v>
      </c>
    </row>
    <row r="1216" spans="1:42">
      <c r="A1216" s="1" t="s">
        <v>46</v>
      </c>
      <c r="B1216" s="1" t="s">
        <v>2573</v>
      </c>
      <c r="C1216" s="1" t="s">
        <v>2573</v>
      </c>
      <c r="E1216" s="4" t="s">
        <v>2574</v>
      </c>
      <c r="G1216" s="16">
        <v>2.5</v>
      </c>
      <c r="I1216">
        <v>8.0299999999999994</v>
      </c>
      <c r="M1216">
        <v>1</v>
      </c>
      <c r="N1216">
        <v>-11</v>
      </c>
      <c r="O1216">
        <v>0</v>
      </c>
      <c r="P1216">
        <v>2.34</v>
      </c>
      <c r="Q1216">
        <v>-25.71</v>
      </c>
      <c r="R1216" t="s">
        <v>2504</v>
      </c>
      <c r="S1216">
        <v>0</v>
      </c>
      <c r="T1216" t="s">
        <v>52</v>
      </c>
      <c r="U1216">
        <v>0</v>
      </c>
      <c r="V1216">
        <v>0</v>
      </c>
      <c r="W1216">
        <v>400125</v>
      </c>
      <c r="AE1216">
        <v>0</v>
      </c>
      <c r="AH1216">
        <v>8.0299999999999994</v>
      </c>
      <c r="AP1216" t="s">
        <v>184</v>
      </c>
    </row>
    <row r="1217" spans="1:42">
      <c r="A1217" s="1" t="s">
        <v>46</v>
      </c>
      <c r="B1217" s="1" t="s">
        <v>2575</v>
      </c>
      <c r="C1217" s="1" t="s">
        <v>2575</v>
      </c>
      <c r="E1217" s="4" t="s">
        <v>2576</v>
      </c>
      <c r="G1217" s="16">
        <v>2.5</v>
      </c>
      <c r="I1217">
        <v>6.11</v>
      </c>
      <c r="M1217">
        <v>1</v>
      </c>
      <c r="N1217">
        <v>2</v>
      </c>
      <c r="O1217">
        <v>0</v>
      </c>
      <c r="P1217">
        <v>2.6</v>
      </c>
      <c r="Q1217">
        <v>5.2</v>
      </c>
      <c r="R1217" t="s">
        <v>2504</v>
      </c>
      <c r="S1217">
        <v>0</v>
      </c>
      <c r="T1217" t="s">
        <v>52</v>
      </c>
      <c r="U1217">
        <v>0</v>
      </c>
      <c r="V1217">
        <v>0</v>
      </c>
      <c r="W1217">
        <v>400013</v>
      </c>
      <c r="AE1217">
        <v>0</v>
      </c>
      <c r="AH1217">
        <v>6.11</v>
      </c>
      <c r="AP1217" t="s">
        <v>232</v>
      </c>
    </row>
    <row r="1218" spans="1:42">
      <c r="A1218" s="1" t="s">
        <v>46</v>
      </c>
      <c r="B1218" s="1" t="s">
        <v>2577</v>
      </c>
      <c r="C1218" s="1" t="s">
        <v>2577</v>
      </c>
      <c r="E1218" s="4" t="s">
        <v>2578</v>
      </c>
      <c r="G1218" s="16"/>
      <c r="I1218">
        <v>2.92</v>
      </c>
      <c r="M1218">
        <v>1</v>
      </c>
      <c r="N1218">
        <v>-39</v>
      </c>
      <c r="O1218">
        <v>0</v>
      </c>
      <c r="P1218">
        <v>0.51</v>
      </c>
      <c r="Q1218">
        <v>-19.89</v>
      </c>
      <c r="R1218" t="s">
        <v>2504</v>
      </c>
      <c r="S1218">
        <v>0</v>
      </c>
      <c r="T1218" t="s">
        <v>52</v>
      </c>
      <c r="U1218">
        <v>0</v>
      </c>
      <c r="V1218">
        <v>0</v>
      </c>
      <c r="W1218">
        <v>400125</v>
      </c>
      <c r="AE1218">
        <v>0</v>
      </c>
      <c r="AH1218">
        <v>2.92</v>
      </c>
      <c r="AP1218" t="s">
        <v>184</v>
      </c>
    </row>
    <row r="1219" spans="1:42">
      <c r="A1219" s="1" t="s">
        <v>46</v>
      </c>
      <c r="B1219" s="1" t="s">
        <v>2579</v>
      </c>
      <c r="C1219" s="1" t="s">
        <v>2579</v>
      </c>
      <c r="E1219" s="4" t="s">
        <v>2580</v>
      </c>
      <c r="G1219" s="16"/>
      <c r="I1219">
        <v>6.6</v>
      </c>
      <c r="M1219">
        <v>1</v>
      </c>
      <c r="N1219">
        <v>-14</v>
      </c>
      <c r="O1219">
        <v>0</v>
      </c>
      <c r="P1219">
        <v>2.84</v>
      </c>
      <c r="Q1219">
        <v>-39.729999999999997</v>
      </c>
      <c r="R1219" t="s">
        <v>2504</v>
      </c>
      <c r="S1219">
        <v>0</v>
      </c>
      <c r="T1219" t="s">
        <v>52</v>
      </c>
      <c r="U1219">
        <v>0</v>
      </c>
      <c r="V1219">
        <v>0</v>
      </c>
      <c r="W1219">
        <v>400013</v>
      </c>
      <c r="AE1219">
        <v>0</v>
      </c>
      <c r="AH1219">
        <v>6.6</v>
      </c>
      <c r="AP1219" t="s">
        <v>232</v>
      </c>
    </row>
    <row r="1220" spans="1:42">
      <c r="A1220" s="1" t="s">
        <v>46</v>
      </c>
      <c r="B1220" s="1" t="s">
        <v>2581</v>
      </c>
      <c r="C1220" s="1" t="s">
        <v>2581</v>
      </c>
      <c r="E1220" s="4" t="s">
        <v>2582</v>
      </c>
      <c r="G1220" s="16"/>
      <c r="M1220">
        <v>1</v>
      </c>
      <c r="N1220">
        <v>10</v>
      </c>
      <c r="O1220">
        <v>0</v>
      </c>
      <c r="P1220">
        <v>0.79</v>
      </c>
      <c r="Q1220">
        <v>7.93</v>
      </c>
      <c r="R1220">
        <v>0</v>
      </c>
      <c r="S1220">
        <v>0</v>
      </c>
      <c r="T1220" t="s">
        <v>52</v>
      </c>
      <c r="U1220">
        <v>0</v>
      </c>
      <c r="V1220">
        <v>0</v>
      </c>
      <c r="W1220">
        <v>400125</v>
      </c>
      <c r="AE1220">
        <v>0</v>
      </c>
      <c r="AP1220" t="s">
        <v>184</v>
      </c>
    </row>
    <row r="1221" spans="1:42">
      <c r="A1221" s="1" t="s">
        <v>46</v>
      </c>
      <c r="B1221" s="1" t="s">
        <v>2583</v>
      </c>
      <c r="C1221" s="1" t="s">
        <v>2583</v>
      </c>
      <c r="E1221" s="4" t="s">
        <v>2584</v>
      </c>
      <c r="G1221" s="16"/>
      <c r="I1221">
        <v>2.7</v>
      </c>
      <c r="M1221">
        <v>1</v>
      </c>
      <c r="N1221">
        <v>-9</v>
      </c>
      <c r="O1221">
        <v>0</v>
      </c>
      <c r="P1221">
        <v>0.57999999999999996</v>
      </c>
      <c r="Q1221">
        <v>-5.24</v>
      </c>
      <c r="R1221" t="s">
        <v>2504</v>
      </c>
      <c r="S1221">
        <v>0</v>
      </c>
      <c r="T1221" t="s">
        <v>52</v>
      </c>
      <c r="U1221">
        <v>0</v>
      </c>
      <c r="V1221">
        <v>0</v>
      </c>
      <c r="W1221">
        <v>400125</v>
      </c>
      <c r="AE1221">
        <v>0</v>
      </c>
      <c r="AH1221">
        <v>2.7</v>
      </c>
      <c r="AP1221" t="s">
        <v>184</v>
      </c>
    </row>
    <row r="1222" spans="1:42">
      <c r="A1222" s="1" t="s">
        <v>46</v>
      </c>
      <c r="B1222" s="1" t="s">
        <v>2585</v>
      </c>
      <c r="C1222" s="1" t="s">
        <v>2585</v>
      </c>
      <c r="E1222" s="4" t="s">
        <v>2586</v>
      </c>
      <c r="G1222" s="16"/>
      <c r="I1222">
        <v>4.4000000000000004</v>
      </c>
      <c r="M1222">
        <v>1</v>
      </c>
      <c r="N1222">
        <v>9</v>
      </c>
      <c r="O1222">
        <v>0</v>
      </c>
      <c r="P1222">
        <v>0.97</v>
      </c>
      <c r="Q1222">
        <v>8.73</v>
      </c>
      <c r="R1222" t="s">
        <v>2504</v>
      </c>
      <c r="S1222">
        <v>0</v>
      </c>
      <c r="T1222" t="s">
        <v>52</v>
      </c>
      <c r="U1222">
        <v>0</v>
      </c>
      <c r="V1222">
        <v>0</v>
      </c>
      <c r="W1222">
        <v>400094</v>
      </c>
      <c r="AE1222">
        <v>0</v>
      </c>
      <c r="AH1222">
        <v>4.4000000000000004</v>
      </c>
      <c r="AP1222" t="s">
        <v>1528</v>
      </c>
    </row>
    <row r="1223" spans="1:42">
      <c r="A1223" s="1" t="s">
        <v>46</v>
      </c>
      <c r="B1223" s="1" t="s">
        <v>2587</v>
      </c>
      <c r="C1223" s="1" t="s">
        <v>2587</v>
      </c>
      <c r="E1223" s="4" t="s">
        <v>2588</v>
      </c>
      <c r="G1223" s="16"/>
      <c r="I1223">
        <v>2.64</v>
      </c>
      <c r="M1223">
        <v>1</v>
      </c>
      <c r="N1223">
        <v>-22</v>
      </c>
      <c r="O1223">
        <v>0</v>
      </c>
      <c r="P1223">
        <v>0.51</v>
      </c>
      <c r="Q1223">
        <v>-11.28</v>
      </c>
      <c r="R1223" t="s">
        <v>2504</v>
      </c>
      <c r="S1223">
        <v>0</v>
      </c>
      <c r="T1223" t="s">
        <v>52</v>
      </c>
      <c r="U1223">
        <v>0</v>
      </c>
      <c r="V1223">
        <v>0</v>
      </c>
      <c r="W1223">
        <v>400125</v>
      </c>
      <c r="AE1223">
        <v>0</v>
      </c>
      <c r="AH1223">
        <v>2.64</v>
      </c>
      <c r="AP1223" t="s">
        <v>184</v>
      </c>
    </row>
    <row r="1224" spans="1:42">
      <c r="A1224" s="1" t="s">
        <v>46</v>
      </c>
      <c r="B1224" s="1" t="s">
        <v>2589</v>
      </c>
      <c r="C1224" s="1" t="s">
        <v>2589</v>
      </c>
      <c r="E1224" s="4" t="s">
        <v>2590</v>
      </c>
      <c r="G1224" s="16"/>
      <c r="I1224">
        <v>1.54</v>
      </c>
      <c r="M1224">
        <v>1</v>
      </c>
      <c r="N1224">
        <v>-71</v>
      </c>
      <c r="O1224">
        <v>0</v>
      </c>
      <c r="P1224">
        <v>0.34</v>
      </c>
      <c r="Q1224">
        <v>-24.43</v>
      </c>
      <c r="R1224" t="s">
        <v>2504</v>
      </c>
      <c r="S1224">
        <v>0</v>
      </c>
      <c r="T1224" t="s">
        <v>52</v>
      </c>
      <c r="U1224">
        <v>0</v>
      </c>
      <c r="V1224">
        <v>0</v>
      </c>
      <c r="W1224">
        <v>400125</v>
      </c>
      <c r="AE1224">
        <v>0</v>
      </c>
      <c r="AH1224">
        <v>1.54</v>
      </c>
      <c r="AP1224" t="s">
        <v>184</v>
      </c>
    </row>
    <row r="1225" spans="1:42">
      <c r="A1225" s="1" t="s">
        <v>46</v>
      </c>
      <c r="B1225" s="1" t="s">
        <v>2591</v>
      </c>
      <c r="C1225" s="1" t="s">
        <v>2591</v>
      </c>
      <c r="E1225" s="4" t="s">
        <v>2592</v>
      </c>
      <c r="G1225" s="16"/>
      <c r="I1225">
        <v>1.98</v>
      </c>
      <c r="M1225">
        <v>1</v>
      </c>
      <c r="N1225">
        <v>61</v>
      </c>
      <c r="O1225">
        <v>0</v>
      </c>
      <c r="P1225">
        <v>0.43</v>
      </c>
      <c r="Q1225">
        <v>26.23</v>
      </c>
      <c r="R1225" t="s">
        <v>2504</v>
      </c>
      <c r="S1225">
        <v>0</v>
      </c>
      <c r="T1225" t="s">
        <v>52</v>
      </c>
      <c r="U1225">
        <v>0</v>
      </c>
      <c r="V1225">
        <v>0</v>
      </c>
      <c r="W1225">
        <v>400125</v>
      </c>
      <c r="AE1225">
        <v>0</v>
      </c>
      <c r="AH1225">
        <v>1.98</v>
      </c>
      <c r="AP1225" t="s">
        <v>184</v>
      </c>
    </row>
    <row r="1226" spans="1:42">
      <c r="A1226" s="1" t="s">
        <v>46</v>
      </c>
      <c r="B1226" s="1" t="s">
        <v>2593</v>
      </c>
      <c r="C1226" s="1" t="s">
        <v>2593</v>
      </c>
      <c r="E1226" s="4" t="s">
        <v>2594</v>
      </c>
      <c r="G1226" s="16"/>
      <c r="I1226">
        <v>9.68</v>
      </c>
      <c r="M1226">
        <v>1</v>
      </c>
      <c r="N1226">
        <v>-30</v>
      </c>
      <c r="O1226">
        <v>0</v>
      </c>
      <c r="P1226">
        <v>2.16</v>
      </c>
      <c r="Q1226">
        <v>-64.95</v>
      </c>
      <c r="R1226" t="s">
        <v>2504</v>
      </c>
      <c r="S1226">
        <v>0</v>
      </c>
      <c r="T1226" t="s">
        <v>52</v>
      </c>
      <c r="U1226">
        <v>0</v>
      </c>
      <c r="V1226">
        <v>0</v>
      </c>
      <c r="W1226">
        <v>400125</v>
      </c>
      <c r="AE1226">
        <v>0</v>
      </c>
      <c r="AH1226">
        <v>9.68</v>
      </c>
      <c r="AP1226" t="s">
        <v>184</v>
      </c>
    </row>
    <row r="1227" spans="1:42">
      <c r="A1227" s="1" t="s">
        <v>46</v>
      </c>
      <c r="B1227" s="1" t="s">
        <v>2595</v>
      </c>
      <c r="C1227" s="1" t="s">
        <v>2595</v>
      </c>
      <c r="E1227" s="4" t="s">
        <v>2596</v>
      </c>
      <c r="G1227" s="16">
        <v>40</v>
      </c>
      <c r="I1227">
        <v>1.95</v>
      </c>
      <c r="M1227">
        <v>1</v>
      </c>
      <c r="N1227">
        <v>-121</v>
      </c>
      <c r="O1227">
        <v>0</v>
      </c>
      <c r="P1227">
        <v>0.35</v>
      </c>
      <c r="Q1227">
        <v>-42.86</v>
      </c>
      <c r="R1227" t="s">
        <v>2504</v>
      </c>
      <c r="S1227">
        <v>0</v>
      </c>
      <c r="T1227" t="s">
        <v>52</v>
      </c>
      <c r="U1227">
        <v>0</v>
      </c>
      <c r="V1227">
        <v>0</v>
      </c>
      <c r="W1227">
        <v>400125</v>
      </c>
      <c r="AE1227">
        <v>0</v>
      </c>
      <c r="AH1227">
        <v>1.95</v>
      </c>
      <c r="AP1227" t="s">
        <v>184</v>
      </c>
    </row>
    <row r="1228" spans="1:42">
      <c r="A1228" s="1" t="s">
        <v>46</v>
      </c>
      <c r="B1228" s="1" t="s">
        <v>2597</v>
      </c>
      <c r="C1228" s="1" t="s">
        <v>2597</v>
      </c>
      <c r="E1228" s="4" t="s">
        <v>2598</v>
      </c>
      <c r="G1228" s="16">
        <v>45</v>
      </c>
      <c r="I1228">
        <v>2.25</v>
      </c>
      <c r="M1228">
        <v>1</v>
      </c>
      <c r="N1228">
        <v>77</v>
      </c>
      <c r="O1228">
        <v>0</v>
      </c>
      <c r="P1228">
        <v>0.51</v>
      </c>
      <c r="Q1228">
        <v>39.46</v>
      </c>
      <c r="R1228" t="s">
        <v>2504</v>
      </c>
      <c r="S1228">
        <v>0</v>
      </c>
      <c r="T1228" t="s">
        <v>52</v>
      </c>
      <c r="U1228">
        <v>0</v>
      </c>
      <c r="V1228">
        <v>0</v>
      </c>
      <c r="W1228">
        <v>400125</v>
      </c>
      <c r="AE1228">
        <v>0</v>
      </c>
      <c r="AH1228">
        <v>2.25</v>
      </c>
      <c r="AP1228" t="s">
        <v>184</v>
      </c>
    </row>
    <row r="1229" spans="1:42">
      <c r="A1229" s="1" t="s">
        <v>46</v>
      </c>
      <c r="B1229" s="1" t="s">
        <v>2599</v>
      </c>
      <c r="C1229" s="1" t="s">
        <v>2599</v>
      </c>
      <c r="E1229" s="4" t="s">
        <v>2600</v>
      </c>
      <c r="G1229" s="16">
        <v>65</v>
      </c>
      <c r="I1229">
        <v>7.25</v>
      </c>
      <c r="M1229">
        <v>1</v>
      </c>
      <c r="N1229">
        <v>11</v>
      </c>
      <c r="O1229">
        <v>0</v>
      </c>
      <c r="P1229">
        <v>3.08</v>
      </c>
      <c r="Q1229">
        <v>33.869999999999997</v>
      </c>
      <c r="R1229" t="s">
        <v>2504</v>
      </c>
      <c r="S1229">
        <v>0</v>
      </c>
      <c r="T1229" t="s">
        <v>52</v>
      </c>
      <c r="U1229">
        <v>0</v>
      </c>
      <c r="V1229">
        <v>0</v>
      </c>
      <c r="W1229">
        <v>400013</v>
      </c>
      <c r="AE1229">
        <v>0</v>
      </c>
      <c r="AH1229">
        <v>7.25</v>
      </c>
      <c r="AP1229" t="s">
        <v>232</v>
      </c>
    </row>
    <row r="1230" spans="1:42">
      <c r="A1230" s="1" t="s">
        <v>46</v>
      </c>
      <c r="B1230" s="1" t="s">
        <v>2601</v>
      </c>
      <c r="C1230" s="1" t="s">
        <v>2601</v>
      </c>
      <c r="E1230" s="4" t="s">
        <v>2602</v>
      </c>
      <c r="G1230" s="16"/>
      <c r="I1230">
        <v>6.05</v>
      </c>
      <c r="M1230">
        <v>1</v>
      </c>
      <c r="N1230">
        <v>14</v>
      </c>
      <c r="O1230">
        <v>0</v>
      </c>
      <c r="P1230">
        <v>2.15</v>
      </c>
      <c r="Q1230">
        <v>30.12</v>
      </c>
      <c r="R1230" t="s">
        <v>2504</v>
      </c>
      <c r="S1230">
        <v>0</v>
      </c>
      <c r="T1230" t="s">
        <v>52</v>
      </c>
      <c r="U1230">
        <v>0</v>
      </c>
      <c r="V1230">
        <v>0</v>
      </c>
      <c r="W1230">
        <v>400125</v>
      </c>
      <c r="AE1230">
        <v>0</v>
      </c>
      <c r="AH1230">
        <v>6.05</v>
      </c>
      <c r="AP1230" t="s">
        <v>184</v>
      </c>
    </row>
    <row r="1231" spans="1:42">
      <c r="A1231" s="1" t="s">
        <v>46</v>
      </c>
      <c r="B1231" s="1" t="s">
        <v>2603</v>
      </c>
      <c r="C1231" s="1" t="s">
        <v>2603</v>
      </c>
      <c r="E1231" s="4" t="s">
        <v>2604</v>
      </c>
      <c r="G1231" s="16">
        <v>65</v>
      </c>
      <c r="I1231">
        <v>6.27</v>
      </c>
      <c r="M1231">
        <v>1</v>
      </c>
      <c r="N1231">
        <v>-58</v>
      </c>
      <c r="O1231">
        <v>0</v>
      </c>
      <c r="P1231">
        <v>3.49</v>
      </c>
      <c r="Q1231">
        <v>-202.33</v>
      </c>
      <c r="R1231" t="s">
        <v>2504</v>
      </c>
      <c r="S1231">
        <v>0</v>
      </c>
      <c r="T1231" t="s">
        <v>52</v>
      </c>
      <c r="U1231">
        <v>0</v>
      </c>
      <c r="V1231">
        <v>0</v>
      </c>
      <c r="W1231">
        <v>400013</v>
      </c>
      <c r="AE1231">
        <v>0</v>
      </c>
      <c r="AH1231">
        <v>6.27</v>
      </c>
      <c r="AP1231" t="s">
        <v>232</v>
      </c>
    </row>
    <row r="1232" spans="1:42">
      <c r="A1232" s="1" t="s">
        <v>46</v>
      </c>
      <c r="B1232" s="1" t="s">
        <v>2605</v>
      </c>
      <c r="C1232" s="1" t="s">
        <v>2605</v>
      </c>
      <c r="E1232" s="4" t="s">
        <v>2606</v>
      </c>
      <c r="G1232" s="16">
        <v>95</v>
      </c>
      <c r="I1232">
        <v>3.91</v>
      </c>
      <c r="M1232">
        <v>1</v>
      </c>
      <c r="N1232">
        <v>-79</v>
      </c>
      <c r="O1232">
        <v>0</v>
      </c>
      <c r="P1232">
        <v>0.88</v>
      </c>
      <c r="Q1232">
        <v>-69.2</v>
      </c>
      <c r="R1232" t="s">
        <v>2504</v>
      </c>
      <c r="S1232">
        <v>0</v>
      </c>
      <c r="T1232" t="s">
        <v>52</v>
      </c>
      <c r="U1232">
        <v>0</v>
      </c>
      <c r="V1232">
        <v>0</v>
      </c>
      <c r="W1232">
        <v>400128</v>
      </c>
      <c r="AE1232">
        <v>0</v>
      </c>
      <c r="AH1232">
        <v>3.91</v>
      </c>
      <c r="AP1232" t="s">
        <v>1180</v>
      </c>
    </row>
    <row r="1233" spans="1:42">
      <c r="A1233" s="1" t="s">
        <v>46</v>
      </c>
      <c r="B1233" s="1" t="s">
        <v>2607</v>
      </c>
      <c r="C1233" s="1" t="s">
        <v>2607</v>
      </c>
      <c r="E1233" s="4" t="s">
        <v>2608</v>
      </c>
      <c r="G1233" s="16"/>
      <c r="I1233">
        <v>2.15</v>
      </c>
      <c r="M1233">
        <v>1</v>
      </c>
      <c r="N1233">
        <v>-2</v>
      </c>
      <c r="O1233">
        <v>0</v>
      </c>
      <c r="R1233" t="s">
        <v>2504</v>
      </c>
      <c r="S1233">
        <v>0</v>
      </c>
      <c r="T1233" t="s">
        <v>52</v>
      </c>
      <c r="U1233">
        <v>0</v>
      </c>
      <c r="V1233">
        <v>0</v>
      </c>
      <c r="AE1233">
        <v>0</v>
      </c>
      <c r="AH1233">
        <v>2.15</v>
      </c>
    </row>
    <row r="1234" spans="1:42">
      <c r="A1234" s="1" t="s">
        <v>46</v>
      </c>
      <c r="B1234" s="1" t="s">
        <v>2609</v>
      </c>
      <c r="C1234" s="1" t="s">
        <v>2609</v>
      </c>
      <c r="E1234" s="4" t="s">
        <v>2610</v>
      </c>
      <c r="G1234" s="16">
        <v>100</v>
      </c>
      <c r="I1234">
        <v>105.4</v>
      </c>
      <c r="M1234">
        <v>1</v>
      </c>
      <c r="N1234">
        <v>-1</v>
      </c>
      <c r="O1234">
        <v>0</v>
      </c>
      <c r="R1234" t="s">
        <v>2504</v>
      </c>
      <c r="S1234">
        <v>0</v>
      </c>
      <c r="T1234" t="s">
        <v>52</v>
      </c>
      <c r="U1234">
        <v>0</v>
      </c>
      <c r="V1234">
        <v>0</v>
      </c>
      <c r="AE1234">
        <v>0</v>
      </c>
      <c r="AH1234">
        <v>105.4</v>
      </c>
    </row>
    <row r="1235" spans="1:42">
      <c r="A1235" s="1" t="s">
        <v>46</v>
      </c>
      <c r="B1235" s="1" t="s">
        <v>2611</v>
      </c>
      <c r="C1235" s="1" t="s">
        <v>2611</v>
      </c>
      <c r="E1235" s="4" t="s">
        <v>2612</v>
      </c>
      <c r="G1235" s="16">
        <v>120</v>
      </c>
      <c r="I1235">
        <v>17.440000000000001</v>
      </c>
      <c r="M1235">
        <v>1</v>
      </c>
      <c r="N1235">
        <v>-3</v>
      </c>
      <c r="O1235">
        <v>0</v>
      </c>
      <c r="P1235">
        <v>5.81</v>
      </c>
      <c r="Q1235">
        <v>-17.420000000000002</v>
      </c>
      <c r="R1235" t="s">
        <v>2504</v>
      </c>
      <c r="S1235">
        <v>0</v>
      </c>
      <c r="T1235" t="s">
        <v>52</v>
      </c>
      <c r="U1235">
        <v>0</v>
      </c>
      <c r="V1235">
        <v>0</v>
      </c>
      <c r="W1235">
        <v>400094</v>
      </c>
      <c r="AE1235">
        <v>0</v>
      </c>
      <c r="AH1235">
        <v>17.440000000000001</v>
      </c>
      <c r="AP1235" t="s">
        <v>1528</v>
      </c>
    </row>
    <row r="1236" spans="1:42">
      <c r="A1236" s="1" t="s">
        <v>46</v>
      </c>
      <c r="B1236" s="1" t="s">
        <v>2613</v>
      </c>
      <c r="C1236" s="1" t="s">
        <v>2613</v>
      </c>
      <c r="E1236" s="4" t="s">
        <v>2614</v>
      </c>
      <c r="G1236" s="16"/>
      <c r="I1236">
        <v>24.97</v>
      </c>
      <c r="M1236">
        <v>1</v>
      </c>
      <c r="N1236">
        <v>-4</v>
      </c>
      <c r="O1236">
        <v>0</v>
      </c>
      <c r="P1236">
        <v>10.72</v>
      </c>
      <c r="Q1236">
        <v>-42.9</v>
      </c>
      <c r="R1236" t="s">
        <v>2504</v>
      </c>
      <c r="S1236">
        <v>0</v>
      </c>
      <c r="T1236" t="s">
        <v>52</v>
      </c>
      <c r="U1236">
        <v>0</v>
      </c>
      <c r="V1236">
        <v>0</v>
      </c>
      <c r="W1236">
        <v>400013</v>
      </c>
      <c r="AE1236">
        <v>0</v>
      </c>
      <c r="AH1236">
        <v>24.97</v>
      </c>
      <c r="AP1236" t="s">
        <v>232</v>
      </c>
    </row>
    <row r="1237" spans="1:42">
      <c r="A1237" s="1" t="s">
        <v>46</v>
      </c>
      <c r="B1237" s="1" t="s">
        <v>2615</v>
      </c>
      <c r="C1237" s="1" t="s">
        <v>2615</v>
      </c>
      <c r="E1237" s="4" t="s">
        <v>2616</v>
      </c>
      <c r="G1237" s="16"/>
      <c r="I1237">
        <v>9.3000000000000007</v>
      </c>
      <c r="M1237">
        <v>1</v>
      </c>
      <c r="N1237">
        <v>2</v>
      </c>
      <c r="O1237">
        <v>0</v>
      </c>
      <c r="P1237">
        <v>5.13</v>
      </c>
      <c r="Q1237">
        <v>10.27</v>
      </c>
      <c r="R1237" t="s">
        <v>2504</v>
      </c>
      <c r="S1237">
        <v>0</v>
      </c>
      <c r="T1237" t="s">
        <v>52</v>
      </c>
      <c r="U1237">
        <v>0</v>
      </c>
      <c r="V1237">
        <v>0</v>
      </c>
      <c r="W1237">
        <v>400013</v>
      </c>
      <c r="AE1237">
        <v>0</v>
      </c>
      <c r="AH1237">
        <v>9.3000000000000007</v>
      </c>
      <c r="AP1237" t="s">
        <v>232</v>
      </c>
    </row>
    <row r="1238" spans="1:42">
      <c r="A1238" s="1" t="s">
        <v>46</v>
      </c>
      <c r="B1238" s="1" t="s">
        <v>2617</v>
      </c>
      <c r="C1238" s="1" t="s">
        <v>2617</v>
      </c>
      <c r="E1238" s="4" t="s">
        <v>2618</v>
      </c>
      <c r="G1238" s="16"/>
      <c r="I1238">
        <v>12.71</v>
      </c>
      <c r="M1238">
        <v>1</v>
      </c>
      <c r="N1238">
        <v>44</v>
      </c>
      <c r="O1238">
        <v>0</v>
      </c>
      <c r="P1238">
        <v>7.04</v>
      </c>
      <c r="Q1238">
        <v>309.86</v>
      </c>
      <c r="R1238" t="s">
        <v>2504</v>
      </c>
      <c r="S1238">
        <v>0</v>
      </c>
      <c r="T1238" t="s">
        <v>52</v>
      </c>
      <c r="U1238">
        <v>0</v>
      </c>
      <c r="V1238">
        <v>0</v>
      </c>
      <c r="W1238">
        <v>400013</v>
      </c>
      <c r="AE1238">
        <v>0</v>
      </c>
      <c r="AH1238">
        <v>12.71</v>
      </c>
      <c r="AP1238" t="s">
        <v>232</v>
      </c>
    </row>
    <row r="1239" spans="1:42">
      <c r="A1239" s="1" t="s">
        <v>46</v>
      </c>
      <c r="B1239" s="1" t="s">
        <v>2619</v>
      </c>
      <c r="C1239" s="1" t="s">
        <v>2619</v>
      </c>
      <c r="E1239" s="4" t="s">
        <v>2620</v>
      </c>
      <c r="G1239" s="16"/>
      <c r="I1239">
        <v>41.91</v>
      </c>
      <c r="M1239">
        <v>1</v>
      </c>
      <c r="N1239">
        <v>32</v>
      </c>
      <c r="O1239">
        <v>0</v>
      </c>
      <c r="P1239">
        <v>16.989999999999998</v>
      </c>
      <c r="Q1239">
        <v>543.52</v>
      </c>
      <c r="R1239" t="s">
        <v>2504</v>
      </c>
      <c r="S1239">
        <v>0</v>
      </c>
      <c r="T1239" t="s">
        <v>52</v>
      </c>
      <c r="U1239">
        <v>0</v>
      </c>
      <c r="V1239">
        <v>0</v>
      </c>
      <c r="W1239">
        <v>400013</v>
      </c>
      <c r="AE1239">
        <v>0</v>
      </c>
      <c r="AH1239">
        <v>41.91</v>
      </c>
      <c r="AP1239" t="s">
        <v>232</v>
      </c>
    </row>
    <row r="1240" spans="1:42">
      <c r="A1240" s="1" t="s">
        <v>46</v>
      </c>
      <c r="B1240" s="1" t="s">
        <v>2621</v>
      </c>
      <c r="C1240" s="1" t="s">
        <v>2621</v>
      </c>
      <c r="E1240" s="4" t="s">
        <v>2622</v>
      </c>
      <c r="G1240" s="16">
        <v>40</v>
      </c>
      <c r="I1240">
        <v>16.05</v>
      </c>
      <c r="M1240">
        <v>1</v>
      </c>
      <c r="N1240">
        <v>-3</v>
      </c>
      <c r="O1240">
        <v>0</v>
      </c>
      <c r="P1240">
        <v>6.66</v>
      </c>
      <c r="Q1240">
        <v>-19.989999999999998</v>
      </c>
      <c r="R1240" t="s">
        <v>2504</v>
      </c>
      <c r="S1240">
        <v>0</v>
      </c>
      <c r="T1240" t="s">
        <v>52</v>
      </c>
      <c r="U1240">
        <v>0</v>
      </c>
      <c r="V1240">
        <v>0</v>
      </c>
      <c r="W1240">
        <v>400013</v>
      </c>
      <c r="AE1240">
        <v>0</v>
      </c>
      <c r="AH1240">
        <v>16.05</v>
      </c>
      <c r="AP1240" t="s">
        <v>232</v>
      </c>
    </row>
    <row r="1241" spans="1:42">
      <c r="A1241" s="1" t="s">
        <v>46</v>
      </c>
      <c r="B1241" s="1" t="s">
        <v>2623</v>
      </c>
      <c r="C1241" s="1" t="s">
        <v>2623</v>
      </c>
      <c r="E1241" s="4" t="s">
        <v>2624</v>
      </c>
      <c r="G1241" s="16">
        <v>55</v>
      </c>
      <c r="I1241">
        <v>19.5</v>
      </c>
      <c r="M1241">
        <v>1</v>
      </c>
      <c r="N1241">
        <v>2</v>
      </c>
      <c r="O1241">
        <v>0</v>
      </c>
      <c r="P1241">
        <v>8.1</v>
      </c>
      <c r="Q1241">
        <v>16.21</v>
      </c>
      <c r="R1241" t="s">
        <v>2504</v>
      </c>
      <c r="S1241">
        <v>0</v>
      </c>
      <c r="T1241" t="s">
        <v>52</v>
      </c>
      <c r="U1241">
        <v>0</v>
      </c>
      <c r="V1241">
        <v>0</v>
      </c>
      <c r="W1241">
        <v>400013</v>
      </c>
      <c r="AE1241">
        <v>0</v>
      </c>
      <c r="AH1241">
        <v>19.5</v>
      </c>
      <c r="AP1241" t="s">
        <v>232</v>
      </c>
    </row>
    <row r="1242" spans="1:42">
      <c r="A1242" s="1" t="s">
        <v>46</v>
      </c>
      <c r="B1242" s="1" t="s">
        <v>2625</v>
      </c>
      <c r="C1242" s="1" t="s">
        <v>2625</v>
      </c>
      <c r="E1242" s="4" t="s">
        <v>2626</v>
      </c>
      <c r="G1242" s="16"/>
      <c r="I1242">
        <v>37.65</v>
      </c>
      <c r="M1242">
        <v>1</v>
      </c>
      <c r="N1242">
        <v>-2</v>
      </c>
      <c r="O1242">
        <v>0</v>
      </c>
      <c r="P1242">
        <v>8.0399999999999991</v>
      </c>
      <c r="Q1242">
        <v>-16.079999999999998</v>
      </c>
      <c r="R1242" t="s">
        <v>2504</v>
      </c>
      <c r="S1242">
        <v>0</v>
      </c>
      <c r="T1242" t="s">
        <v>52</v>
      </c>
      <c r="U1242">
        <v>0</v>
      </c>
      <c r="V1242">
        <v>0</v>
      </c>
      <c r="W1242">
        <v>400013</v>
      </c>
      <c r="AE1242">
        <v>0</v>
      </c>
      <c r="AH1242">
        <v>37.65</v>
      </c>
      <c r="AP1242" t="s">
        <v>232</v>
      </c>
    </row>
    <row r="1243" spans="1:42">
      <c r="A1243" s="1" t="s">
        <v>46</v>
      </c>
      <c r="B1243" s="1" t="s">
        <v>2627</v>
      </c>
      <c r="C1243" s="1" t="s">
        <v>2627</v>
      </c>
      <c r="E1243" s="4" t="s">
        <v>2628</v>
      </c>
      <c r="G1243" s="16"/>
      <c r="I1243">
        <v>37.9</v>
      </c>
      <c r="M1243">
        <v>1</v>
      </c>
      <c r="N1243">
        <v>1</v>
      </c>
      <c r="O1243">
        <v>0</v>
      </c>
      <c r="P1243">
        <v>19.600000000000001</v>
      </c>
      <c r="Q1243">
        <v>19.600000000000001</v>
      </c>
      <c r="R1243" t="s">
        <v>2504</v>
      </c>
      <c r="S1243">
        <v>0</v>
      </c>
      <c r="T1243" t="s">
        <v>52</v>
      </c>
      <c r="U1243">
        <v>0</v>
      </c>
      <c r="V1243">
        <v>0</v>
      </c>
      <c r="W1243">
        <v>400013</v>
      </c>
      <c r="AE1243">
        <v>0</v>
      </c>
      <c r="AH1243">
        <v>37.9</v>
      </c>
      <c r="AP1243" t="s">
        <v>232</v>
      </c>
    </row>
    <row r="1244" spans="1:42">
      <c r="A1244" s="1" t="s">
        <v>46</v>
      </c>
      <c r="B1244" s="1" t="s">
        <v>2629</v>
      </c>
      <c r="C1244" s="1" t="s">
        <v>2629</v>
      </c>
      <c r="E1244" s="4" t="s">
        <v>2630</v>
      </c>
      <c r="G1244" s="16"/>
      <c r="I1244">
        <v>13.09</v>
      </c>
      <c r="M1244">
        <v>1</v>
      </c>
      <c r="N1244">
        <v>-1</v>
      </c>
      <c r="O1244">
        <v>0</v>
      </c>
      <c r="P1244">
        <v>4.66</v>
      </c>
      <c r="Q1244">
        <v>-4.66</v>
      </c>
      <c r="R1244" t="s">
        <v>2504</v>
      </c>
      <c r="S1244">
        <v>0</v>
      </c>
      <c r="T1244" t="s">
        <v>52</v>
      </c>
      <c r="U1244">
        <v>0</v>
      </c>
      <c r="V1244">
        <v>0</v>
      </c>
      <c r="W1244">
        <v>400094</v>
      </c>
      <c r="AE1244">
        <v>0</v>
      </c>
      <c r="AH1244">
        <v>13.09</v>
      </c>
      <c r="AP1244" t="s">
        <v>1528</v>
      </c>
    </row>
    <row r="1245" spans="1:42">
      <c r="A1245" s="1" t="s">
        <v>46</v>
      </c>
      <c r="B1245" s="1" t="s">
        <v>2631</v>
      </c>
      <c r="C1245" s="1" t="s">
        <v>2631</v>
      </c>
      <c r="E1245" s="4" t="s">
        <v>2632</v>
      </c>
      <c r="G1245" s="16"/>
      <c r="I1245">
        <v>9.08</v>
      </c>
      <c r="M1245">
        <v>1</v>
      </c>
      <c r="N1245">
        <v>9</v>
      </c>
      <c r="O1245">
        <v>0</v>
      </c>
      <c r="P1245">
        <v>4.82</v>
      </c>
      <c r="Q1245">
        <v>43.36</v>
      </c>
      <c r="R1245" t="s">
        <v>2504</v>
      </c>
      <c r="S1245">
        <v>0</v>
      </c>
      <c r="T1245" t="s">
        <v>52</v>
      </c>
      <c r="U1245">
        <v>0</v>
      </c>
      <c r="V1245">
        <v>0</v>
      </c>
      <c r="W1245">
        <v>400013</v>
      </c>
      <c r="X1245" t="s">
        <v>56</v>
      </c>
      <c r="Y1245" t="s">
        <v>57</v>
      </c>
      <c r="AE1245">
        <v>0</v>
      </c>
      <c r="AH1245">
        <v>9.08</v>
      </c>
      <c r="AP1245" t="s">
        <v>232</v>
      </c>
    </row>
    <row r="1246" spans="1:42">
      <c r="A1246" s="1" t="s">
        <v>46</v>
      </c>
      <c r="B1246" s="1" t="s">
        <v>2633</v>
      </c>
      <c r="C1246" s="1" t="s">
        <v>2633</v>
      </c>
      <c r="E1246" s="4" t="s">
        <v>2634</v>
      </c>
      <c r="G1246" s="16"/>
      <c r="I1246">
        <v>15.73</v>
      </c>
      <c r="M1246">
        <v>1</v>
      </c>
      <c r="N1246">
        <v>-1</v>
      </c>
      <c r="O1246">
        <v>0</v>
      </c>
      <c r="R1246" t="s">
        <v>2504</v>
      </c>
      <c r="S1246">
        <v>0</v>
      </c>
      <c r="T1246" t="s">
        <v>52</v>
      </c>
      <c r="U1246">
        <v>0</v>
      </c>
      <c r="V1246">
        <v>0</v>
      </c>
      <c r="AE1246">
        <v>0</v>
      </c>
      <c r="AH1246">
        <v>15.73</v>
      </c>
    </row>
    <row r="1247" spans="1:42">
      <c r="A1247" s="1" t="s">
        <v>46</v>
      </c>
      <c r="B1247" s="1" t="s">
        <v>2635</v>
      </c>
      <c r="C1247" s="1" t="s">
        <v>2635</v>
      </c>
      <c r="E1247" s="4" t="s">
        <v>2636</v>
      </c>
      <c r="G1247" s="16"/>
      <c r="I1247">
        <v>10.07</v>
      </c>
      <c r="M1247">
        <v>1</v>
      </c>
      <c r="N1247">
        <v>-2</v>
      </c>
      <c r="O1247">
        <v>0</v>
      </c>
      <c r="P1247">
        <v>1.98</v>
      </c>
      <c r="Q1247">
        <v>-3.96</v>
      </c>
      <c r="R1247" t="s">
        <v>2504</v>
      </c>
      <c r="S1247">
        <v>0</v>
      </c>
      <c r="T1247" t="s">
        <v>52</v>
      </c>
      <c r="U1247">
        <v>0</v>
      </c>
      <c r="V1247">
        <v>0</v>
      </c>
      <c r="W1247">
        <v>400128</v>
      </c>
      <c r="AE1247">
        <v>0</v>
      </c>
      <c r="AH1247">
        <v>10.07</v>
      </c>
      <c r="AP1247" t="s">
        <v>1180</v>
      </c>
    </row>
    <row r="1248" spans="1:42">
      <c r="A1248" s="1" t="s">
        <v>46</v>
      </c>
      <c r="B1248" s="1" t="s">
        <v>2637</v>
      </c>
      <c r="C1248" s="1" t="s">
        <v>2637</v>
      </c>
      <c r="E1248" s="4" t="s">
        <v>2638</v>
      </c>
      <c r="G1248" s="16"/>
      <c r="I1248">
        <v>10.62</v>
      </c>
      <c r="M1248">
        <v>1</v>
      </c>
      <c r="N1248">
        <v>-8</v>
      </c>
      <c r="O1248">
        <v>0</v>
      </c>
      <c r="P1248">
        <v>4.45</v>
      </c>
      <c r="Q1248">
        <v>-35.6</v>
      </c>
      <c r="R1248" t="s">
        <v>2504</v>
      </c>
      <c r="S1248">
        <v>0</v>
      </c>
      <c r="T1248" t="s">
        <v>52</v>
      </c>
      <c r="U1248">
        <v>0</v>
      </c>
      <c r="V1248">
        <v>0</v>
      </c>
      <c r="W1248">
        <v>400013</v>
      </c>
      <c r="AE1248">
        <v>0</v>
      </c>
      <c r="AH1248">
        <v>10.62</v>
      </c>
      <c r="AP1248" t="s">
        <v>232</v>
      </c>
    </row>
    <row r="1249" spans="1:42">
      <c r="A1249" s="1" t="s">
        <v>46</v>
      </c>
      <c r="B1249" s="1" t="s">
        <v>2639</v>
      </c>
      <c r="C1249" s="1" t="s">
        <v>2639</v>
      </c>
      <c r="E1249" s="4" t="s">
        <v>2640</v>
      </c>
      <c r="G1249" s="16"/>
      <c r="I1249">
        <v>4.51</v>
      </c>
      <c r="M1249">
        <v>1</v>
      </c>
      <c r="N1249">
        <v>-55</v>
      </c>
      <c r="O1249">
        <v>0</v>
      </c>
      <c r="P1249">
        <v>1</v>
      </c>
      <c r="Q1249">
        <v>-54.95</v>
      </c>
      <c r="R1249" t="s">
        <v>2504</v>
      </c>
      <c r="S1249">
        <v>0</v>
      </c>
      <c r="T1249" t="s">
        <v>52</v>
      </c>
      <c r="U1249">
        <v>0</v>
      </c>
      <c r="V1249">
        <v>0</v>
      </c>
      <c r="W1249">
        <v>400004</v>
      </c>
      <c r="AE1249">
        <v>0</v>
      </c>
      <c r="AH1249">
        <v>4.51</v>
      </c>
      <c r="AP1249" t="s">
        <v>352</v>
      </c>
    </row>
    <row r="1250" spans="1:42">
      <c r="A1250" s="1" t="s">
        <v>46</v>
      </c>
      <c r="B1250" s="1" t="s">
        <v>2641</v>
      </c>
      <c r="C1250" s="1" t="s">
        <v>2641</v>
      </c>
      <c r="E1250" s="4" t="s">
        <v>2642</v>
      </c>
      <c r="G1250" s="16"/>
      <c r="I1250">
        <v>2.09</v>
      </c>
      <c r="M1250">
        <v>1</v>
      </c>
      <c r="N1250">
        <v>-1</v>
      </c>
      <c r="O1250">
        <v>0</v>
      </c>
      <c r="P1250">
        <v>0.95</v>
      </c>
      <c r="Q1250">
        <v>-0.95</v>
      </c>
      <c r="R1250" t="s">
        <v>2504</v>
      </c>
      <c r="S1250">
        <v>0</v>
      </c>
      <c r="T1250" t="s">
        <v>52</v>
      </c>
      <c r="U1250">
        <v>0</v>
      </c>
      <c r="V1250">
        <v>0</v>
      </c>
      <c r="W1250">
        <v>400004</v>
      </c>
      <c r="AE1250">
        <v>0</v>
      </c>
      <c r="AH1250">
        <v>2.09</v>
      </c>
      <c r="AP1250" t="s">
        <v>352</v>
      </c>
    </row>
    <row r="1251" spans="1:42">
      <c r="A1251" s="1" t="s">
        <v>46</v>
      </c>
      <c r="B1251" s="1" t="s">
        <v>2643</v>
      </c>
      <c r="C1251" s="1" t="s">
        <v>2643</v>
      </c>
      <c r="E1251" s="4" t="s">
        <v>2644</v>
      </c>
      <c r="G1251" s="16">
        <v>2</v>
      </c>
      <c r="I1251">
        <v>2.64</v>
      </c>
      <c r="M1251">
        <v>1</v>
      </c>
      <c r="N1251">
        <v>-22</v>
      </c>
      <c r="O1251">
        <v>0</v>
      </c>
      <c r="P1251">
        <v>0.57999999999999996</v>
      </c>
      <c r="Q1251">
        <v>-12.82</v>
      </c>
      <c r="R1251" t="s">
        <v>2504</v>
      </c>
      <c r="S1251">
        <v>0</v>
      </c>
      <c r="T1251" t="s">
        <v>52</v>
      </c>
      <c r="U1251">
        <v>0</v>
      </c>
      <c r="V1251">
        <v>0</v>
      </c>
      <c r="W1251">
        <v>400125</v>
      </c>
      <c r="AE1251">
        <v>0</v>
      </c>
      <c r="AH1251">
        <v>2.64</v>
      </c>
      <c r="AP1251" t="s">
        <v>184</v>
      </c>
    </row>
    <row r="1252" spans="1:42">
      <c r="A1252" s="1" t="s">
        <v>46</v>
      </c>
      <c r="B1252" s="1" t="s">
        <v>2645</v>
      </c>
      <c r="C1252" s="1" t="s">
        <v>2645</v>
      </c>
      <c r="E1252" s="4" t="s">
        <v>2646</v>
      </c>
      <c r="G1252" s="16">
        <v>2</v>
      </c>
      <c r="I1252">
        <v>11</v>
      </c>
      <c r="M1252">
        <v>1</v>
      </c>
      <c r="N1252">
        <v>-38</v>
      </c>
      <c r="O1252">
        <v>0</v>
      </c>
      <c r="P1252">
        <v>2.44</v>
      </c>
      <c r="Q1252">
        <v>-92.82</v>
      </c>
      <c r="R1252" t="s">
        <v>2504</v>
      </c>
      <c r="S1252">
        <v>0</v>
      </c>
      <c r="T1252" t="s">
        <v>52</v>
      </c>
      <c r="U1252">
        <v>0</v>
      </c>
      <c r="V1252">
        <v>0</v>
      </c>
      <c r="W1252">
        <v>400125</v>
      </c>
      <c r="AE1252">
        <v>0</v>
      </c>
      <c r="AH1252">
        <v>11</v>
      </c>
      <c r="AP1252" t="s">
        <v>184</v>
      </c>
    </row>
    <row r="1253" spans="1:42">
      <c r="A1253" s="1" t="s">
        <v>46</v>
      </c>
      <c r="B1253" s="1" t="s">
        <v>2647</v>
      </c>
      <c r="C1253" s="1" t="s">
        <v>2647</v>
      </c>
      <c r="E1253" s="4" t="s">
        <v>2648</v>
      </c>
      <c r="G1253" s="16"/>
      <c r="I1253">
        <v>3.05</v>
      </c>
      <c r="M1253">
        <v>1</v>
      </c>
      <c r="N1253">
        <v>-62</v>
      </c>
      <c r="O1253">
        <v>0</v>
      </c>
      <c r="P1253">
        <v>0.68</v>
      </c>
      <c r="Q1253">
        <v>-41.98</v>
      </c>
      <c r="R1253" t="s">
        <v>2504</v>
      </c>
      <c r="S1253">
        <v>0</v>
      </c>
      <c r="T1253" t="s">
        <v>52</v>
      </c>
      <c r="U1253">
        <v>0</v>
      </c>
      <c r="V1253">
        <v>0</v>
      </c>
      <c r="W1253">
        <v>400013</v>
      </c>
      <c r="AE1253">
        <v>0</v>
      </c>
      <c r="AH1253">
        <v>3.05</v>
      </c>
      <c r="AP1253" t="s">
        <v>232</v>
      </c>
    </row>
    <row r="1254" spans="1:42">
      <c r="A1254" s="1" t="s">
        <v>46</v>
      </c>
      <c r="B1254" s="1" t="s">
        <v>2649</v>
      </c>
      <c r="C1254" s="1" t="s">
        <v>2649</v>
      </c>
      <c r="E1254" s="4" t="s">
        <v>2650</v>
      </c>
      <c r="G1254" s="16">
        <v>1</v>
      </c>
      <c r="I1254">
        <v>3.5</v>
      </c>
      <c r="M1254">
        <v>1</v>
      </c>
      <c r="N1254">
        <v>-37</v>
      </c>
      <c r="O1254">
        <v>0</v>
      </c>
      <c r="P1254">
        <v>0.78</v>
      </c>
      <c r="Q1254">
        <v>-28.75</v>
      </c>
      <c r="R1254" t="s">
        <v>2504</v>
      </c>
      <c r="S1254">
        <v>0</v>
      </c>
      <c r="T1254" t="s">
        <v>52</v>
      </c>
      <c r="U1254">
        <v>0</v>
      </c>
      <c r="V1254">
        <v>0</v>
      </c>
      <c r="W1254">
        <v>400125</v>
      </c>
      <c r="AE1254">
        <v>0</v>
      </c>
      <c r="AH1254">
        <v>3.5</v>
      </c>
      <c r="AP1254" t="s">
        <v>184</v>
      </c>
    </row>
    <row r="1255" spans="1:42">
      <c r="A1255" s="1" t="s">
        <v>46</v>
      </c>
      <c r="B1255" s="1" t="s">
        <v>2651</v>
      </c>
      <c r="C1255" s="1" t="s">
        <v>2651</v>
      </c>
      <c r="E1255" s="4" t="s">
        <v>2652</v>
      </c>
      <c r="G1255" s="16">
        <v>3.5</v>
      </c>
      <c r="I1255">
        <v>9.15</v>
      </c>
      <c r="M1255">
        <v>1</v>
      </c>
      <c r="N1255">
        <v>10</v>
      </c>
      <c r="O1255">
        <v>0</v>
      </c>
      <c r="P1255">
        <v>4.03</v>
      </c>
      <c r="Q1255">
        <v>40.29</v>
      </c>
      <c r="R1255" t="s">
        <v>2504</v>
      </c>
      <c r="S1255">
        <v>0</v>
      </c>
      <c r="T1255" t="s">
        <v>52</v>
      </c>
      <c r="U1255">
        <v>0</v>
      </c>
      <c r="V1255">
        <v>0</v>
      </c>
      <c r="W1255">
        <v>400013</v>
      </c>
      <c r="AE1255">
        <v>0</v>
      </c>
      <c r="AH1255">
        <v>9.15</v>
      </c>
      <c r="AP1255" t="s">
        <v>232</v>
      </c>
    </row>
    <row r="1256" spans="1:42">
      <c r="A1256" s="1" t="s">
        <v>46</v>
      </c>
      <c r="B1256" s="1" t="s">
        <v>2653</v>
      </c>
      <c r="C1256" s="1" t="s">
        <v>2653</v>
      </c>
      <c r="E1256" s="4" t="s">
        <v>2654</v>
      </c>
      <c r="G1256" s="16">
        <v>80</v>
      </c>
      <c r="I1256">
        <v>8.1999999999999993</v>
      </c>
      <c r="M1256">
        <v>1</v>
      </c>
      <c r="N1256">
        <v>-4</v>
      </c>
      <c r="O1256">
        <v>0</v>
      </c>
      <c r="R1256" t="s">
        <v>2504</v>
      </c>
      <c r="S1256">
        <v>0</v>
      </c>
      <c r="T1256" t="s">
        <v>52</v>
      </c>
      <c r="U1256">
        <v>0</v>
      </c>
      <c r="V1256">
        <v>0</v>
      </c>
      <c r="AE1256">
        <v>0</v>
      </c>
      <c r="AH1256">
        <v>8.1999999999999993</v>
      </c>
    </row>
    <row r="1257" spans="1:42">
      <c r="A1257" s="1" t="s">
        <v>46</v>
      </c>
      <c r="B1257" s="1" t="s">
        <v>2655</v>
      </c>
      <c r="C1257" s="1" t="s">
        <v>2655</v>
      </c>
      <c r="E1257" s="4" t="s">
        <v>2656</v>
      </c>
      <c r="G1257" s="16"/>
      <c r="I1257">
        <v>7.76</v>
      </c>
      <c r="M1257">
        <v>1</v>
      </c>
      <c r="N1257">
        <v>-4</v>
      </c>
      <c r="O1257">
        <v>0</v>
      </c>
      <c r="R1257" t="s">
        <v>2504</v>
      </c>
      <c r="S1257">
        <v>0</v>
      </c>
      <c r="T1257" t="s">
        <v>52</v>
      </c>
      <c r="U1257">
        <v>0</v>
      </c>
      <c r="V1257">
        <v>0</v>
      </c>
      <c r="AE1257">
        <v>0</v>
      </c>
      <c r="AH1257">
        <v>7.76</v>
      </c>
    </row>
    <row r="1258" spans="1:42">
      <c r="A1258" s="1" t="s">
        <v>46</v>
      </c>
      <c r="B1258" s="1" t="s">
        <v>2657</v>
      </c>
      <c r="C1258" s="1" t="s">
        <v>2657</v>
      </c>
      <c r="E1258" s="4" t="s">
        <v>2658</v>
      </c>
      <c r="G1258" s="16">
        <v>60</v>
      </c>
      <c r="I1258">
        <v>4.68</v>
      </c>
      <c r="M1258">
        <v>1</v>
      </c>
      <c r="N1258">
        <v>-16</v>
      </c>
      <c r="O1258">
        <v>0</v>
      </c>
      <c r="P1258">
        <v>2.0499999999999998</v>
      </c>
      <c r="Q1258">
        <v>-32.869999999999997</v>
      </c>
      <c r="R1258" t="s">
        <v>2504</v>
      </c>
      <c r="S1258">
        <v>0</v>
      </c>
      <c r="T1258" t="s">
        <v>52</v>
      </c>
      <c r="U1258">
        <v>0</v>
      </c>
      <c r="V1258">
        <v>0</v>
      </c>
      <c r="W1258">
        <v>400094</v>
      </c>
      <c r="AE1258">
        <v>0</v>
      </c>
      <c r="AH1258">
        <v>4.68</v>
      </c>
      <c r="AP1258" t="s">
        <v>1528</v>
      </c>
    </row>
    <row r="1259" spans="1:42">
      <c r="A1259" s="1" t="s">
        <v>46</v>
      </c>
      <c r="B1259" s="1" t="s">
        <v>2659</v>
      </c>
      <c r="C1259" s="1" t="s">
        <v>2659</v>
      </c>
      <c r="E1259" s="4" t="s">
        <v>2660</v>
      </c>
      <c r="G1259" s="16"/>
      <c r="M1259">
        <v>1</v>
      </c>
      <c r="N1259">
        <v>5</v>
      </c>
      <c r="O1259">
        <v>0</v>
      </c>
      <c r="P1259">
        <v>0.61</v>
      </c>
      <c r="Q1259">
        <v>3.03</v>
      </c>
      <c r="R1259">
        <v>0</v>
      </c>
      <c r="S1259">
        <v>0</v>
      </c>
      <c r="T1259" t="s">
        <v>52</v>
      </c>
      <c r="U1259">
        <v>0</v>
      </c>
      <c r="V1259">
        <v>0</v>
      </c>
      <c r="W1259">
        <v>400125</v>
      </c>
      <c r="AE1259">
        <v>0</v>
      </c>
      <c r="AP1259" t="s">
        <v>184</v>
      </c>
    </row>
    <row r="1260" spans="1:42">
      <c r="A1260" s="1" t="s">
        <v>46</v>
      </c>
      <c r="B1260" s="1" t="s">
        <v>2661</v>
      </c>
      <c r="C1260" s="1" t="s">
        <v>2661</v>
      </c>
      <c r="E1260" s="4" t="s">
        <v>2662</v>
      </c>
      <c r="G1260" s="16">
        <v>55</v>
      </c>
      <c r="I1260">
        <v>2.09</v>
      </c>
      <c r="M1260">
        <v>1</v>
      </c>
      <c r="N1260">
        <v>-73</v>
      </c>
      <c r="O1260">
        <v>0</v>
      </c>
      <c r="P1260">
        <v>0.43</v>
      </c>
      <c r="Q1260">
        <v>-31.39</v>
      </c>
      <c r="R1260" t="s">
        <v>2504</v>
      </c>
      <c r="S1260">
        <v>0</v>
      </c>
      <c r="T1260" t="s">
        <v>52</v>
      </c>
      <c r="U1260">
        <v>0</v>
      </c>
      <c r="V1260">
        <v>0</v>
      </c>
      <c r="W1260">
        <v>400125</v>
      </c>
      <c r="AE1260">
        <v>0</v>
      </c>
      <c r="AH1260">
        <v>2.09</v>
      </c>
      <c r="AP1260" t="s">
        <v>184</v>
      </c>
    </row>
    <row r="1261" spans="1:42">
      <c r="A1261" s="1" t="s">
        <v>46</v>
      </c>
      <c r="B1261" s="1" t="s">
        <v>2663</v>
      </c>
      <c r="C1261" s="1" t="s">
        <v>2663</v>
      </c>
      <c r="E1261" s="4" t="s">
        <v>2664</v>
      </c>
      <c r="G1261" s="16"/>
      <c r="I1261">
        <v>3.8</v>
      </c>
      <c r="M1261">
        <v>1</v>
      </c>
      <c r="N1261">
        <v>-7</v>
      </c>
      <c r="O1261">
        <v>0</v>
      </c>
      <c r="P1261">
        <v>1.37</v>
      </c>
      <c r="Q1261">
        <v>-9.56</v>
      </c>
      <c r="R1261" t="s">
        <v>2504</v>
      </c>
      <c r="S1261">
        <v>0</v>
      </c>
      <c r="T1261" t="s">
        <v>52</v>
      </c>
      <c r="U1261">
        <v>0</v>
      </c>
      <c r="V1261">
        <v>0</v>
      </c>
      <c r="W1261">
        <v>400094</v>
      </c>
      <c r="AE1261">
        <v>0</v>
      </c>
      <c r="AH1261">
        <v>3.8</v>
      </c>
      <c r="AP1261" t="s">
        <v>1528</v>
      </c>
    </row>
    <row r="1262" spans="1:42">
      <c r="A1262" s="1" t="s">
        <v>46</v>
      </c>
      <c r="B1262" s="1" t="s">
        <v>2665</v>
      </c>
      <c r="C1262" s="1" t="s">
        <v>2665</v>
      </c>
      <c r="E1262" s="4" t="s">
        <v>2666</v>
      </c>
      <c r="G1262" s="16"/>
      <c r="I1262">
        <v>5.72</v>
      </c>
      <c r="M1262">
        <v>1</v>
      </c>
      <c r="N1262">
        <v>-2</v>
      </c>
      <c r="O1262">
        <v>0</v>
      </c>
      <c r="R1262" t="s">
        <v>2667</v>
      </c>
      <c r="S1262">
        <v>0</v>
      </c>
      <c r="T1262" t="s">
        <v>52</v>
      </c>
      <c r="U1262">
        <v>0</v>
      </c>
      <c r="V1262">
        <v>0</v>
      </c>
      <c r="AE1262">
        <v>0</v>
      </c>
      <c r="AH1262">
        <v>5.72</v>
      </c>
    </row>
    <row r="1263" spans="1:42">
      <c r="A1263" s="1" t="s">
        <v>46</v>
      </c>
      <c r="B1263" s="1" t="s">
        <v>2668</v>
      </c>
      <c r="C1263" s="1" t="s">
        <v>2668</v>
      </c>
      <c r="E1263" s="4" t="s">
        <v>2669</v>
      </c>
      <c r="G1263" s="16"/>
      <c r="I1263">
        <v>21.73</v>
      </c>
      <c r="M1263">
        <v>1</v>
      </c>
      <c r="N1263">
        <v>2</v>
      </c>
      <c r="O1263">
        <v>0</v>
      </c>
      <c r="R1263" t="s">
        <v>2667</v>
      </c>
      <c r="S1263">
        <v>0</v>
      </c>
      <c r="T1263" t="s">
        <v>52</v>
      </c>
      <c r="U1263">
        <v>0</v>
      </c>
      <c r="V1263">
        <v>0</v>
      </c>
      <c r="AE1263">
        <v>0</v>
      </c>
      <c r="AH1263">
        <v>21.73</v>
      </c>
    </row>
    <row r="1264" spans="1:42">
      <c r="A1264" s="1" t="s">
        <v>46</v>
      </c>
      <c r="B1264" s="1" t="s">
        <v>2670</v>
      </c>
      <c r="C1264" s="1" t="s">
        <v>2670</v>
      </c>
      <c r="E1264" s="4" t="s">
        <v>2671</v>
      </c>
      <c r="G1264" s="16">
        <v>10</v>
      </c>
      <c r="I1264">
        <v>9.24</v>
      </c>
      <c r="M1264">
        <v>1</v>
      </c>
      <c r="N1264">
        <v>-4</v>
      </c>
      <c r="O1264">
        <v>0</v>
      </c>
      <c r="P1264">
        <v>3.21</v>
      </c>
      <c r="Q1264">
        <v>-12.84</v>
      </c>
      <c r="R1264" t="s">
        <v>2667</v>
      </c>
      <c r="S1264">
        <v>0</v>
      </c>
      <c r="T1264" t="s">
        <v>52</v>
      </c>
      <c r="U1264">
        <v>0</v>
      </c>
      <c r="V1264">
        <v>0</v>
      </c>
      <c r="W1264">
        <v>400004</v>
      </c>
      <c r="AE1264">
        <v>0</v>
      </c>
      <c r="AH1264">
        <v>9.24</v>
      </c>
      <c r="AP1264" t="s">
        <v>352</v>
      </c>
    </row>
    <row r="1265" spans="1:42">
      <c r="A1265" s="1" t="s">
        <v>46</v>
      </c>
      <c r="B1265" s="1" t="s">
        <v>2672</v>
      </c>
      <c r="C1265" s="1" t="s">
        <v>2672</v>
      </c>
      <c r="E1265" s="4" t="s">
        <v>2673</v>
      </c>
      <c r="G1265" s="16"/>
      <c r="I1265">
        <v>4.84</v>
      </c>
      <c r="M1265">
        <v>1</v>
      </c>
      <c r="N1265">
        <v>-3</v>
      </c>
      <c r="O1265">
        <v>0</v>
      </c>
      <c r="P1265">
        <v>1.76</v>
      </c>
      <c r="Q1265">
        <v>-5.29</v>
      </c>
      <c r="R1265" t="s">
        <v>2667</v>
      </c>
      <c r="S1265">
        <v>0</v>
      </c>
      <c r="T1265" t="s">
        <v>52</v>
      </c>
      <c r="U1265">
        <v>0</v>
      </c>
      <c r="V1265">
        <v>0</v>
      </c>
      <c r="W1265">
        <v>400004</v>
      </c>
      <c r="AE1265">
        <v>0</v>
      </c>
      <c r="AH1265">
        <v>4.84</v>
      </c>
      <c r="AP1265" t="s">
        <v>352</v>
      </c>
    </row>
    <row r="1266" spans="1:42">
      <c r="A1266" s="1" t="s">
        <v>46</v>
      </c>
      <c r="B1266" s="1" t="s">
        <v>2674</v>
      </c>
      <c r="C1266" s="1" t="s">
        <v>2674</v>
      </c>
      <c r="E1266" s="4" t="s">
        <v>2675</v>
      </c>
      <c r="G1266" s="16"/>
      <c r="I1266">
        <v>16.72</v>
      </c>
      <c r="M1266">
        <v>1</v>
      </c>
      <c r="N1266">
        <v>-1</v>
      </c>
      <c r="O1266">
        <v>0</v>
      </c>
      <c r="R1266" t="s">
        <v>2667</v>
      </c>
      <c r="S1266">
        <v>0</v>
      </c>
      <c r="T1266" t="s">
        <v>52</v>
      </c>
      <c r="U1266">
        <v>0</v>
      </c>
      <c r="V1266">
        <v>0</v>
      </c>
      <c r="AE1266">
        <v>0</v>
      </c>
      <c r="AH1266">
        <v>16.72</v>
      </c>
    </row>
    <row r="1267" spans="1:42">
      <c r="A1267" s="1" t="s">
        <v>46</v>
      </c>
      <c r="B1267" s="1" t="s">
        <v>2676</v>
      </c>
      <c r="C1267" s="1" t="s">
        <v>2676</v>
      </c>
      <c r="E1267" s="4" t="s">
        <v>2677</v>
      </c>
      <c r="G1267" s="16"/>
      <c r="I1267">
        <v>5.17</v>
      </c>
      <c r="M1267">
        <v>1</v>
      </c>
      <c r="N1267">
        <v>-1</v>
      </c>
      <c r="O1267">
        <v>0</v>
      </c>
      <c r="P1267">
        <v>2.04</v>
      </c>
      <c r="Q1267">
        <v>-2.04</v>
      </c>
      <c r="R1267" t="s">
        <v>2667</v>
      </c>
      <c r="S1267">
        <v>0</v>
      </c>
      <c r="T1267" t="s">
        <v>52</v>
      </c>
      <c r="U1267">
        <v>0</v>
      </c>
      <c r="V1267">
        <v>0</v>
      </c>
      <c r="W1267">
        <v>400004</v>
      </c>
      <c r="AE1267">
        <v>0</v>
      </c>
      <c r="AH1267">
        <v>5.17</v>
      </c>
      <c r="AP1267" t="s">
        <v>352</v>
      </c>
    </row>
    <row r="1268" spans="1:42">
      <c r="A1268" s="1" t="s">
        <v>46</v>
      </c>
      <c r="B1268" s="1" t="s">
        <v>2678</v>
      </c>
      <c r="C1268" s="1" t="s">
        <v>2678</v>
      </c>
      <c r="E1268" s="4" t="s">
        <v>2679</v>
      </c>
      <c r="G1268" s="16">
        <v>17</v>
      </c>
      <c r="I1268">
        <v>2.86</v>
      </c>
      <c r="M1268">
        <v>1</v>
      </c>
      <c r="N1268">
        <v>-12</v>
      </c>
      <c r="O1268">
        <v>0</v>
      </c>
      <c r="R1268" t="s">
        <v>2667</v>
      </c>
      <c r="S1268">
        <v>0</v>
      </c>
      <c r="T1268" t="s">
        <v>52</v>
      </c>
      <c r="U1268">
        <v>0</v>
      </c>
      <c r="V1268">
        <v>0</v>
      </c>
      <c r="AE1268">
        <v>0</v>
      </c>
      <c r="AH1268">
        <v>2.86</v>
      </c>
    </row>
    <row r="1269" spans="1:42">
      <c r="A1269" s="1" t="s">
        <v>46</v>
      </c>
      <c r="B1269" s="1" t="s">
        <v>2680</v>
      </c>
      <c r="C1269" s="1" t="s">
        <v>2680</v>
      </c>
      <c r="E1269" s="4" t="s">
        <v>2681</v>
      </c>
      <c r="G1269" s="16">
        <v>75</v>
      </c>
      <c r="I1269">
        <v>2.09</v>
      </c>
      <c r="M1269">
        <v>1</v>
      </c>
      <c r="N1269">
        <v>-2</v>
      </c>
      <c r="O1269">
        <v>0</v>
      </c>
      <c r="R1269" t="s">
        <v>2667</v>
      </c>
      <c r="S1269">
        <v>0</v>
      </c>
      <c r="T1269" t="s">
        <v>52</v>
      </c>
      <c r="U1269">
        <v>0</v>
      </c>
      <c r="V1269">
        <v>0</v>
      </c>
      <c r="AE1269">
        <v>0</v>
      </c>
      <c r="AH1269">
        <v>2.09</v>
      </c>
    </row>
    <row r="1270" spans="1:42">
      <c r="A1270" s="1" t="s">
        <v>46</v>
      </c>
      <c r="B1270" s="1" t="s">
        <v>2682</v>
      </c>
      <c r="C1270" s="1" t="s">
        <v>2682</v>
      </c>
      <c r="E1270" s="4" t="s">
        <v>2683</v>
      </c>
      <c r="G1270" s="16"/>
      <c r="I1270">
        <v>2.09</v>
      </c>
      <c r="M1270">
        <v>1</v>
      </c>
      <c r="N1270">
        <v>-19</v>
      </c>
      <c r="O1270">
        <v>0</v>
      </c>
      <c r="P1270">
        <v>0.28999999999999998</v>
      </c>
      <c r="Q1270">
        <v>-5.52</v>
      </c>
      <c r="R1270" t="s">
        <v>2667</v>
      </c>
      <c r="S1270">
        <v>0</v>
      </c>
      <c r="T1270" t="s">
        <v>52</v>
      </c>
      <c r="U1270">
        <v>0</v>
      </c>
      <c r="V1270">
        <v>0</v>
      </c>
      <c r="W1270">
        <v>400004</v>
      </c>
      <c r="AE1270">
        <v>0</v>
      </c>
      <c r="AH1270">
        <v>2.09</v>
      </c>
      <c r="AP1270" t="s">
        <v>352</v>
      </c>
    </row>
    <row r="1271" spans="1:42">
      <c r="A1271" s="1" t="s">
        <v>46</v>
      </c>
      <c r="B1271" s="1" t="s">
        <v>2684</v>
      </c>
      <c r="C1271" s="1" t="s">
        <v>2684</v>
      </c>
      <c r="E1271" s="4" t="s">
        <v>2685</v>
      </c>
      <c r="G1271" s="16">
        <v>85</v>
      </c>
      <c r="I1271">
        <v>1.54</v>
      </c>
      <c r="M1271">
        <v>1</v>
      </c>
      <c r="N1271">
        <v>-13</v>
      </c>
      <c r="O1271">
        <v>0</v>
      </c>
      <c r="P1271">
        <v>0.18</v>
      </c>
      <c r="Q1271">
        <v>-2.4</v>
      </c>
      <c r="R1271" t="s">
        <v>2667</v>
      </c>
      <c r="S1271">
        <v>0</v>
      </c>
      <c r="T1271" t="s">
        <v>52</v>
      </c>
      <c r="U1271">
        <v>0</v>
      </c>
      <c r="V1271">
        <v>0</v>
      </c>
      <c r="W1271">
        <v>400023</v>
      </c>
      <c r="AE1271">
        <v>0</v>
      </c>
      <c r="AH1271">
        <v>1.54</v>
      </c>
      <c r="AP1271" t="s">
        <v>369</v>
      </c>
    </row>
    <row r="1272" spans="1:42">
      <c r="A1272" s="1" t="s">
        <v>46</v>
      </c>
      <c r="B1272" s="1" t="s">
        <v>2686</v>
      </c>
      <c r="C1272" s="1" t="s">
        <v>2686</v>
      </c>
      <c r="E1272" s="4" t="s">
        <v>2687</v>
      </c>
      <c r="G1272" s="16"/>
      <c r="I1272">
        <v>1.82</v>
      </c>
      <c r="M1272">
        <v>1</v>
      </c>
      <c r="N1272">
        <v>-7</v>
      </c>
      <c r="O1272">
        <v>0</v>
      </c>
      <c r="P1272">
        <v>0.66</v>
      </c>
      <c r="Q1272">
        <v>-4.6399999999999997</v>
      </c>
      <c r="R1272" t="s">
        <v>2667</v>
      </c>
      <c r="S1272">
        <v>0</v>
      </c>
      <c r="T1272" t="s">
        <v>52</v>
      </c>
      <c r="U1272">
        <v>0</v>
      </c>
      <c r="V1272">
        <v>0</v>
      </c>
      <c r="W1272">
        <v>400004</v>
      </c>
      <c r="AE1272">
        <v>0</v>
      </c>
      <c r="AH1272">
        <v>1.82</v>
      </c>
      <c r="AP1272" t="s">
        <v>352</v>
      </c>
    </row>
    <row r="1273" spans="1:42">
      <c r="A1273" s="1" t="s">
        <v>46</v>
      </c>
      <c r="B1273" s="1" t="s">
        <v>2688</v>
      </c>
      <c r="C1273" s="1" t="s">
        <v>2688</v>
      </c>
      <c r="E1273" s="4" t="s">
        <v>2689</v>
      </c>
      <c r="G1273" s="16"/>
      <c r="I1273">
        <v>3.08</v>
      </c>
      <c r="M1273">
        <v>1</v>
      </c>
      <c r="N1273">
        <v>-43</v>
      </c>
      <c r="O1273">
        <v>0</v>
      </c>
      <c r="R1273" t="s">
        <v>2667</v>
      </c>
      <c r="S1273">
        <v>0</v>
      </c>
      <c r="T1273" t="s">
        <v>52</v>
      </c>
      <c r="U1273">
        <v>0</v>
      </c>
      <c r="V1273">
        <v>0</v>
      </c>
      <c r="AE1273">
        <v>0</v>
      </c>
      <c r="AH1273">
        <v>3.08</v>
      </c>
    </row>
    <row r="1274" spans="1:42">
      <c r="A1274" s="1" t="s">
        <v>46</v>
      </c>
      <c r="B1274" s="1" t="s">
        <v>2690</v>
      </c>
      <c r="C1274" s="1" t="s">
        <v>2690</v>
      </c>
      <c r="E1274" s="4" t="s">
        <v>2691</v>
      </c>
      <c r="G1274" s="16"/>
      <c r="I1274">
        <v>13.81</v>
      </c>
      <c r="M1274">
        <v>1</v>
      </c>
      <c r="N1274">
        <v>-2</v>
      </c>
      <c r="O1274">
        <v>0</v>
      </c>
      <c r="R1274" t="s">
        <v>2667</v>
      </c>
      <c r="S1274">
        <v>0</v>
      </c>
      <c r="T1274" t="s">
        <v>52</v>
      </c>
      <c r="U1274">
        <v>0</v>
      </c>
      <c r="V1274">
        <v>0</v>
      </c>
      <c r="AE1274">
        <v>0</v>
      </c>
      <c r="AH1274">
        <v>13.81</v>
      </c>
    </row>
    <row r="1275" spans="1:42">
      <c r="A1275" s="1" t="s">
        <v>46</v>
      </c>
      <c r="B1275" s="1" t="s">
        <v>2692</v>
      </c>
      <c r="C1275" s="1" t="s">
        <v>2692</v>
      </c>
      <c r="E1275" s="4" t="s">
        <v>2693</v>
      </c>
      <c r="G1275" s="16"/>
      <c r="I1275">
        <v>10.119999999999999</v>
      </c>
      <c r="M1275">
        <v>1</v>
      </c>
      <c r="N1275">
        <v>-2</v>
      </c>
      <c r="O1275">
        <v>0</v>
      </c>
      <c r="P1275">
        <v>3.27</v>
      </c>
      <c r="Q1275">
        <v>-6.55</v>
      </c>
      <c r="R1275" t="s">
        <v>2667</v>
      </c>
      <c r="S1275">
        <v>0</v>
      </c>
      <c r="T1275" t="s">
        <v>52</v>
      </c>
      <c r="U1275">
        <v>0</v>
      </c>
      <c r="V1275">
        <v>0</v>
      </c>
      <c r="W1275">
        <v>400023</v>
      </c>
      <c r="AE1275">
        <v>0</v>
      </c>
      <c r="AH1275">
        <v>10.119999999999999</v>
      </c>
      <c r="AP1275" t="s">
        <v>369</v>
      </c>
    </row>
    <row r="1276" spans="1:42">
      <c r="A1276" s="1" t="s">
        <v>46</v>
      </c>
      <c r="B1276" s="1" t="s">
        <v>2694</v>
      </c>
      <c r="C1276" s="1" t="s">
        <v>2694</v>
      </c>
      <c r="E1276" s="4" t="s">
        <v>2695</v>
      </c>
      <c r="G1276" s="16"/>
      <c r="I1276">
        <v>32.29</v>
      </c>
      <c r="M1276">
        <v>1</v>
      </c>
      <c r="N1276">
        <v>-2</v>
      </c>
      <c r="O1276">
        <v>0</v>
      </c>
      <c r="R1276" t="s">
        <v>2667</v>
      </c>
      <c r="S1276">
        <v>0</v>
      </c>
      <c r="T1276" t="s">
        <v>52</v>
      </c>
      <c r="U1276">
        <v>0</v>
      </c>
      <c r="V1276">
        <v>0</v>
      </c>
      <c r="AE1276">
        <v>0</v>
      </c>
      <c r="AH1276">
        <v>32.29</v>
      </c>
    </row>
    <row r="1277" spans="1:42">
      <c r="A1277" s="1" t="s">
        <v>46</v>
      </c>
      <c r="B1277" s="1" t="s">
        <v>2696</v>
      </c>
      <c r="C1277" s="1" t="s">
        <v>2696</v>
      </c>
      <c r="E1277" s="4" t="s">
        <v>2697</v>
      </c>
      <c r="G1277" s="16"/>
      <c r="I1277">
        <v>7.15</v>
      </c>
      <c r="M1277">
        <v>1</v>
      </c>
      <c r="N1277">
        <v>-2</v>
      </c>
      <c r="O1277">
        <v>0</v>
      </c>
      <c r="R1277" t="s">
        <v>2667</v>
      </c>
      <c r="S1277">
        <v>0</v>
      </c>
      <c r="T1277" t="s">
        <v>52</v>
      </c>
      <c r="U1277">
        <v>0</v>
      </c>
      <c r="V1277">
        <v>0</v>
      </c>
      <c r="AE1277">
        <v>0</v>
      </c>
      <c r="AH1277">
        <v>7.15</v>
      </c>
    </row>
    <row r="1278" spans="1:42">
      <c r="A1278" s="1" t="s">
        <v>46</v>
      </c>
      <c r="B1278" s="1" t="s">
        <v>2698</v>
      </c>
      <c r="C1278" s="1" t="s">
        <v>2698</v>
      </c>
      <c r="E1278" s="4" t="s">
        <v>2699</v>
      </c>
      <c r="G1278" s="16"/>
      <c r="I1278">
        <v>7.98</v>
      </c>
      <c r="M1278">
        <v>1</v>
      </c>
      <c r="N1278">
        <v>-2</v>
      </c>
      <c r="O1278">
        <v>0</v>
      </c>
      <c r="P1278">
        <v>2.78</v>
      </c>
      <c r="Q1278">
        <v>-5.55</v>
      </c>
      <c r="R1278" t="s">
        <v>2667</v>
      </c>
      <c r="S1278">
        <v>0</v>
      </c>
      <c r="T1278" t="s">
        <v>52</v>
      </c>
      <c r="U1278">
        <v>0</v>
      </c>
      <c r="V1278">
        <v>0</v>
      </c>
      <c r="W1278">
        <v>400026</v>
      </c>
      <c r="AE1278">
        <v>0</v>
      </c>
      <c r="AH1278">
        <v>7.98</v>
      </c>
      <c r="AP1278" t="s">
        <v>187</v>
      </c>
    </row>
    <row r="1279" spans="1:42">
      <c r="A1279" s="1" t="s">
        <v>46</v>
      </c>
      <c r="B1279" s="1" t="s">
        <v>2700</v>
      </c>
      <c r="C1279" s="1" t="s">
        <v>2700</v>
      </c>
      <c r="E1279" s="4" t="s">
        <v>2701</v>
      </c>
      <c r="G1279" s="16"/>
      <c r="I1279">
        <v>8.42</v>
      </c>
      <c r="M1279">
        <v>1</v>
      </c>
      <c r="N1279">
        <v>-2</v>
      </c>
      <c r="O1279">
        <v>0</v>
      </c>
      <c r="R1279" t="s">
        <v>2667</v>
      </c>
      <c r="S1279">
        <v>0</v>
      </c>
      <c r="T1279" t="s">
        <v>52</v>
      </c>
      <c r="U1279">
        <v>0</v>
      </c>
      <c r="V1279">
        <v>0</v>
      </c>
      <c r="AE1279">
        <v>0</v>
      </c>
      <c r="AH1279">
        <v>8.42</v>
      </c>
    </row>
    <row r="1280" spans="1:42">
      <c r="A1280" s="1" t="s">
        <v>46</v>
      </c>
      <c r="B1280" s="1" t="s">
        <v>2702</v>
      </c>
      <c r="C1280" s="1" t="s">
        <v>2702</v>
      </c>
      <c r="E1280" s="4" t="s">
        <v>2703</v>
      </c>
      <c r="G1280" s="16"/>
      <c r="I1280">
        <v>3.58</v>
      </c>
      <c r="M1280">
        <v>1</v>
      </c>
      <c r="N1280">
        <v>-3</v>
      </c>
      <c r="O1280">
        <v>0</v>
      </c>
      <c r="P1280">
        <v>2.04</v>
      </c>
      <c r="Q1280">
        <v>-6.12</v>
      </c>
      <c r="R1280" t="s">
        <v>2667</v>
      </c>
      <c r="S1280">
        <v>0</v>
      </c>
      <c r="T1280" t="s">
        <v>52</v>
      </c>
      <c r="U1280">
        <v>0</v>
      </c>
      <c r="V1280">
        <v>0</v>
      </c>
      <c r="W1280">
        <v>400004</v>
      </c>
      <c r="AE1280">
        <v>0</v>
      </c>
      <c r="AH1280">
        <v>3.58</v>
      </c>
      <c r="AP1280" t="s">
        <v>352</v>
      </c>
    </row>
    <row r="1281" spans="1:42">
      <c r="A1281" s="1" t="s">
        <v>46</v>
      </c>
      <c r="B1281" s="1" t="s">
        <v>2704</v>
      </c>
      <c r="C1281" s="1" t="s">
        <v>2704</v>
      </c>
      <c r="E1281" s="4" t="s">
        <v>2705</v>
      </c>
      <c r="G1281" s="16"/>
      <c r="I1281">
        <v>2.09</v>
      </c>
      <c r="M1281">
        <v>1</v>
      </c>
      <c r="N1281">
        <v>-24</v>
      </c>
      <c r="O1281">
        <v>0</v>
      </c>
      <c r="R1281" t="s">
        <v>2667</v>
      </c>
      <c r="S1281">
        <v>0</v>
      </c>
      <c r="T1281" t="s">
        <v>52</v>
      </c>
      <c r="U1281">
        <v>0</v>
      </c>
      <c r="V1281">
        <v>0</v>
      </c>
      <c r="AE1281">
        <v>0</v>
      </c>
      <c r="AH1281">
        <v>2.09</v>
      </c>
    </row>
    <row r="1282" spans="1:42">
      <c r="A1282" s="1" t="s">
        <v>46</v>
      </c>
      <c r="B1282" s="1" t="s">
        <v>2706</v>
      </c>
      <c r="C1282" s="1" t="s">
        <v>2706</v>
      </c>
      <c r="E1282" s="4" t="s">
        <v>2707</v>
      </c>
      <c r="G1282" s="16"/>
      <c r="I1282">
        <v>8.69</v>
      </c>
      <c r="M1282">
        <v>1</v>
      </c>
      <c r="N1282">
        <v>-1</v>
      </c>
      <c r="O1282">
        <v>0</v>
      </c>
      <c r="P1282">
        <v>3.16</v>
      </c>
      <c r="Q1282">
        <v>-3.16</v>
      </c>
      <c r="R1282" t="s">
        <v>2667</v>
      </c>
      <c r="S1282">
        <v>0</v>
      </c>
      <c r="T1282" t="s">
        <v>52</v>
      </c>
      <c r="U1282">
        <v>0</v>
      </c>
      <c r="V1282">
        <v>0</v>
      </c>
      <c r="W1282">
        <v>400004</v>
      </c>
      <c r="AE1282">
        <v>0</v>
      </c>
      <c r="AH1282">
        <v>8.69</v>
      </c>
      <c r="AP1282" t="s">
        <v>352</v>
      </c>
    </row>
    <row r="1283" spans="1:42">
      <c r="A1283" s="1" t="s">
        <v>46</v>
      </c>
      <c r="B1283" s="1" t="s">
        <v>2708</v>
      </c>
      <c r="C1283" s="1" t="s">
        <v>2708</v>
      </c>
      <c r="E1283" s="4" t="s">
        <v>2709</v>
      </c>
      <c r="G1283" s="16"/>
      <c r="I1283">
        <v>2.81</v>
      </c>
      <c r="M1283">
        <v>1</v>
      </c>
      <c r="N1283">
        <v>-8</v>
      </c>
      <c r="O1283">
        <v>0</v>
      </c>
      <c r="P1283">
        <v>1.02</v>
      </c>
      <c r="Q1283">
        <v>-8.18</v>
      </c>
      <c r="R1283" t="s">
        <v>2667</v>
      </c>
      <c r="S1283">
        <v>0</v>
      </c>
      <c r="T1283" t="s">
        <v>52</v>
      </c>
      <c r="U1283">
        <v>0</v>
      </c>
      <c r="V1283">
        <v>0</v>
      </c>
      <c r="W1283">
        <v>400004</v>
      </c>
      <c r="AE1283">
        <v>0</v>
      </c>
      <c r="AH1283">
        <v>2.81</v>
      </c>
      <c r="AP1283" t="s">
        <v>352</v>
      </c>
    </row>
    <row r="1284" spans="1:42">
      <c r="A1284" s="1" t="s">
        <v>46</v>
      </c>
      <c r="B1284" s="1" t="s">
        <v>2710</v>
      </c>
      <c r="C1284" s="1" t="s">
        <v>2710</v>
      </c>
      <c r="E1284" s="4" t="s">
        <v>2711</v>
      </c>
      <c r="G1284" s="16"/>
      <c r="I1284">
        <v>1.54</v>
      </c>
      <c r="M1284">
        <v>1</v>
      </c>
      <c r="N1284">
        <v>-2</v>
      </c>
      <c r="O1284">
        <v>0</v>
      </c>
      <c r="P1284">
        <v>0.56000000000000005</v>
      </c>
      <c r="Q1284">
        <v>-1.1200000000000001</v>
      </c>
      <c r="R1284" t="s">
        <v>2667</v>
      </c>
      <c r="S1284">
        <v>0</v>
      </c>
      <c r="T1284" t="s">
        <v>52</v>
      </c>
      <c r="U1284">
        <v>0</v>
      </c>
      <c r="V1284">
        <v>0</v>
      </c>
      <c r="W1284">
        <v>400004</v>
      </c>
      <c r="AE1284">
        <v>0</v>
      </c>
      <c r="AH1284">
        <v>1.54</v>
      </c>
      <c r="AP1284" t="s">
        <v>352</v>
      </c>
    </row>
    <row r="1285" spans="1:42">
      <c r="A1285" s="1" t="s">
        <v>46</v>
      </c>
      <c r="B1285" s="1" t="s">
        <v>2712</v>
      </c>
      <c r="C1285" s="1" t="s">
        <v>2712</v>
      </c>
      <c r="E1285" s="4" t="s">
        <v>2713</v>
      </c>
      <c r="G1285" s="16"/>
      <c r="I1285">
        <v>4.68</v>
      </c>
      <c r="M1285">
        <v>1</v>
      </c>
      <c r="N1285">
        <v>-1</v>
      </c>
      <c r="O1285">
        <v>0</v>
      </c>
      <c r="P1285">
        <v>1.7</v>
      </c>
      <c r="Q1285">
        <v>-1.7</v>
      </c>
      <c r="R1285" t="s">
        <v>2667</v>
      </c>
      <c r="T1285" t="s">
        <v>52</v>
      </c>
      <c r="W1285">
        <v>400004</v>
      </c>
      <c r="AE1285">
        <v>0</v>
      </c>
      <c r="AH1285">
        <v>4.68</v>
      </c>
      <c r="AP1285" t="s">
        <v>352</v>
      </c>
    </row>
    <row r="1286" spans="1:42">
      <c r="A1286" s="1" t="s">
        <v>46</v>
      </c>
      <c r="B1286" s="1" t="s">
        <v>2714</v>
      </c>
      <c r="C1286" s="1" t="s">
        <v>2714</v>
      </c>
      <c r="E1286" s="4" t="s">
        <v>2715</v>
      </c>
      <c r="G1286" s="16"/>
      <c r="M1286">
        <v>1</v>
      </c>
      <c r="N1286">
        <v>1</v>
      </c>
      <c r="O1286">
        <v>0</v>
      </c>
      <c r="P1286">
        <v>180</v>
      </c>
      <c r="Q1286">
        <v>180</v>
      </c>
      <c r="W1286">
        <v>400046</v>
      </c>
      <c r="AE1286">
        <v>0</v>
      </c>
      <c r="AP1286" t="s">
        <v>407</v>
      </c>
    </row>
    <row r="1287" spans="1:42">
      <c r="A1287" s="1" t="s">
        <v>46</v>
      </c>
      <c r="B1287" s="1" t="s">
        <v>2716</v>
      </c>
      <c r="C1287" s="1" t="s">
        <v>2716</v>
      </c>
      <c r="E1287" s="4" t="s">
        <v>2717</v>
      </c>
      <c r="G1287" s="16"/>
      <c r="M1287">
        <v>1</v>
      </c>
      <c r="N1287">
        <v>30</v>
      </c>
      <c r="O1287">
        <v>0</v>
      </c>
      <c r="P1287">
        <v>24</v>
      </c>
      <c r="Q1287">
        <v>720</v>
      </c>
      <c r="R1287">
        <v>0</v>
      </c>
      <c r="S1287">
        <v>0</v>
      </c>
      <c r="T1287" t="s">
        <v>52</v>
      </c>
      <c r="W1287">
        <v>400046</v>
      </c>
      <c r="AE1287">
        <v>0</v>
      </c>
      <c r="AP1287" t="s">
        <v>407</v>
      </c>
    </row>
    <row r="1288" spans="1:42">
      <c r="A1288" s="1" t="s">
        <v>46</v>
      </c>
      <c r="B1288" s="1" t="s">
        <v>2718</v>
      </c>
      <c r="C1288" s="1" t="s">
        <v>2718</v>
      </c>
      <c r="E1288" s="4" t="s">
        <v>2719</v>
      </c>
      <c r="G1288" s="16"/>
      <c r="M1288">
        <v>1</v>
      </c>
      <c r="N1288">
        <v>200</v>
      </c>
      <c r="O1288">
        <v>0</v>
      </c>
      <c r="P1288">
        <v>9.75</v>
      </c>
      <c r="Q1288">
        <v>1950</v>
      </c>
      <c r="W1288">
        <v>400046</v>
      </c>
      <c r="AE1288">
        <v>0</v>
      </c>
      <c r="AP1288" t="s">
        <v>407</v>
      </c>
    </row>
    <row r="1289" spans="1:42">
      <c r="A1289" s="1" t="s">
        <v>46</v>
      </c>
      <c r="B1289" s="1" t="s">
        <v>2720</v>
      </c>
      <c r="C1289" s="1" t="s">
        <v>2720</v>
      </c>
      <c r="E1289" s="4" t="s">
        <v>2721</v>
      </c>
      <c r="G1289" s="16"/>
      <c r="M1289">
        <v>1</v>
      </c>
      <c r="N1289">
        <v>-376</v>
      </c>
      <c r="O1289">
        <v>0</v>
      </c>
      <c r="W1289">
        <v>400120</v>
      </c>
      <c r="AE1289">
        <v>0</v>
      </c>
      <c r="AP1289" t="s">
        <v>468</v>
      </c>
    </row>
    <row r="1290" spans="1:42">
      <c r="A1290" s="1" t="s">
        <v>46</v>
      </c>
      <c r="B1290" s="1" t="s">
        <v>2722</v>
      </c>
      <c r="C1290" s="1" t="s">
        <v>2722</v>
      </c>
      <c r="E1290" s="4" t="s">
        <v>2723</v>
      </c>
      <c r="G1290" s="16"/>
      <c r="M1290">
        <v>1</v>
      </c>
      <c r="N1290">
        <v>1</v>
      </c>
      <c r="O1290">
        <v>0</v>
      </c>
      <c r="P1290">
        <v>36.630000000000003</v>
      </c>
      <c r="Q1290">
        <v>36.630000000000003</v>
      </c>
      <c r="W1290">
        <v>400046</v>
      </c>
      <c r="AE1290">
        <v>0</v>
      </c>
      <c r="AP1290" t="s">
        <v>407</v>
      </c>
    </row>
    <row r="1291" spans="1:42">
      <c r="A1291" s="1" t="s">
        <v>46</v>
      </c>
      <c r="B1291" s="1" t="s">
        <v>2724</v>
      </c>
      <c r="C1291" s="1" t="s">
        <v>2724</v>
      </c>
      <c r="E1291" s="4" t="s">
        <v>2725</v>
      </c>
      <c r="G1291" s="16"/>
      <c r="M1291">
        <v>1</v>
      </c>
      <c r="N1291">
        <v>2</v>
      </c>
      <c r="O1291">
        <v>0</v>
      </c>
      <c r="P1291">
        <v>41.29</v>
      </c>
      <c r="Q1291">
        <v>82.58</v>
      </c>
      <c r="R1291" t="s">
        <v>2726</v>
      </c>
      <c r="S1291">
        <v>0</v>
      </c>
      <c r="T1291" t="s">
        <v>52</v>
      </c>
      <c r="U1291">
        <v>0</v>
      </c>
      <c r="V1291">
        <v>0</v>
      </c>
      <c r="W1291">
        <v>400046</v>
      </c>
      <c r="AE1291">
        <v>0</v>
      </c>
      <c r="AP1291" t="s">
        <v>407</v>
      </c>
    </row>
    <row r="1292" spans="1:42">
      <c r="A1292" s="1" t="s">
        <v>46</v>
      </c>
      <c r="B1292" s="1" t="s">
        <v>2727</v>
      </c>
      <c r="C1292" s="1" t="s">
        <v>2727</v>
      </c>
      <c r="E1292" s="4" t="s">
        <v>2728</v>
      </c>
      <c r="G1292" s="16"/>
      <c r="M1292">
        <v>1</v>
      </c>
      <c r="N1292">
        <v>2</v>
      </c>
      <c r="O1292">
        <v>0</v>
      </c>
      <c r="P1292">
        <v>55.5</v>
      </c>
      <c r="Q1292">
        <v>111</v>
      </c>
      <c r="W1292">
        <v>400046</v>
      </c>
      <c r="AE1292">
        <v>0</v>
      </c>
      <c r="AP1292" t="s">
        <v>407</v>
      </c>
    </row>
    <row r="1293" spans="1:42">
      <c r="A1293" s="1" t="s">
        <v>46</v>
      </c>
      <c r="B1293" s="1" t="s">
        <v>2729</v>
      </c>
      <c r="C1293" s="1" t="s">
        <v>2729</v>
      </c>
      <c r="E1293" s="4" t="s">
        <v>2730</v>
      </c>
      <c r="G1293" s="16"/>
      <c r="M1293">
        <v>1</v>
      </c>
      <c r="N1293">
        <v>1</v>
      </c>
      <c r="O1293">
        <v>0</v>
      </c>
      <c r="P1293">
        <v>30.64</v>
      </c>
      <c r="Q1293">
        <v>30.64</v>
      </c>
      <c r="W1293">
        <v>400046</v>
      </c>
      <c r="AE1293">
        <v>0</v>
      </c>
      <c r="AP1293" t="s">
        <v>407</v>
      </c>
    </row>
    <row r="1294" spans="1:42">
      <c r="A1294" s="1" t="s">
        <v>46</v>
      </c>
      <c r="B1294" s="1" t="s">
        <v>2731</v>
      </c>
      <c r="C1294" s="1" t="s">
        <v>2731</v>
      </c>
      <c r="E1294" s="4" t="s">
        <v>2732</v>
      </c>
      <c r="G1294" s="16"/>
      <c r="M1294">
        <v>1</v>
      </c>
      <c r="N1294">
        <v>2</v>
      </c>
      <c r="O1294">
        <v>0</v>
      </c>
      <c r="W1294">
        <v>400120</v>
      </c>
      <c r="AE1294">
        <v>0</v>
      </c>
      <c r="AP1294" t="s">
        <v>468</v>
      </c>
    </row>
    <row r="1295" spans="1:42">
      <c r="A1295" s="1" t="s">
        <v>46</v>
      </c>
      <c r="B1295" s="1" t="s">
        <v>2733</v>
      </c>
      <c r="C1295" s="1" t="s">
        <v>2733</v>
      </c>
      <c r="E1295" s="4" t="s">
        <v>2734</v>
      </c>
      <c r="G1295" s="16"/>
      <c r="M1295">
        <v>1</v>
      </c>
      <c r="N1295">
        <v>1</v>
      </c>
      <c r="O1295">
        <v>0</v>
      </c>
      <c r="P1295">
        <v>23</v>
      </c>
      <c r="Q1295">
        <v>23</v>
      </c>
      <c r="W1295">
        <v>410302</v>
      </c>
      <c r="AE1295">
        <v>0</v>
      </c>
      <c r="AP1295" t="s">
        <v>177</v>
      </c>
    </row>
    <row r="1296" spans="1:42">
      <c r="A1296" s="1" t="s">
        <v>46</v>
      </c>
      <c r="B1296" s="1" t="s">
        <v>2735</v>
      </c>
      <c r="C1296" s="1" t="s">
        <v>2735</v>
      </c>
      <c r="E1296" s="4" t="s">
        <v>2736</v>
      </c>
      <c r="G1296" s="16"/>
      <c r="M1296">
        <v>1</v>
      </c>
      <c r="N1296">
        <v>5</v>
      </c>
      <c r="O1296">
        <v>0</v>
      </c>
      <c r="P1296">
        <v>37.200000000000003</v>
      </c>
      <c r="Q1296">
        <v>186</v>
      </c>
      <c r="R1296">
        <v>0</v>
      </c>
      <c r="S1296">
        <v>0</v>
      </c>
      <c r="T1296" t="s">
        <v>52</v>
      </c>
      <c r="U1296">
        <v>0</v>
      </c>
      <c r="V1296">
        <v>0</v>
      </c>
      <c r="W1296">
        <v>400046</v>
      </c>
      <c r="AE1296">
        <v>0</v>
      </c>
      <c r="AP1296" t="s">
        <v>407</v>
      </c>
    </row>
    <row r="1297" spans="1:42">
      <c r="A1297" s="1" t="s">
        <v>46</v>
      </c>
      <c r="B1297" s="1" t="s">
        <v>2737</v>
      </c>
      <c r="C1297" s="1" t="s">
        <v>2737</v>
      </c>
      <c r="E1297" s="4" t="s">
        <v>2738</v>
      </c>
      <c r="G1297" s="16"/>
      <c r="M1297">
        <v>1</v>
      </c>
      <c r="N1297">
        <v>1</v>
      </c>
      <c r="O1297">
        <v>0</v>
      </c>
      <c r="P1297">
        <v>130</v>
      </c>
      <c r="Q1297">
        <v>130</v>
      </c>
      <c r="W1297">
        <v>400046</v>
      </c>
      <c r="AE1297">
        <v>0</v>
      </c>
      <c r="AP1297" t="s">
        <v>407</v>
      </c>
    </row>
    <row r="1298" spans="1:42">
      <c r="A1298" s="1" t="s">
        <v>46</v>
      </c>
      <c r="B1298" s="1" t="s">
        <v>2739</v>
      </c>
      <c r="C1298" s="1" t="s">
        <v>2739</v>
      </c>
      <c r="E1298" s="4" t="s">
        <v>2740</v>
      </c>
      <c r="G1298" s="16"/>
      <c r="M1298">
        <v>1</v>
      </c>
      <c r="N1298">
        <v>2</v>
      </c>
      <c r="O1298">
        <v>0</v>
      </c>
      <c r="P1298">
        <v>144.30000000000001</v>
      </c>
      <c r="Q1298">
        <v>288.60000000000002</v>
      </c>
      <c r="W1298">
        <v>400193</v>
      </c>
      <c r="AE1298">
        <v>0</v>
      </c>
      <c r="AP1298" t="s">
        <v>2741</v>
      </c>
    </row>
    <row r="1299" spans="1:42">
      <c r="A1299" s="1" t="s">
        <v>46</v>
      </c>
      <c r="B1299" s="1" t="s">
        <v>2742</v>
      </c>
      <c r="C1299" s="1" t="s">
        <v>2742</v>
      </c>
      <c r="E1299" s="4" t="s">
        <v>2743</v>
      </c>
      <c r="G1299" s="16"/>
      <c r="M1299">
        <v>1</v>
      </c>
      <c r="N1299">
        <v>8</v>
      </c>
      <c r="O1299">
        <v>0</v>
      </c>
      <c r="P1299">
        <v>40.92</v>
      </c>
      <c r="Q1299">
        <v>327.36</v>
      </c>
      <c r="W1299">
        <v>400046</v>
      </c>
      <c r="AE1299">
        <v>0</v>
      </c>
      <c r="AP1299" t="s">
        <v>407</v>
      </c>
    </row>
    <row r="1300" spans="1:42">
      <c r="A1300" s="1" t="s">
        <v>46</v>
      </c>
      <c r="B1300" s="1" t="s">
        <v>2744</v>
      </c>
      <c r="C1300" s="1" t="s">
        <v>2744</v>
      </c>
      <c r="E1300" s="4" t="s">
        <v>2745</v>
      </c>
      <c r="G1300" s="16"/>
      <c r="M1300">
        <v>1</v>
      </c>
      <c r="N1300">
        <v>1548</v>
      </c>
      <c r="O1300">
        <v>0</v>
      </c>
      <c r="P1300">
        <v>15</v>
      </c>
      <c r="Q1300">
        <v>23220</v>
      </c>
      <c r="R1300" t="s">
        <v>2726</v>
      </c>
      <c r="S1300">
        <v>0</v>
      </c>
      <c r="T1300" t="s">
        <v>52</v>
      </c>
      <c r="U1300">
        <v>0</v>
      </c>
      <c r="V1300">
        <v>0</v>
      </c>
      <c r="W1300">
        <v>400046</v>
      </c>
      <c r="AE1300">
        <v>0</v>
      </c>
      <c r="AP1300" t="s">
        <v>407</v>
      </c>
    </row>
    <row r="1301" spans="1:42">
      <c r="A1301" s="1" t="s">
        <v>46</v>
      </c>
      <c r="B1301" s="1" t="s">
        <v>2746</v>
      </c>
      <c r="C1301" s="1" t="s">
        <v>2746</v>
      </c>
      <c r="E1301" s="4" t="s">
        <v>2747</v>
      </c>
      <c r="G1301" s="16"/>
      <c r="M1301">
        <v>1</v>
      </c>
      <c r="N1301">
        <v>413</v>
      </c>
      <c r="O1301">
        <v>0</v>
      </c>
      <c r="P1301">
        <v>26</v>
      </c>
      <c r="Q1301">
        <v>10738</v>
      </c>
      <c r="R1301" t="s">
        <v>2726</v>
      </c>
      <c r="S1301">
        <v>0</v>
      </c>
      <c r="T1301" t="s">
        <v>52</v>
      </c>
      <c r="U1301">
        <v>0</v>
      </c>
      <c r="V1301">
        <v>0</v>
      </c>
      <c r="W1301">
        <v>400046</v>
      </c>
      <c r="AE1301">
        <v>0</v>
      </c>
      <c r="AP1301" t="s">
        <v>407</v>
      </c>
    </row>
    <row r="1302" spans="1:42">
      <c r="A1302" s="1" t="s">
        <v>46</v>
      </c>
      <c r="B1302" s="1" t="s">
        <v>2748</v>
      </c>
      <c r="C1302" s="1" t="s">
        <v>2748</v>
      </c>
      <c r="E1302" s="4" t="s">
        <v>2749</v>
      </c>
      <c r="G1302" s="16"/>
      <c r="M1302">
        <v>1</v>
      </c>
      <c r="N1302">
        <v>494</v>
      </c>
      <c r="O1302">
        <v>0</v>
      </c>
      <c r="P1302">
        <v>28</v>
      </c>
      <c r="Q1302">
        <v>13832</v>
      </c>
      <c r="R1302" t="s">
        <v>2726</v>
      </c>
      <c r="S1302">
        <v>0</v>
      </c>
      <c r="T1302" t="s">
        <v>52</v>
      </c>
      <c r="U1302">
        <v>0</v>
      </c>
      <c r="V1302">
        <v>0</v>
      </c>
      <c r="W1302">
        <v>400046</v>
      </c>
      <c r="X1302" t="s">
        <v>56</v>
      </c>
      <c r="Y1302" t="s">
        <v>57</v>
      </c>
      <c r="AE1302">
        <v>0</v>
      </c>
      <c r="AP1302" t="s">
        <v>407</v>
      </c>
    </row>
    <row r="1303" spans="1:42">
      <c r="A1303" s="1" t="s">
        <v>46</v>
      </c>
      <c r="B1303" s="1" t="s">
        <v>2750</v>
      </c>
      <c r="C1303" s="1" t="s">
        <v>2750</v>
      </c>
      <c r="E1303" s="4" t="s">
        <v>2751</v>
      </c>
      <c r="G1303" s="16"/>
      <c r="M1303">
        <v>1</v>
      </c>
      <c r="N1303">
        <v>15</v>
      </c>
      <c r="O1303">
        <v>0</v>
      </c>
      <c r="P1303">
        <v>26</v>
      </c>
      <c r="Q1303">
        <v>390</v>
      </c>
      <c r="R1303">
        <v>0</v>
      </c>
      <c r="S1303">
        <v>0</v>
      </c>
      <c r="T1303" t="s">
        <v>17</v>
      </c>
      <c r="U1303">
        <v>0</v>
      </c>
      <c r="V1303">
        <v>0</v>
      </c>
      <c r="W1303">
        <v>400046</v>
      </c>
      <c r="X1303" t="s">
        <v>56</v>
      </c>
      <c r="Y1303" t="s">
        <v>57</v>
      </c>
      <c r="AE1303">
        <v>0</v>
      </c>
      <c r="AP1303" t="s">
        <v>407</v>
      </c>
    </row>
    <row r="1304" spans="1:42">
      <c r="A1304" s="1" t="s">
        <v>46</v>
      </c>
      <c r="B1304" s="1" t="s">
        <v>2752</v>
      </c>
      <c r="C1304" s="1" t="s">
        <v>2752</v>
      </c>
      <c r="E1304" s="4" t="s">
        <v>2753</v>
      </c>
      <c r="G1304" s="16"/>
      <c r="M1304">
        <v>1</v>
      </c>
      <c r="N1304">
        <v>1</v>
      </c>
      <c r="O1304">
        <v>0</v>
      </c>
      <c r="P1304">
        <v>160.4</v>
      </c>
      <c r="Q1304">
        <v>160.4</v>
      </c>
      <c r="W1304">
        <v>400160</v>
      </c>
      <c r="AE1304">
        <v>0</v>
      </c>
      <c r="AP1304" t="s">
        <v>201</v>
      </c>
    </row>
    <row r="1305" spans="1:42">
      <c r="A1305" s="1" t="s">
        <v>46</v>
      </c>
      <c r="B1305" s="1" t="s">
        <v>2754</v>
      </c>
      <c r="C1305" s="1" t="s">
        <v>2754</v>
      </c>
      <c r="E1305" s="4" t="s">
        <v>2755</v>
      </c>
      <c r="G1305" s="16"/>
      <c r="M1305">
        <v>1</v>
      </c>
      <c r="N1305">
        <v>1</v>
      </c>
      <c r="O1305">
        <v>0</v>
      </c>
      <c r="P1305">
        <v>378.22</v>
      </c>
      <c r="Q1305">
        <v>378.22</v>
      </c>
      <c r="W1305">
        <v>400160</v>
      </c>
      <c r="AE1305">
        <v>0</v>
      </c>
      <c r="AP1305" t="s">
        <v>201</v>
      </c>
    </row>
    <row r="1306" spans="1:42">
      <c r="A1306" s="1" t="s">
        <v>46</v>
      </c>
      <c r="B1306" s="1" t="s">
        <v>2756</v>
      </c>
      <c r="C1306" s="1" t="s">
        <v>2756</v>
      </c>
      <c r="E1306" s="4" t="s">
        <v>2757</v>
      </c>
      <c r="G1306" s="16"/>
      <c r="M1306">
        <v>1</v>
      </c>
      <c r="N1306">
        <v>1</v>
      </c>
      <c r="O1306">
        <v>0</v>
      </c>
      <c r="P1306">
        <v>139.83000000000001</v>
      </c>
      <c r="Q1306">
        <v>139.83000000000001</v>
      </c>
      <c r="W1306">
        <v>400159</v>
      </c>
      <c r="AE1306">
        <v>0</v>
      </c>
      <c r="AP1306" t="s">
        <v>190</v>
      </c>
    </row>
    <row r="1307" spans="1:42">
      <c r="A1307" s="1" t="s">
        <v>46</v>
      </c>
      <c r="B1307" s="1" t="s">
        <v>2758</v>
      </c>
      <c r="C1307" s="1" t="s">
        <v>2758</v>
      </c>
      <c r="E1307" s="4" t="s">
        <v>2759</v>
      </c>
      <c r="G1307" s="16"/>
      <c r="M1307">
        <v>1</v>
      </c>
      <c r="N1307">
        <v>66</v>
      </c>
      <c r="O1307">
        <v>0</v>
      </c>
      <c r="P1307">
        <v>25</v>
      </c>
      <c r="Q1307">
        <v>1650</v>
      </c>
      <c r="R1307" t="s">
        <v>1406</v>
      </c>
      <c r="S1307">
        <v>0</v>
      </c>
      <c r="T1307">
        <v>0</v>
      </c>
      <c r="U1307">
        <v>0</v>
      </c>
      <c r="V1307">
        <v>0</v>
      </c>
      <c r="W1307">
        <v>400045</v>
      </c>
      <c r="AE1307">
        <v>0</v>
      </c>
      <c r="AP1307" t="s">
        <v>217</v>
      </c>
    </row>
    <row r="1308" spans="1:42">
      <c r="A1308" s="1" t="s">
        <v>46</v>
      </c>
      <c r="B1308" s="1" t="s">
        <v>2760</v>
      </c>
      <c r="C1308" s="1" t="s">
        <v>2760</v>
      </c>
      <c r="E1308" s="4" t="s">
        <v>2761</v>
      </c>
      <c r="G1308" s="16"/>
      <c r="L1308">
        <v>11</v>
      </c>
      <c r="M1308">
        <v>1</v>
      </c>
      <c r="N1308">
        <v>150</v>
      </c>
      <c r="O1308">
        <v>0</v>
      </c>
      <c r="P1308">
        <v>27.75</v>
      </c>
      <c r="Q1308">
        <v>4162.5</v>
      </c>
      <c r="R1308">
        <v>0</v>
      </c>
      <c r="S1308">
        <v>0</v>
      </c>
      <c r="T1308" t="s">
        <v>52</v>
      </c>
      <c r="U1308">
        <v>0</v>
      </c>
      <c r="V1308">
        <v>0</v>
      </c>
      <c r="W1308">
        <v>400217</v>
      </c>
      <c r="AE1308">
        <v>0</v>
      </c>
      <c r="AP1308" t="s">
        <v>2762</v>
      </c>
    </row>
    <row r="1309" spans="1:42">
      <c r="A1309" s="1" t="s">
        <v>46</v>
      </c>
      <c r="B1309" s="1" t="s">
        <v>2763</v>
      </c>
      <c r="C1309" s="1" t="s">
        <v>2763</v>
      </c>
      <c r="E1309" s="4" t="s">
        <v>2764</v>
      </c>
      <c r="G1309" s="16"/>
      <c r="M1309">
        <v>1</v>
      </c>
      <c r="N1309">
        <v>11</v>
      </c>
      <c r="O1309">
        <v>0</v>
      </c>
      <c r="P1309">
        <v>35</v>
      </c>
      <c r="Q1309">
        <v>385</v>
      </c>
      <c r="W1309">
        <v>400128</v>
      </c>
      <c r="AE1309">
        <v>0</v>
      </c>
      <c r="AP1309" t="s">
        <v>1180</v>
      </c>
    </row>
    <row r="1310" spans="1:42">
      <c r="A1310" s="1" t="s">
        <v>46</v>
      </c>
      <c r="B1310" s="1" t="s">
        <v>2765</v>
      </c>
      <c r="C1310" s="1" t="s">
        <v>2765</v>
      </c>
      <c r="E1310" s="4" t="s">
        <v>2766</v>
      </c>
      <c r="G1310" s="16"/>
      <c r="M1310">
        <v>1</v>
      </c>
      <c r="N1310">
        <v>-253</v>
      </c>
      <c r="O1310">
        <v>0</v>
      </c>
      <c r="AE1310">
        <v>0</v>
      </c>
    </row>
    <row r="1311" spans="1:42">
      <c r="A1311" s="1" t="s">
        <v>46</v>
      </c>
      <c r="B1311" s="1" t="s">
        <v>2767</v>
      </c>
      <c r="C1311" s="1" t="s">
        <v>2767</v>
      </c>
      <c r="E1311" s="4" t="s">
        <v>2768</v>
      </c>
      <c r="G1311" s="16"/>
      <c r="M1311">
        <v>1</v>
      </c>
      <c r="N1311">
        <v>-182</v>
      </c>
      <c r="O1311">
        <v>0</v>
      </c>
      <c r="AE1311">
        <v>0</v>
      </c>
    </row>
    <row r="1312" spans="1:42">
      <c r="A1312" s="1" t="s">
        <v>46</v>
      </c>
      <c r="B1312" s="1" t="s">
        <v>2769</v>
      </c>
      <c r="C1312" s="1" t="s">
        <v>2769</v>
      </c>
      <c r="E1312" s="4" t="s">
        <v>2770</v>
      </c>
      <c r="G1312" s="16"/>
      <c r="M1312">
        <v>1</v>
      </c>
      <c r="N1312">
        <v>-218</v>
      </c>
      <c r="O1312">
        <v>0</v>
      </c>
      <c r="AE1312">
        <v>0</v>
      </c>
    </row>
    <row r="1313" spans="1:42">
      <c r="A1313" s="1" t="s">
        <v>46</v>
      </c>
      <c r="B1313" s="1" t="s">
        <v>2771</v>
      </c>
      <c r="C1313" s="1" t="s">
        <v>2771</v>
      </c>
      <c r="E1313" s="4" t="s">
        <v>2772</v>
      </c>
      <c r="G1313" s="16"/>
      <c r="M1313">
        <v>1</v>
      </c>
      <c r="N1313">
        <v>-253</v>
      </c>
      <c r="O1313">
        <v>0</v>
      </c>
      <c r="AE1313">
        <v>0</v>
      </c>
    </row>
    <row r="1314" spans="1:42">
      <c r="A1314" s="1" t="s">
        <v>46</v>
      </c>
      <c r="B1314" s="1" t="s">
        <v>2773</v>
      </c>
      <c r="C1314" s="1" t="s">
        <v>2773</v>
      </c>
      <c r="E1314" s="4" t="s">
        <v>2774</v>
      </c>
      <c r="G1314" s="16"/>
      <c r="M1314">
        <v>1</v>
      </c>
      <c r="N1314">
        <v>-218</v>
      </c>
      <c r="O1314">
        <v>0</v>
      </c>
      <c r="AE1314">
        <v>0</v>
      </c>
    </row>
    <row r="1315" spans="1:42">
      <c r="A1315" s="1" t="s">
        <v>46</v>
      </c>
      <c r="B1315" s="1" t="s">
        <v>2775</v>
      </c>
      <c r="C1315" s="1" t="s">
        <v>2775</v>
      </c>
      <c r="E1315" s="4" t="s">
        <v>2776</v>
      </c>
      <c r="G1315" s="16"/>
      <c r="M1315">
        <v>1</v>
      </c>
      <c r="N1315">
        <v>-90</v>
      </c>
      <c r="O1315">
        <v>0</v>
      </c>
      <c r="W1315">
        <v>400111</v>
      </c>
      <c r="AE1315">
        <v>0</v>
      </c>
      <c r="AP1315" t="s">
        <v>646</v>
      </c>
    </row>
    <row r="1316" spans="1:42">
      <c r="A1316" s="1" t="s">
        <v>46</v>
      </c>
      <c r="B1316" s="1" t="s">
        <v>2777</v>
      </c>
      <c r="C1316" s="1" t="s">
        <v>2777</v>
      </c>
      <c r="E1316" s="4" t="s">
        <v>2778</v>
      </c>
      <c r="G1316" s="16"/>
      <c r="M1316">
        <v>1</v>
      </c>
      <c r="N1316">
        <v>-277</v>
      </c>
      <c r="O1316">
        <v>0</v>
      </c>
      <c r="AE1316">
        <v>0</v>
      </c>
    </row>
    <row r="1317" spans="1:42">
      <c r="A1317" s="1" t="s">
        <v>46</v>
      </c>
      <c r="B1317" s="1" t="s">
        <v>2779</v>
      </c>
      <c r="C1317" s="1" t="s">
        <v>2779</v>
      </c>
      <c r="E1317" s="4" t="s">
        <v>2780</v>
      </c>
      <c r="G1317" s="16"/>
      <c r="M1317">
        <v>1</v>
      </c>
      <c r="N1317">
        <v>-243</v>
      </c>
      <c r="O1317">
        <v>0</v>
      </c>
      <c r="AE1317">
        <v>0</v>
      </c>
    </row>
    <row r="1318" spans="1:42">
      <c r="A1318" s="1" t="s">
        <v>46</v>
      </c>
      <c r="B1318" s="1" t="s">
        <v>2781</v>
      </c>
      <c r="C1318" s="1" t="s">
        <v>2781</v>
      </c>
      <c r="E1318" s="4" t="s">
        <v>2782</v>
      </c>
      <c r="G1318" s="16"/>
      <c r="M1318">
        <v>1</v>
      </c>
      <c r="N1318">
        <v>-84</v>
      </c>
      <c r="O1318">
        <v>0</v>
      </c>
      <c r="AE1318">
        <v>0</v>
      </c>
    </row>
    <row r="1319" spans="1:42">
      <c r="A1319" s="1" t="s">
        <v>46</v>
      </c>
      <c r="B1319" s="1" t="s">
        <v>2783</v>
      </c>
      <c r="C1319" s="1" t="s">
        <v>2783</v>
      </c>
      <c r="E1319" s="4" t="s">
        <v>2784</v>
      </c>
      <c r="G1319" s="16"/>
      <c r="M1319">
        <v>1</v>
      </c>
      <c r="N1319">
        <v>-24</v>
      </c>
      <c r="O1319">
        <v>0</v>
      </c>
      <c r="AE1319">
        <v>0</v>
      </c>
    </row>
    <row r="1320" spans="1:42">
      <c r="A1320" s="1" t="s">
        <v>46</v>
      </c>
      <c r="B1320" s="1" t="s">
        <v>2785</v>
      </c>
      <c r="C1320" s="1" t="s">
        <v>2785</v>
      </c>
      <c r="E1320" s="4" t="s">
        <v>2786</v>
      </c>
      <c r="G1320" s="16"/>
      <c r="M1320">
        <v>1</v>
      </c>
      <c r="N1320">
        <v>6</v>
      </c>
      <c r="O1320">
        <v>0</v>
      </c>
      <c r="P1320">
        <v>116.49</v>
      </c>
      <c r="Q1320">
        <v>698.94</v>
      </c>
      <c r="R1320">
        <v>1</v>
      </c>
      <c r="S1320">
        <v>0</v>
      </c>
      <c r="T1320">
        <v>0</v>
      </c>
      <c r="U1320">
        <v>0</v>
      </c>
      <c r="V1320">
        <v>0</v>
      </c>
      <c r="W1320">
        <v>400120</v>
      </c>
      <c r="AE1320">
        <v>0</v>
      </c>
      <c r="AK1320" t="s">
        <v>58</v>
      </c>
      <c r="AP1320" t="s">
        <v>468</v>
      </c>
    </row>
    <row r="1321" spans="1:42">
      <c r="A1321" s="1" t="s">
        <v>46</v>
      </c>
      <c r="B1321" s="1" t="s">
        <v>2787</v>
      </c>
      <c r="C1321" s="1" t="s">
        <v>2787</v>
      </c>
      <c r="E1321" s="4" t="s">
        <v>2788</v>
      </c>
      <c r="G1321" s="16"/>
      <c r="M1321">
        <v>1</v>
      </c>
      <c r="N1321">
        <v>3</v>
      </c>
      <c r="O1321">
        <v>0</v>
      </c>
      <c r="P1321">
        <v>75.45</v>
      </c>
      <c r="Q1321">
        <v>226.36</v>
      </c>
      <c r="W1321">
        <v>400120</v>
      </c>
      <c r="AE1321">
        <v>0</v>
      </c>
      <c r="AP1321" t="s">
        <v>468</v>
      </c>
    </row>
    <row r="1322" spans="1:42">
      <c r="A1322" s="1" t="s">
        <v>46</v>
      </c>
      <c r="B1322" s="1" t="s">
        <v>2789</v>
      </c>
      <c r="C1322" s="1" t="s">
        <v>2789</v>
      </c>
      <c r="E1322" s="4" t="s">
        <v>2790</v>
      </c>
      <c r="G1322" s="16"/>
      <c r="M1322">
        <v>1</v>
      </c>
      <c r="N1322">
        <v>31</v>
      </c>
      <c r="O1322">
        <v>0</v>
      </c>
      <c r="P1322">
        <v>55</v>
      </c>
      <c r="Q1322">
        <v>1705</v>
      </c>
      <c r="W1322">
        <v>400056</v>
      </c>
      <c r="AE1322">
        <v>0</v>
      </c>
      <c r="AP1322" t="s">
        <v>1797</v>
      </c>
    </row>
    <row r="1323" spans="1:42">
      <c r="A1323" s="1" t="s">
        <v>46</v>
      </c>
      <c r="B1323" s="1" t="s">
        <v>2791</v>
      </c>
      <c r="C1323" s="1" t="s">
        <v>2791</v>
      </c>
      <c r="E1323" s="4" t="s">
        <v>2792</v>
      </c>
      <c r="G1323" s="16"/>
      <c r="M1323">
        <v>1</v>
      </c>
      <c r="N1323">
        <v>2</v>
      </c>
      <c r="O1323">
        <v>0</v>
      </c>
      <c r="P1323">
        <v>138.75</v>
      </c>
      <c r="Q1323">
        <v>277.5</v>
      </c>
      <c r="W1323">
        <v>400120</v>
      </c>
      <c r="AE1323">
        <v>0</v>
      </c>
      <c r="AP1323" t="s">
        <v>468</v>
      </c>
    </row>
    <row r="1324" spans="1:42">
      <c r="A1324" s="1" t="s">
        <v>46</v>
      </c>
      <c r="B1324" s="1" t="s">
        <v>2793</v>
      </c>
      <c r="C1324" s="1" t="s">
        <v>2793</v>
      </c>
      <c r="E1324" s="4" t="s">
        <v>2794</v>
      </c>
      <c r="G1324" s="16"/>
      <c r="M1324">
        <v>1</v>
      </c>
      <c r="N1324">
        <v>7</v>
      </c>
      <c r="O1324">
        <v>0</v>
      </c>
      <c r="P1324">
        <v>65</v>
      </c>
      <c r="Q1324">
        <v>455</v>
      </c>
      <c r="W1324">
        <v>400056</v>
      </c>
      <c r="AE1324">
        <v>0</v>
      </c>
      <c r="AP1324" t="s">
        <v>1797</v>
      </c>
    </row>
    <row r="1325" spans="1:42">
      <c r="A1325" s="1" t="s">
        <v>46</v>
      </c>
      <c r="B1325" s="1" t="s">
        <v>2795</v>
      </c>
      <c r="C1325" s="1" t="s">
        <v>2795</v>
      </c>
      <c r="E1325" s="4" t="s">
        <v>2796</v>
      </c>
      <c r="G1325" s="16"/>
      <c r="M1325">
        <v>1</v>
      </c>
      <c r="N1325">
        <v>7</v>
      </c>
      <c r="O1325">
        <v>0</v>
      </c>
      <c r="P1325">
        <v>55</v>
      </c>
      <c r="Q1325">
        <v>385</v>
      </c>
      <c r="W1325">
        <v>400056</v>
      </c>
      <c r="AE1325">
        <v>0</v>
      </c>
      <c r="AP1325" t="s">
        <v>1797</v>
      </c>
    </row>
    <row r="1326" spans="1:42">
      <c r="A1326" s="1" t="s">
        <v>46</v>
      </c>
      <c r="B1326" s="1" t="s">
        <v>2797</v>
      </c>
      <c r="C1326" s="1" t="s">
        <v>2797</v>
      </c>
      <c r="E1326" s="4" t="s">
        <v>2798</v>
      </c>
      <c r="G1326" s="16"/>
      <c r="M1326">
        <v>1</v>
      </c>
      <c r="N1326">
        <v>1</v>
      </c>
      <c r="O1326">
        <v>0</v>
      </c>
      <c r="P1326">
        <v>116.55</v>
      </c>
      <c r="Q1326">
        <v>116.55</v>
      </c>
      <c r="W1326">
        <v>400046</v>
      </c>
      <c r="AE1326">
        <v>0</v>
      </c>
      <c r="AP1326" t="s">
        <v>407</v>
      </c>
    </row>
    <row r="1327" spans="1:42">
      <c r="A1327" s="1" t="s">
        <v>46</v>
      </c>
      <c r="B1327" s="1" t="s">
        <v>2799</v>
      </c>
      <c r="C1327" s="1" t="s">
        <v>2799</v>
      </c>
      <c r="E1327" s="4" t="s">
        <v>2800</v>
      </c>
      <c r="G1327" s="16"/>
      <c r="M1327">
        <v>1</v>
      </c>
      <c r="N1327">
        <v>1</v>
      </c>
      <c r="O1327">
        <v>0</v>
      </c>
      <c r="P1327">
        <v>105.45</v>
      </c>
      <c r="Q1327">
        <v>105.45</v>
      </c>
      <c r="W1327">
        <v>400046</v>
      </c>
      <c r="AE1327">
        <v>0</v>
      </c>
      <c r="AP1327" t="s">
        <v>407</v>
      </c>
    </row>
    <row r="1328" spans="1:42">
      <c r="A1328" s="1" t="s">
        <v>46</v>
      </c>
      <c r="B1328" s="1" t="s">
        <v>2801</v>
      </c>
      <c r="C1328" s="1" t="s">
        <v>2801</v>
      </c>
      <c r="E1328" s="4" t="s">
        <v>2802</v>
      </c>
      <c r="G1328" s="16"/>
      <c r="M1328">
        <v>1</v>
      </c>
      <c r="N1328">
        <v>20</v>
      </c>
      <c r="O1328">
        <v>0</v>
      </c>
      <c r="P1328">
        <v>27.5</v>
      </c>
      <c r="Q1328">
        <v>550</v>
      </c>
      <c r="W1328">
        <v>400080</v>
      </c>
      <c r="AE1328">
        <v>0</v>
      </c>
      <c r="AP1328" t="s">
        <v>696</v>
      </c>
    </row>
    <row r="1329" spans="1:42">
      <c r="A1329" s="1" t="s">
        <v>46</v>
      </c>
      <c r="B1329" s="1" t="s">
        <v>2803</v>
      </c>
      <c r="C1329" s="1" t="s">
        <v>2803</v>
      </c>
      <c r="E1329" s="4" t="s">
        <v>2804</v>
      </c>
      <c r="G1329" s="16"/>
      <c r="M1329">
        <v>1</v>
      </c>
      <c r="N1329">
        <v>48</v>
      </c>
      <c r="O1329">
        <v>0</v>
      </c>
      <c r="P1329">
        <v>29.25</v>
      </c>
      <c r="Q1329">
        <v>1404</v>
      </c>
      <c r="W1329">
        <v>400080</v>
      </c>
      <c r="AE1329">
        <v>0</v>
      </c>
      <c r="AP1329" t="s">
        <v>696</v>
      </c>
    </row>
    <row r="1330" spans="1:42">
      <c r="A1330" s="1" t="s">
        <v>46</v>
      </c>
      <c r="B1330" s="1" t="s">
        <v>2805</v>
      </c>
      <c r="C1330" s="1" t="s">
        <v>2805</v>
      </c>
      <c r="E1330" s="4" t="s">
        <v>2806</v>
      </c>
      <c r="G1330" s="16"/>
      <c r="M1330">
        <v>1</v>
      </c>
      <c r="N1330">
        <v>2</v>
      </c>
      <c r="O1330">
        <v>0</v>
      </c>
      <c r="P1330">
        <v>29</v>
      </c>
      <c r="Q1330">
        <v>58</v>
      </c>
      <c r="W1330">
        <v>400139</v>
      </c>
      <c r="AE1330">
        <v>0</v>
      </c>
      <c r="AP1330" t="s">
        <v>1233</v>
      </c>
    </row>
    <row r="1331" spans="1:42">
      <c r="A1331" s="1" t="s">
        <v>46</v>
      </c>
      <c r="B1331" s="1" t="s">
        <v>2807</v>
      </c>
      <c r="C1331" s="1" t="s">
        <v>2807</v>
      </c>
      <c r="E1331" s="4" t="s">
        <v>2808</v>
      </c>
      <c r="G1331" s="16"/>
      <c r="M1331">
        <v>1</v>
      </c>
      <c r="N1331">
        <v>44</v>
      </c>
      <c r="O1331">
        <v>0</v>
      </c>
      <c r="P1331">
        <v>11.19</v>
      </c>
      <c r="Q1331">
        <v>492.31</v>
      </c>
      <c r="R1331">
        <v>0</v>
      </c>
      <c r="S1331">
        <v>0</v>
      </c>
      <c r="T1331" t="s">
        <v>52</v>
      </c>
      <c r="U1331">
        <v>0</v>
      </c>
      <c r="V1331">
        <v>0</v>
      </c>
      <c r="W1331">
        <v>400032</v>
      </c>
      <c r="X1331" t="s">
        <v>56</v>
      </c>
      <c r="Y1331" t="s">
        <v>57</v>
      </c>
      <c r="AE1331">
        <v>0</v>
      </c>
      <c r="AP1331" t="s">
        <v>404</v>
      </c>
    </row>
    <row r="1332" spans="1:42">
      <c r="A1332" s="1" t="s">
        <v>46</v>
      </c>
      <c r="B1332" s="1" t="s">
        <v>2809</v>
      </c>
      <c r="C1332" s="1" t="s">
        <v>2809</v>
      </c>
      <c r="E1332" s="4" t="s">
        <v>2810</v>
      </c>
      <c r="G1332" s="16">
        <v>0.2</v>
      </c>
      <c r="M1332">
        <v>1</v>
      </c>
      <c r="N1332">
        <v>12</v>
      </c>
      <c r="O1332">
        <v>0</v>
      </c>
      <c r="P1332">
        <v>23</v>
      </c>
      <c r="Q1332">
        <v>276</v>
      </c>
      <c r="W1332">
        <v>400046</v>
      </c>
      <c r="AE1332">
        <v>0</v>
      </c>
      <c r="AP1332" t="s">
        <v>407</v>
      </c>
    </row>
    <row r="1333" spans="1:42">
      <c r="A1333" s="1" t="s">
        <v>46</v>
      </c>
      <c r="B1333" s="1" t="s">
        <v>2811</v>
      </c>
      <c r="C1333" s="1" t="s">
        <v>2811</v>
      </c>
      <c r="E1333" s="4" t="s">
        <v>2812</v>
      </c>
      <c r="G1333" s="16">
        <v>0.25</v>
      </c>
      <c r="M1333">
        <v>1</v>
      </c>
      <c r="N1333">
        <v>1</v>
      </c>
      <c r="O1333">
        <v>0</v>
      </c>
      <c r="P1333">
        <v>102.81</v>
      </c>
      <c r="Q1333">
        <v>102.81</v>
      </c>
      <c r="W1333">
        <v>400046</v>
      </c>
      <c r="AE1333">
        <v>0</v>
      </c>
      <c r="AP1333" t="s">
        <v>407</v>
      </c>
    </row>
    <row r="1334" spans="1:42">
      <c r="A1334" s="1" t="s">
        <v>46</v>
      </c>
      <c r="B1334" s="1" t="s">
        <v>2813</v>
      </c>
      <c r="C1334" s="1" t="s">
        <v>2813</v>
      </c>
      <c r="E1334" s="4" t="s">
        <v>2814</v>
      </c>
      <c r="G1334" s="16"/>
      <c r="M1334">
        <v>1</v>
      </c>
      <c r="N1334">
        <v>5</v>
      </c>
      <c r="O1334">
        <v>0</v>
      </c>
      <c r="P1334">
        <v>3.1</v>
      </c>
      <c r="Q1334">
        <v>15.48</v>
      </c>
      <c r="W1334">
        <v>400046</v>
      </c>
      <c r="AE1334">
        <v>0</v>
      </c>
      <c r="AP1334" t="s">
        <v>407</v>
      </c>
    </row>
    <row r="1335" spans="1:42">
      <c r="A1335" s="1" t="s">
        <v>46</v>
      </c>
      <c r="B1335" s="1" t="s">
        <v>2815</v>
      </c>
      <c r="C1335" s="1" t="s">
        <v>2815</v>
      </c>
      <c r="E1335" s="4" t="s">
        <v>2816</v>
      </c>
      <c r="G1335" s="16"/>
      <c r="M1335">
        <v>1</v>
      </c>
      <c r="N1335">
        <v>9</v>
      </c>
      <c r="O1335">
        <v>0</v>
      </c>
      <c r="P1335">
        <v>3.1</v>
      </c>
      <c r="Q1335">
        <v>27.87</v>
      </c>
      <c r="W1335">
        <v>400046</v>
      </c>
      <c r="AE1335">
        <v>0</v>
      </c>
      <c r="AP1335" t="s">
        <v>407</v>
      </c>
    </row>
    <row r="1336" spans="1:42">
      <c r="A1336" s="1" t="s">
        <v>46</v>
      </c>
      <c r="B1336" s="1" t="s">
        <v>2817</v>
      </c>
      <c r="C1336" s="1" t="s">
        <v>2817</v>
      </c>
      <c r="E1336" s="4" t="s">
        <v>2818</v>
      </c>
      <c r="G1336" s="16"/>
      <c r="M1336">
        <v>1</v>
      </c>
      <c r="N1336">
        <v>2</v>
      </c>
      <c r="O1336">
        <v>0</v>
      </c>
      <c r="P1336">
        <v>116</v>
      </c>
      <c r="Q1336">
        <v>232</v>
      </c>
      <c r="R1336" t="s">
        <v>1147</v>
      </c>
      <c r="S1336">
        <v>0</v>
      </c>
      <c r="T1336" t="s">
        <v>52</v>
      </c>
      <c r="U1336">
        <v>0</v>
      </c>
      <c r="V1336">
        <v>0</v>
      </c>
      <c r="W1336">
        <v>400046</v>
      </c>
      <c r="AE1336">
        <v>0</v>
      </c>
      <c r="AP1336" t="s">
        <v>407</v>
      </c>
    </row>
    <row r="1337" spans="1:42">
      <c r="A1337" s="1" t="s">
        <v>46</v>
      </c>
      <c r="B1337" s="1" t="s">
        <v>2819</v>
      </c>
      <c r="C1337" s="1" t="s">
        <v>2819</v>
      </c>
      <c r="E1337" s="4" t="s">
        <v>2820</v>
      </c>
      <c r="G1337" s="16"/>
      <c r="M1337">
        <v>1</v>
      </c>
      <c r="N1337">
        <v>4</v>
      </c>
      <c r="O1337">
        <v>0</v>
      </c>
      <c r="P1337">
        <v>130.5</v>
      </c>
      <c r="Q1337">
        <v>522</v>
      </c>
      <c r="R1337" t="s">
        <v>1147</v>
      </c>
      <c r="S1337">
        <v>0</v>
      </c>
      <c r="T1337" t="s">
        <v>52</v>
      </c>
      <c r="U1337">
        <v>0</v>
      </c>
      <c r="V1337">
        <v>0</v>
      </c>
      <c r="W1337">
        <v>400046</v>
      </c>
      <c r="AE1337">
        <v>0</v>
      </c>
      <c r="AP1337" t="s">
        <v>407</v>
      </c>
    </row>
    <row r="1338" spans="1:42">
      <c r="A1338" s="1" t="s">
        <v>46</v>
      </c>
      <c r="B1338" s="1" t="s">
        <v>2821</v>
      </c>
      <c r="C1338" s="1" t="s">
        <v>2821</v>
      </c>
      <c r="E1338" s="4" t="s">
        <v>2822</v>
      </c>
      <c r="G1338" s="16">
        <v>0.2</v>
      </c>
      <c r="M1338">
        <v>1</v>
      </c>
      <c r="N1338">
        <v>1</v>
      </c>
      <c r="O1338">
        <v>0</v>
      </c>
      <c r="P1338">
        <v>148.62</v>
      </c>
      <c r="Q1338">
        <v>148.62</v>
      </c>
      <c r="R1338" t="s">
        <v>1147</v>
      </c>
      <c r="S1338">
        <v>0</v>
      </c>
      <c r="T1338" t="s">
        <v>52</v>
      </c>
      <c r="U1338">
        <v>0</v>
      </c>
      <c r="V1338">
        <v>0</v>
      </c>
      <c r="W1338">
        <v>400046</v>
      </c>
      <c r="AE1338">
        <v>0</v>
      </c>
      <c r="AP1338" t="s">
        <v>407</v>
      </c>
    </row>
    <row r="1339" spans="1:42">
      <c r="A1339" s="1" t="s">
        <v>46</v>
      </c>
      <c r="B1339" s="1" t="s">
        <v>2823</v>
      </c>
      <c r="C1339" s="1" t="s">
        <v>2823</v>
      </c>
      <c r="E1339" s="4" t="s">
        <v>2824</v>
      </c>
      <c r="G1339" s="16">
        <v>0.25</v>
      </c>
      <c r="M1339">
        <v>1</v>
      </c>
      <c r="N1339">
        <v>3</v>
      </c>
      <c r="O1339">
        <v>0</v>
      </c>
      <c r="P1339">
        <v>269.58999999999997</v>
      </c>
      <c r="Q1339">
        <v>808.77</v>
      </c>
      <c r="W1339">
        <v>400046</v>
      </c>
      <c r="AE1339">
        <v>0</v>
      </c>
      <c r="AP1339" t="s">
        <v>407</v>
      </c>
    </row>
    <row r="1340" spans="1:42">
      <c r="A1340" s="1" t="s">
        <v>46</v>
      </c>
      <c r="B1340" s="1" t="s">
        <v>2825</v>
      </c>
      <c r="C1340" s="1" t="s">
        <v>2825</v>
      </c>
      <c r="E1340" s="4" t="s">
        <v>2826</v>
      </c>
      <c r="G1340" s="16">
        <v>0.5</v>
      </c>
      <c r="M1340">
        <v>1</v>
      </c>
      <c r="N1340">
        <v>1</v>
      </c>
      <c r="O1340">
        <v>0</v>
      </c>
      <c r="P1340">
        <v>44.26</v>
      </c>
      <c r="Q1340">
        <v>44.26</v>
      </c>
      <c r="W1340">
        <v>400046</v>
      </c>
      <c r="AE1340">
        <v>0</v>
      </c>
      <c r="AP1340" t="s">
        <v>407</v>
      </c>
    </row>
    <row r="1341" spans="1:42">
      <c r="A1341" s="1" t="s">
        <v>46</v>
      </c>
      <c r="B1341" s="1" t="s">
        <v>2827</v>
      </c>
      <c r="C1341" s="1" t="s">
        <v>2827</v>
      </c>
      <c r="E1341" s="4" t="s">
        <v>2828</v>
      </c>
      <c r="G1341" s="16"/>
      <c r="M1341">
        <v>1</v>
      </c>
      <c r="N1341">
        <v>12</v>
      </c>
      <c r="O1341">
        <v>0</v>
      </c>
      <c r="P1341">
        <v>57.14</v>
      </c>
      <c r="Q1341">
        <v>685.64</v>
      </c>
      <c r="R1341" t="s">
        <v>1147</v>
      </c>
      <c r="S1341">
        <v>0</v>
      </c>
      <c r="T1341" t="s">
        <v>52</v>
      </c>
      <c r="U1341">
        <v>0</v>
      </c>
      <c r="V1341">
        <v>0</v>
      </c>
      <c r="W1341">
        <v>400046</v>
      </c>
      <c r="AE1341">
        <v>0</v>
      </c>
      <c r="AP1341" t="s">
        <v>407</v>
      </c>
    </row>
    <row r="1342" spans="1:42">
      <c r="A1342" s="1" t="s">
        <v>46</v>
      </c>
      <c r="B1342" s="1" t="s">
        <v>2829</v>
      </c>
      <c r="C1342" s="1" t="s">
        <v>2829</v>
      </c>
      <c r="E1342" s="4" t="s">
        <v>2830</v>
      </c>
      <c r="G1342" s="16"/>
      <c r="M1342">
        <v>1</v>
      </c>
      <c r="N1342">
        <v>120</v>
      </c>
      <c r="O1342">
        <v>0</v>
      </c>
      <c r="P1342">
        <v>104.62</v>
      </c>
      <c r="Q1342">
        <v>12554.4</v>
      </c>
      <c r="R1342" t="s">
        <v>2831</v>
      </c>
      <c r="S1342">
        <v>0</v>
      </c>
      <c r="T1342" t="s">
        <v>52</v>
      </c>
      <c r="U1342" t="s">
        <v>52</v>
      </c>
      <c r="V1342">
        <v>0</v>
      </c>
      <c r="W1342">
        <v>400046</v>
      </c>
      <c r="AE1342">
        <v>0</v>
      </c>
      <c r="AP1342" t="s">
        <v>407</v>
      </c>
    </row>
    <row r="1343" spans="1:42">
      <c r="A1343" s="1" t="s">
        <v>46</v>
      </c>
      <c r="B1343" s="1" t="s">
        <v>2832</v>
      </c>
      <c r="C1343" s="1" t="s">
        <v>2832</v>
      </c>
      <c r="E1343" s="4" t="s">
        <v>2833</v>
      </c>
      <c r="G1343" s="16"/>
      <c r="M1343">
        <v>1</v>
      </c>
      <c r="N1343">
        <v>3</v>
      </c>
      <c r="O1343">
        <v>0</v>
      </c>
      <c r="P1343">
        <v>59.45</v>
      </c>
      <c r="Q1343">
        <v>178.35</v>
      </c>
      <c r="R1343" t="s">
        <v>2831</v>
      </c>
      <c r="S1343">
        <v>0</v>
      </c>
      <c r="T1343" t="s">
        <v>52</v>
      </c>
      <c r="W1343">
        <v>400046</v>
      </c>
      <c r="AE1343">
        <v>0</v>
      </c>
      <c r="AP1343" t="s">
        <v>407</v>
      </c>
    </row>
    <row r="1344" spans="1:42">
      <c r="A1344" s="1" t="s">
        <v>46</v>
      </c>
      <c r="B1344" s="1" t="s">
        <v>2834</v>
      </c>
      <c r="C1344" s="1" t="s">
        <v>2834</v>
      </c>
      <c r="E1344" s="4" t="s">
        <v>2835</v>
      </c>
      <c r="G1344" s="16">
        <v>2.5</v>
      </c>
      <c r="M1344">
        <v>1</v>
      </c>
      <c r="N1344">
        <v>2</v>
      </c>
      <c r="O1344">
        <v>0</v>
      </c>
      <c r="P1344">
        <v>48</v>
      </c>
      <c r="Q1344">
        <v>96</v>
      </c>
      <c r="R1344" t="s">
        <v>2831</v>
      </c>
      <c r="S1344">
        <v>0</v>
      </c>
      <c r="T1344" t="s">
        <v>52</v>
      </c>
      <c r="W1344">
        <v>400046</v>
      </c>
      <c r="AE1344">
        <v>0</v>
      </c>
      <c r="AP1344" t="s">
        <v>407</v>
      </c>
    </row>
    <row r="1345" spans="1:42">
      <c r="A1345" s="1" t="s">
        <v>46</v>
      </c>
      <c r="B1345" s="1" t="s">
        <v>2836</v>
      </c>
      <c r="C1345" s="1" t="s">
        <v>2836</v>
      </c>
      <c r="E1345" s="4" t="s">
        <v>2837</v>
      </c>
      <c r="G1345" s="16">
        <v>0.15</v>
      </c>
      <c r="M1345">
        <v>1</v>
      </c>
      <c r="N1345">
        <v>38</v>
      </c>
      <c r="O1345">
        <v>0</v>
      </c>
      <c r="P1345">
        <v>167.48</v>
      </c>
      <c r="Q1345">
        <v>6364.05</v>
      </c>
      <c r="R1345" t="s">
        <v>2831</v>
      </c>
      <c r="S1345">
        <v>0</v>
      </c>
      <c r="T1345" t="s">
        <v>52</v>
      </c>
      <c r="U1345">
        <v>0</v>
      </c>
      <c r="V1345">
        <v>0</v>
      </c>
      <c r="W1345">
        <v>400046</v>
      </c>
      <c r="AE1345">
        <v>0</v>
      </c>
      <c r="AP1345" t="s">
        <v>407</v>
      </c>
    </row>
    <row r="1346" spans="1:42">
      <c r="A1346" s="1" t="s">
        <v>46</v>
      </c>
      <c r="B1346" s="1" t="s">
        <v>2838</v>
      </c>
      <c r="C1346" s="1" t="s">
        <v>2838</v>
      </c>
      <c r="E1346" s="4" t="s">
        <v>2839</v>
      </c>
      <c r="G1346" s="16">
        <v>5.5</v>
      </c>
      <c r="M1346">
        <v>1</v>
      </c>
      <c r="N1346">
        <v>1</v>
      </c>
      <c r="O1346">
        <v>0</v>
      </c>
      <c r="P1346">
        <v>83</v>
      </c>
      <c r="Q1346">
        <v>83</v>
      </c>
      <c r="W1346">
        <v>400120</v>
      </c>
      <c r="AE1346">
        <v>0</v>
      </c>
      <c r="AP1346" t="s">
        <v>468</v>
      </c>
    </row>
    <row r="1347" spans="1:42">
      <c r="A1347" s="1" t="s">
        <v>46</v>
      </c>
      <c r="B1347" s="1" t="s">
        <v>2840</v>
      </c>
      <c r="C1347" s="1" t="s">
        <v>2840</v>
      </c>
      <c r="E1347" s="4" t="s">
        <v>2841</v>
      </c>
      <c r="G1347" s="16">
        <v>1.65</v>
      </c>
      <c r="M1347">
        <v>1</v>
      </c>
      <c r="N1347">
        <v>1</v>
      </c>
      <c r="O1347">
        <v>0</v>
      </c>
      <c r="P1347">
        <v>140</v>
      </c>
      <c r="Q1347">
        <v>140</v>
      </c>
      <c r="R1347" t="s">
        <v>2842</v>
      </c>
      <c r="S1347">
        <v>0</v>
      </c>
      <c r="T1347" t="s">
        <v>52</v>
      </c>
      <c r="W1347">
        <v>400046</v>
      </c>
      <c r="AE1347">
        <v>0</v>
      </c>
      <c r="AP1347" t="s">
        <v>407</v>
      </c>
    </row>
    <row r="1348" spans="1:42">
      <c r="A1348" s="1" t="s">
        <v>46</v>
      </c>
      <c r="B1348" s="1" t="s">
        <v>2843</v>
      </c>
      <c r="C1348" s="1" t="s">
        <v>2843</v>
      </c>
      <c r="E1348" s="4" t="s">
        <v>2844</v>
      </c>
      <c r="G1348" s="16">
        <v>2</v>
      </c>
      <c r="M1348">
        <v>1</v>
      </c>
      <c r="N1348">
        <v>2</v>
      </c>
      <c r="O1348">
        <v>0</v>
      </c>
      <c r="P1348">
        <v>160</v>
      </c>
      <c r="Q1348">
        <v>320</v>
      </c>
      <c r="W1348">
        <v>400046</v>
      </c>
      <c r="AE1348">
        <v>0</v>
      </c>
      <c r="AP1348" t="s">
        <v>407</v>
      </c>
    </row>
    <row r="1349" spans="1:42">
      <c r="A1349" s="1" t="s">
        <v>46</v>
      </c>
      <c r="B1349" s="1" t="s">
        <v>2845</v>
      </c>
      <c r="C1349" s="1" t="s">
        <v>2845</v>
      </c>
      <c r="E1349" s="4" t="s">
        <v>2846</v>
      </c>
      <c r="G1349" s="16"/>
      <c r="M1349">
        <v>1</v>
      </c>
      <c r="N1349">
        <v>3</v>
      </c>
      <c r="O1349">
        <v>0</v>
      </c>
      <c r="P1349">
        <v>166.5</v>
      </c>
      <c r="Q1349">
        <v>499.5</v>
      </c>
      <c r="W1349">
        <v>400046</v>
      </c>
      <c r="AE1349">
        <v>0</v>
      </c>
      <c r="AP1349" t="s">
        <v>407</v>
      </c>
    </row>
    <row r="1350" spans="1:42">
      <c r="A1350" s="1" t="s">
        <v>46</v>
      </c>
      <c r="B1350" s="1" t="s">
        <v>2847</v>
      </c>
      <c r="C1350" s="1" t="s">
        <v>2847</v>
      </c>
      <c r="E1350" s="4" t="s">
        <v>2848</v>
      </c>
      <c r="G1350" s="16">
        <v>1.5</v>
      </c>
      <c r="M1350">
        <v>1</v>
      </c>
      <c r="N1350">
        <v>1</v>
      </c>
      <c r="O1350">
        <v>0</v>
      </c>
      <c r="P1350">
        <v>156</v>
      </c>
      <c r="Q1350">
        <v>156</v>
      </c>
      <c r="W1350">
        <v>400046</v>
      </c>
      <c r="AE1350">
        <v>0</v>
      </c>
      <c r="AP1350" t="s">
        <v>407</v>
      </c>
    </row>
    <row r="1351" spans="1:42">
      <c r="A1351" s="1" t="s">
        <v>46</v>
      </c>
      <c r="B1351" s="1" t="s">
        <v>2849</v>
      </c>
      <c r="C1351" s="1" t="s">
        <v>2849</v>
      </c>
      <c r="E1351" s="4" t="s">
        <v>2850</v>
      </c>
      <c r="G1351" s="16">
        <v>2</v>
      </c>
      <c r="M1351">
        <v>1</v>
      </c>
      <c r="N1351">
        <v>0</v>
      </c>
      <c r="O1351">
        <v>0</v>
      </c>
      <c r="P1351">
        <v>180</v>
      </c>
      <c r="Q1351">
        <v>0</v>
      </c>
      <c r="W1351">
        <v>400046</v>
      </c>
      <c r="AE1351">
        <v>0</v>
      </c>
      <c r="AP1351" t="s">
        <v>407</v>
      </c>
    </row>
    <row r="1352" spans="1:42">
      <c r="A1352" s="1" t="s">
        <v>46</v>
      </c>
      <c r="B1352" s="1" t="s">
        <v>2851</v>
      </c>
      <c r="C1352" s="1" t="s">
        <v>2851</v>
      </c>
      <c r="E1352" s="4" t="s">
        <v>2852</v>
      </c>
      <c r="G1352" s="16">
        <v>2.75</v>
      </c>
      <c r="M1352">
        <v>1</v>
      </c>
      <c r="N1352">
        <v>1</v>
      </c>
      <c r="O1352">
        <v>0</v>
      </c>
      <c r="P1352">
        <v>187</v>
      </c>
      <c r="Q1352">
        <v>187</v>
      </c>
      <c r="W1352">
        <v>400046</v>
      </c>
      <c r="AE1352">
        <v>0</v>
      </c>
      <c r="AP1352" t="s">
        <v>407</v>
      </c>
    </row>
    <row r="1353" spans="1:42">
      <c r="A1353" s="1" t="s">
        <v>46</v>
      </c>
      <c r="B1353" s="1" t="s">
        <v>2853</v>
      </c>
      <c r="C1353" s="1" t="s">
        <v>2853</v>
      </c>
      <c r="E1353" s="4" t="s">
        <v>2854</v>
      </c>
      <c r="G1353" s="16"/>
      <c r="M1353">
        <v>1</v>
      </c>
      <c r="N1353">
        <v>220</v>
      </c>
      <c r="O1353">
        <v>0</v>
      </c>
      <c r="P1353">
        <v>0.95</v>
      </c>
      <c r="Q1353">
        <v>209</v>
      </c>
      <c r="R1353">
        <v>0</v>
      </c>
      <c r="S1353">
        <v>0</v>
      </c>
      <c r="T1353">
        <v>0</v>
      </c>
      <c r="W1353">
        <v>400139</v>
      </c>
      <c r="AE1353">
        <v>0</v>
      </c>
      <c r="AP1353" t="s">
        <v>1233</v>
      </c>
    </row>
    <row r="1354" spans="1:42">
      <c r="A1354" s="1" t="s">
        <v>46</v>
      </c>
      <c r="B1354" s="1" t="s">
        <v>2855</v>
      </c>
      <c r="C1354" s="1" t="s">
        <v>2855</v>
      </c>
      <c r="E1354" s="4" t="s">
        <v>2856</v>
      </c>
      <c r="G1354" s="16"/>
      <c r="M1354">
        <v>1</v>
      </c>
      <c r="N1354">
        <v>1100</v>
      </c>
      <c r="O1354">
        <v>0</v>
      </c>
      <c r="P1354">
        <v>0.2</v>
      </c>
      <c r="Q1354">
        <v>220</v>
      </c>
      <c r="W1354">
        <v>400139</v>
      </c>
      <c r="AE1354">
        <v>0</v>
      </c>
      <c r="AP1354" t="s">
        <v>1233</v>
      </c>
    </row>
    <row r="1355" spans="1:42">
      <c r="A1355" s="1" t="s">
        <v>46</v>
      </c>
      <c r="B1355" s="1" t="s">
        <v>2857</v>
      </c>
      <c r="C1355" s="1" t="s">
        <v>2857</v>
      </c>
      <c r="E1355" s="4" t="s">
        <v>2858</v>
      </c>
      <c r="G1355" s="16"/>
      <c r="M1355">
        <v>1</v>
      </c>
      <c r="N1355">
        <v>2</v>
      </c>
      <c r="O1355">
        <v>0</v>
      </c>
      <c r="P1355">
        <v>285.14</v>
      </c>
      <c r="Q1355">
        <v>570.27</v>
      </c>
      <c r="W1355">
        <v>400160</v>
      </c>
      <c r="AE1355">
        <v>0</v>
      </c>
      <c r="AP1355" t="s">
        <v>201</v>
      </c>
    </row>
    <row r="1356" spans="1:42">
      <c r="A1356" s="1" t="s">
        <v>46</v>
      </c>
      <c r="B1356" s="1" t="s">
        <v>2859</v>
      </c>
      <c r="C1356" s="1" t="s">
        <v>2859</v>
      </c>
      <c r="E1356" s="4" t="s">
        <v>2860</v>
      </c>
      <c r="G1356" s="16">
        <v>1</v>
      </c>
      <c r="M1356">
        <v>1</v>
      </c>
      <c r="N1356">
        <v>2</v>
      </c>
      <c r="O1356">
        <v>0</v>
      </c>
      <c r="P1356">
        <v>427.71</v>
      </c>
      <c r="Q1356">
        <v>855.41</v>
      </c>
      <c r="W1356">
        <v>400160</v>
      </c>
      <c r="AE1356">
        <v>0</v>
      </c>
      <c r="AP1356" t="s">
        <v>201</v>
      </c>
    </row>
    <row r="1357" spans="1:42">
      <c r="A1357" s="1" t="s">
        <v>46</v>
      </c>
      <c r="B1357" s="1" t="s">
        <v>2861</v>
      </c>
      <c r="C1357" s="1" t="s">
        <v>2861</v>
      </c>
      <c r="E1357" s="4" t="s">
        <v>2862</v>
      </c>
      <c r="G1357" s="16">
        <v>1</v>
      </c>
      <c r="M1357">
        <v>1</v>
      </c>
      <c r="N1357">
        <v>14</v>
      </c>
      <c r="O1357">
        <v>0</v>
      </c>
      <c r="P1357">
        <v>132.63</v>
      </c>
      <c r="Q1357">
        <v>1856.82</v>
      </c>
      <c r="R1357" t="s">
        <v>1142</v>
      </c>
      <c r="S1357">
        <v>0</v>
      </c>
      <c r="T1357" t="s">
        <v>52</v>
      </c>
      <c r="W1357">
        <v>400160</v>
      </c>
      <c r="AE1357">
        <v>0</v>
      </c>
      <c r="AP1357" t="s">
        <v>201</v>
      </c>
    </row>
    <row r="1358" spans="1:42">
      <c r="A1358" s="1" t="s">
        <v>46</v>
      </c>
      <c r="B1358" s="1" t="s">
        <v>2863</v>
      </c>
      <c r="C1358" s="1" t="s">
        <v>2863</v>
      </c>
      <c r="E1358" s="4" t="s">
        <v>2864</v>
      </c>
      <c r="G1358" s="16">
        <v>1</v>
      </c>
      <c r="M1358">
        <v>1</v>
      </c>
      <c r="N1358">
        <v>1</v>
      </c>
      <c r="O1358">
        <v>0</v>
      </c>
      <c r="P1358">
        <v>187.12</v>
      </c>
      <c r="Q1358">
        <v>187.12</v>
      </c>
      <c r="W1358">
        <v>400126</v>
      </c>
      <c r="AE1358">
        <v>0</v>
      </c>
      <c r="AP1358" t="s">
        <v>277</v>
      </c>
    </row>
    <row r="1359" spans="1:42">
      <c r="A1359" s="1" t="s">
        <v>46</v>
      </c>
      <c r="B1359" s="1" t="s">
        <v>2865</v>
      </c>
      <c r="C1359" s="1" t="s">
        <v>2865</v>
      </c>
      <c r="E1359" s="4" t="s">
        <v>2866</v>
      </c>
      <c r="G1359" s="16">
        <v>1</v>
      </c>
      <c r="M1359">
        <v>1</v>
      </c>
      <c r="N1359">
        <v>7</v>
      </c>
      <c r="O1359">
        <v>0</v>
      </c>
      <c r="P1359">
        <v>34</v>
      </c>
      <c r="Q1359">
        <v>237.98</v>
      </c>
      <c r="R1359" t="s">
        <v>1142</v>
      </c>
      <c r="S1359">
        <v>0</v>
      </c>
      <c r="T1359" t="s">
        <v>52</v>
      </c>
      <c r="W1359">
        <v>400160</v>
      </c>
      <c r="AE1359">
        <v>0</v>
      </c>
      <c r="AP1359" t="s">
        <v>201</v>
      </c>
    </row>
    <row r="1360" spans="1:42">
      <c r="A1360" s="1" t="s">
        <v>46</v>
      </c>
      <c r="B1360" s="1" t="s">
        <v>2867</v>
      </c>
      <c r="C1360" s="1" t="s">
        <v>2867</v>
      </c>
      <c r="E1360" s="4" t="s">
        <v>2868</v>
      </c>
      <c r="G1360" s="16">
        <v>1.75</v>
      </c>
      <c r="M1360">
        <v>1</v>
      </c>
      <c r="N1360">
        <v>62</v>
      </c>
      <c r="O1360">
        <v>0</v>
      </c>
      <c r="P1360">
        <v>47</v>
      </c>
      <c r="Q1360">
        <v>2914</v>
      </c>
      <c r="R1360" t="s">
        <v>1142</v>
      </c>
      <c r="S1360">
        <v>0</v>
      </c>
      <c r="T1360" t="s">
        <v>52</v>
      </c>
      <c r="U1360">
        <v>0</v>
      </c>
      <c r="V1360">
        <v>0</v>
      </c>
      <c r="W1360">
        <v>400045</v>
      </c>
      <c r="X1360" t="s">
        <v>56</v>
      </c>
      <c r="Y1360" t="s">
        <v>57</v>
      </c>
      <c r="AE1360">
        <v>0</v>
      </c>
      <c r="AP1360" t="s">
        <v>217</v>
      </c>
    </row>
    <row r="1361" spans="1:42">
      <c r="A1361" s="1" t="s">
        <v>46</v>
      </c>
      <c r="B1361" s="1" t="s">
        <v>2869</v>
      </c>
      <c r="C1361" s="1" t="s">
        <v>2869</v>
      </c>
      <c r="E1361" s="4" t="s">
        <v>2870</v>
      </c>
      <c r="G1361" s="16">
        <v>1.75</v>
      </c>
      <c r="M1361">
        <v>1</v>
      </c>
      <c r="N1361">
        <v>9</v>
      </c>
      <c r="O1361">
        <v>0</v>
      </c>
      <c r="P1361">
        <v>178.21</v>
      </c>
      <c r="Q1361">
        <v>1603.89</v>
      </c>
      <c r="R1361" t="s">
        <v>1142</v>
      </c>
      <c r="S1361">
        <v>0</v>
      </c>
      <c r="T1361" t="s">
        <v>52</v>
      </c>
      <c r="W1361">
        <v>400160</v>
      </c>
      <c r="AE1361">
        <v>0</v>
      </c>
      <c r="AP1361" t="s">
        <v>201</v>
      </c>
    </row>
    <row r="1362" spans="1:42">
      <c r="A1362" s="1" t="s">
        <v>46</v>
      </c>
      <c r="B1362" s="1" t="s">
        <v>2871</v>
      </c>
      <c r="C1362" s="1" t="s">
        <v>2871</v>
      </c>
      <c r="E1362" s="4" t="s">
        <v>2872</v>
      </c>
      <c r="G1362" s="16"/>
      <c r="M1362">
        <v>1</v>
      </c>
      <c r="N1362">
        <v>1</v>
      </c>
      <c r="O1362">
        <v>0</v>
      </c>
      <c r="P1362">
        <v>171.36</v>
      </c>
      <c r="Q1362">
        <v>171.36</v>
      </c>
      <c r="R1362" t="s">
        <v>1142</v>
      </c>
      <c r="S1362">
        <v>0</v>
      </c>
      <c r="T1362" t="s">
        <v>52</v>
      </c>
      <c r="W1362">
        <v>400160</v>
      </c>
      <c r="AE1362">
        <v>0</v>
      </c>
      <c r="AP1362" t="s">
        <v>201</v>
      </c>
    </row>
    <row r="1363" spans="1:42">
      <c r="A1363" s="1" t="s">
        <v>46</v>
      </c>
      <c r="B1363" s="1" t="s">
        <v>2873</v>
      </c>
      <c r="C1363" s="1" t="s">
        <v>2873</v>
      </c>
      <c r="E1363" s="4" t="s">
        <v>2874</v>
      </c>
      <c r="G1363" s="16">
        <v>3</v>
      </c>
      <c r="M1363">
        <v>1</v>
      </c>
      <c r="N1363">
        <v>7</v>
      </c>
      <c r="O1363">
        <v>0</v>
      </c>
      <c r="P1363">
        <v>98.7</v>
      </c>
      <c r="Q1363">
        <v>690.91</v>
      </c>
      <c r="R1363" t="s">
        <v>1142</v>
      </c>
      <c r="S1363">
        <v>0</v>
      </c>
      <c r="T1363" t="s">
        <v>52</v>
      </c>
      <c r="W1363">
        <v>400160</v>
      </c>
      <c r="AE1363">
        <v>0</v>
      </c>
      <c r="AP1363" t="s">
        <v>201</v>
      </c>
    </row>
    <row r="1364" spans="1:42">
      <c r="A1364" s="1" t="s">
        <v>46</v>
      </c>
      <c r="B1364" s="1" t="s">
        <v>2875</v>
      </c>
      <c r="C1364" s="1" t="s">
        <v>2875</v>
      </c>
      <c r="E1364" s="4" t="s">
        <v>2876</v>
      </c>
      <c r="G1364" s="16"/>
      <c r="M1364">
        <v>1</v>
      </c>
      <c r="N1364">
        <v>5</v>
      </c>
      <c r="O1364">
        <v>0</v>
      </c>
      <c r="P1364">
        <v>143.94</v>
      </c>
      <c r="Q1364">
        <v>719.7</v>
      </c>
      <c r="R1364" t="s">
        <v>1142</v>
      </c>
      <c r="S1364">
        <v>0</v>
      </c>
      <c r="T1364" t="s">
        <v>52</v>
      </c>
      <c r="W1364">
        <v>400045</v>
      </c>
      <c r="AE1364">
        <v>0</v>
      </c>
      <c r="AP1364" t="s">
        <v>217</v>
      </c>
    </row>
    <row r="1365" spans="1:42">
      <c r="A1365" s="1" t="s">
        <v>46</v>
      </c>
      <c r="B1365" s="1" t="s">
        <v>2877</v>
      </c>
      <c r="C1365" s="1" t="s">
        <v>2877</v>
      </c>
      <c r="E1365" s="4" t="s">
        <v>2878</v>
      </c>
      <c r="G1365" s="16"/>
      <c r="M1365">
        <v>1</v>
      </c>
      <c r="N1365">
        <v>4</v>
      </c>
      <c r="O1365">
        <v>0</v>
      </c>
      <c r="P1365">
        <v>221.05</v>
      </c>
      <c r="Q1365">
        <v>884.2</v>
      </c>
      <c r="R1365" t="s">
        <v>1142</v>
      </c>
      <c r="S1365">
        <v>0</v>
      </c>
      <c r="T1365" t="s">
        <v>52</v>
      </c>
      <c r="W1365">
        <v>400160</v>
      </c>
      <c r="AE1365">
        <v>0</v>
      </c>
      <c r="AP1365" t="s">
        <v>201</v>
      </c>
    </row>
    <row r="1366" spans="1:42">
      <c r="A1366" s="1" t="s">
        <v>46</v>
      </c>
      <c r="B1366" s="1" t="s">
        <v>2879</v>
      </c>
      <c r="C1366" s="1" t="s">
        <v>2879</v>
      </c>
      <c r="E1366" s="4" t="s">
        <v>2880</v>
      </c>
      <c r="G1366" s="16"/>
      <c r="I1366">
        <v>1.05</v>
      </c>
      <c r="M1366">
        <v>1</v>
      </c>
      <c r="N1366">
        <v>-34</v>
      </c>
      <c r="O1366">
        <v>0</v>
      </c>
      <c r="P1366">
        <v>4.28</v>
      </c>
      <c r="Q1366">
        <v>-145.66</v>
      </c>
      <c r="R1366" t="s">
        <v>172</v>
      </c>
      <c r="S1366">
        <v>0</v>
      </c>
      <c r="T1366" t="s">
        <v>209</v>
      </c>
      <c r="U1366">
        <v>0</v>
      </c>
      <c r="V1366">
        <v>0</v>
      </c>
      <c r="W1366">
        <v>400166</v>
      </c>
      <c r="AE1366">
        <v>0</v>
      </c>
      <c r="AH1366">
        <v>1.05</v>
      </c>
      <c r="AP1366" t="s">
        <v>540</v>
      </c>
    </row>
    <row r="1367" spans="1:42">
      <c r="A1367" s="1" t="s">
        <v>46</v>
      </c>
      <c r="B1367" s="1" t="s">
        <v>2881</v>
      </c>
      <c r="C1367" s="1" t="s">
        <v>2881</v>
      </c>
      <c r="E1367" s="4" t="s">
        <v>2882</v>
      </c>
      <c r="G1367" s="16"/>
      <c r="M1367">
        <v>1</v>
      </c>
      <c r="N1367">
        <v>25</v>
      </c>
      <c r="O1367">
        <v>0</v>
      </c>
      <c r="P1367">
        <v>259.08999999999997</v>
      </c>
      <c r="Q1367">
        <v>6477.27</v>
      </c>
      <c r="R1367" t="s">
        <v>1142</v>
      </c>
      <c r="S1367">
        <v>0</v>
      </c>
      <c r="T1367" t="s">
        <v>52</v>
      </c>
      <c r="W1367">
        <v>400160</v>
      </c>
      <c r="AE1367">
        <v>0</v>
      </c>
      <c r="AP1367" t="s">
        <v>201</v>
      </c>
    </row>
    <row r="1368" spans="1:42">
      <c r="A1368" s="1" t="s">
        <v>46</v>
      </c>
      <c r="B1368" s="1" t="s">
        <v>2883</v>
      </c>
      <c r="C1368" s="1" t="s">
        <v>2883</v>
      </c>
      <c r="E1368" s="4" t="s">
        <v>2884</v>
      </c>
      <c r="G1368" s="16">
        <v>1.5</v>
      </c>
      <c r="M1368">
        <v>1</v>
      </c>
      <c r="N1368">
        <v>6</v>
      </c>
      <c r="O1368">
        <v>0</v>
      </c>
      <c r="P1368">
        <v>402.48</v>
      </c>
      <c r="Q1368">
        <v>2414.89</v>
      </c>
      <c r="R1368" t="s">
        <v>1142</v>
      </c>
      <c r="S1368">
        <v>0</v>
      </c>
      <c r="T1368" t="s">
        <v>52</v>
      </c>
      <c r="W1368">
        <v>400160</v>
      </c>
      <c r="AE1368">
        <v>0</v>
      </c>
      <c r="AP1368" t="s">
        <v>201</v>
      </c>
    </row>
    <row r="1369" spans="1:42">
      <c r="A1369" s="1" t="s">
        <v>46</v>
      </c>
      <c r="B1369" s="1" t="s">
        <v>2885</v>
      </c>
      <c r="C1369" s="1" t="s">
        <v>2885</v>
      </c>
      <c r="E1369" s="4" t="s">
        <v>2886</v>
      </c>
      <c r="G1369" s="16">
        <v>2</v>
      </c>
      <c r="M1369">
        <v>1</v>
      </c>
      <c r="N1369">
        <v>1</v>
      </c>
      <c r="O1369">
        <v>0</v>
      </c>
      <c r="P1369">
        <v>619.97</v>
      </c>
      <c r="Q1369">
        <v>619.97</v>
      </c>
      <c r="W1369">
        <v>400160</v>
      </c>
      <c r="AE1369">
        <v>0</v>
      </c>
      <c r="AP1369" t="s">
        <v>201</v>
      </c>
    </row>
    <row r="1370" spans="1:42">
      <c r="A1370" s="1" t="s">
        <v>46</v>
      </c>
      <c r="B1370" s="1" t="s">
        <v>2887</v>
      </c>
      <c r="C1370" s="1" t="s">
        <v>2887</v>
      </c>
      <c r="E1370" s="4" t="s">
        <v>2888</v>
      </c>
      <c r="G1370" s="16">
        <v>1.35</v>
      </c>
      <c r="M1370">
        <v>1</v>
      </c>
      <c r="N1370">
        <v>3</v>
      </c>
      <c r="O1370">
        <v>0</v>
      </c>
      <c r="P1370">
        <v>290.95999999999998</v>
      </c>
      <c r="Q1370">
        <v>872.89</v>
      </c>
      <c r="W1370">
        <v>400160</v>
      </c>
      <c r="AE1370">
        <v>0</v>
      </c>
      <c r="AP1370" t="s">
        <v>201</v>
      </c>
    </row>
    <row r="1371" spans="1:42">
      <c r="A1371" s="1" t="s">
        <v>46</v>
      </c>
      <c r="B1371" s="1" t="s">
        <v>2889</v>
      </c>
      <c r="C1371" s="1" t="s">
        <v>2889</v>
      </c>
      <c r="E1371" s="4" t="s">
        <v>2890</v>
      </c>
      <c r="G1371" s="16">
        <v>1.35</v>
      </c>
      <c r="M1371">
        <v>1</v>
      </c>
      <c r="N1371">
        <v>1</v>
      </c>
      <c r="O1371">
        <v>0</v>
      </c>
      <c r="P1371">
        <v>285.14</v>
      </c>
      <c r="Q1371">
        <v>285.14</v>
      </c>
      <c r="R1371" t="s">
        <v>1142</v>
      </c>
      <c r="S1371">
        <v>0</v>
      </c>
      <c r="T1371" t="s">
        <v>52</v>
      </c>
      <c r="W1371">
        <v>400126</v>
      </c>
      <c r="AE1371">
        <v>0</v>
      </c>
      <c r="AP1371" t="s">
        <v>277</v>
      </c>
    </row>
    <row r="1372" spans="1:42">
      <c r="A1372" s="1" t="s">
        <v>46</v>
      </c>
      <c r="B1372" s="1" t="s">
        <v>2891</v>
      </c>
      <c r="C1372" s="1" t="s">
        <v>2891</v>
      </c>
      <c r="E1372" s="4" t="s">
        <v>2892</v>
      </c>
      <c r="G1372" s="16">
        <v>1.5</v>
      </c>
      <c r="M1372">
        <v>1</v>
      </c>
      <c r="N1372">
        <v>1</v>
      </c>
      <c r="O1372">
        <v>0</v>
      </c>
      <c r="P1372">
        <v>100.76</v>
      </c>
      <c r="Q1372">
        <v>100.76</v>
      </c>
      <c r="R1372" t="s">
        <v>1142</v>
      </c>
      <c r="S1372">
        <v>0</v>
      </c>
      <c r="T1372" t="s">
        <v>52</v>
      </c>
      <c r="W1372">
        <v>400160</v>
      </c>
      <c r="AE1372">
        <v>0</v>
      </c>
      <c r="AP1372" t="s">
        <v>201</v>
      </c>
    </row>
    <row r="1373" spans="1:42">
      <c r="A1373" s="1" t="s">
        <v>46</v>
      </c>
      <c r="B1373" s="1" t="s">
        <v>2893</v>
      </c>
      <c r="C1373" s="1" t="s">
        <v>2893</v>
      </c>
      <c r="E1373" s="4" t="s">
        <v>2894</v>
      </c>
      <c r="G1373" s="16">
        <v>1.5</v>
      </c>
      <c r="M1373">
        <v>1</v>
      </c>
      <c r="N1373">
        <v>1</v>
      </c>
      <c r="O1373">
        <v>0</v>
      </c>
      <c r="P1373">
        <v>1014.43</v>
      </c>
      <c r="Q1373">
        <v>1014.43</v>
      </c>
      <c r="R1373">
        <v>0</v>
      </c>
      <c r="S1373">
        <v>0</v>
      </c>
      <c r="T1373" t="s">
        <v>52</v>
      </c>
      <c r="W1373">
        <v>400160</v>
      </c>
      <c r="AE1373">
        <v>0</v>
      </c>
      <c r="AP1373" t="s">
        <v>201</v>
      </c>
    </row>
    <row r="1374" spans="1:42">
      <c r="A1374" s="1" t="s">
        <v>46</v>
      </c>
      <c r="B1374" s="1" t="s">
        <v>2895</v>
      </c>
      <c r="C1374" s="1" t="s">
        <v>2895</v>
      </c>
      <c r="E1374" s="4" t="s">
        <v>2896</v>
      </c>
      <c r="G1374" s="16"/>
      <c r="M1374">
        <v>1</v>
      </c>
      <c r="N1374">
        <v>1</v>
      </c>
      <c r="O1374">
        <v>0</v>
      </c>
      <c r="P1374">
        <v>180</v>
      </c>
      <c r="Q1374">
        <v>180</v>
      </c>
      <c r="W1374">
        <v>400046</v>
      </c>
      <c r="AE1374">
        <v>0</v>
      </c>
      <c r="AP1374" t="s">
        <v>407</v>
      </c>
    </row>
    <row r="1375" spans="1:42">
      <c r="A1375" s="1" t="s">
        <v>46</v>
      </c>
      <c r="B1375" s="1" t="s">
        <v>2897</v>
      </c>
      <c r="C1375" s="1" t="s">
        <v>2897</v>
      </c>
      <c r="E1375" s="4" t="s">
        <v>2898</v>
      </c>
      <c r="G1375" s="16"/>
      <c r="M1375">
        <v>1</v>
      </c>
      <c r="N1375">
        <v>2</v>
      </c>
      <c r="O1375">
        <v>0</v>
      </c>
      <c r="P1375">
        <v>220</v>
      </c>
      <c r="Q1375">
        <v>440</v>
      </c>
      <c r="W1375">
        <v>400046</v>
      </c>
      <c r="AE1375">
        <v>0</v>
      </c>
      <c r="AP1375" t="s">
        <v>407</v>
      </c>
    </row>
    <row r="1376" spans="1:42">
      <c r="A1376" s="1" t="s">
        <v>46</v>
      </c>
      <c r="B1376" s="1" t="s">
        <v>2899</v>
      </c>
      <c r="C1376" s="1" t="s">
        <v>2899</v>
      </c>
      <c r="E1376" s="4" t="s">
        <v>2900</v>
      </c>
      <c r="G1376" s="16"/>
      <c r="M1376">
        <v>1</v>
      </c>
      <c r="N1376">
        <v>1</v>
      </c>
      <c r="O1376">
        <v>0</v>
      </c>
      <c r="P1376">
        <v>340</v>
      </c>
      <c r="Q1376">
        <v>340</v>
      </c>
      <c r="W1376">
        <v>400046</v>
      </c>
      <c r="AE1376">
        <v>0</v>
      </c>
      <c r="AP1376" t="s">
        <v>407</v>
      </c>
    </row>
    <row r="1377" spans="1:42">
      <c r="A1377" s="1" t="s">
        <v>46</v>
      </c>
      <c r="B1377" s="1" t="s">
        <v>2901</v>
      </c>
      <c r="C1377" s="1" t="s">
        <v>2901</v>
      </c>
      <c r="E1377" s="4" t="s">
        <v>2902</v>
      </c>
      <c r="G1377" s="16"/>
      <c r="M1377">
        <v>1</v>
      </c>
      <c r="N1377">
        <v>1</v>
      </c>
      <c r="O1377">
        <v>0</v>
      </c>
      <c r="P1377">
        <v>1350</v>
      </c>
      <c r="Q1377">
        <v>1350</v>
      </c>
      <c r="R1377">
        <v>0</v>
      </c>
      <c r="S1377">
        <v>0</v>
      </c>
      <c r="T1377">
        <v>0</v>
      </c>
      <c r="W1377">
        <v>400046</v>
      </c>
      <c r="AE1377">
        <v>0</v>
      </c>
      <c r="AP1377" t="s">
        <v>407</v>
      </c>
    </row>
    <row r="1378" spans="1:42">
      <c r="A1378" s="1" t="s">
        <v>46</v>
      </c>
      <c r="B1378" s="1" t="s">
        <v>2903</v>
      </c>
      <c r="C1378" s="1" t="s">
        <v>2903</v>
      </c>
      <c r="E1378" s="4" t="s">
        <v>2904</v>
      </c>
      <c r="G1378" s="16"/>
      <c r="M1378">
        <v>1</v>
      </c>
      <c r="N1378">
        <v>1</v>
      </c>
      <c r="O1378">
        <v>0</v>
      </c>
      <c r="P1378">
        <v>255</v>
      </c>
      <c r="Q1378">
        <v>255</v>
      </c>
      <c r="W1378">
        <v>400046</v>
      </c>
      <c r="AE1378">
        <v>0</v>
      </c>
      <c r="AP1378" t="s">
        <v>407</v>
      </c>
    </row>
    <row r="1379" spans="1:42">
      <c r="A1379" s="1" t="s">
        <v>46</v>
      </c>
      <c r="B1379" s="1" t="s">
        <v>2905</v>
      </c>
      <c r="C1379" s="1" t="s">
        <v>2905</v>
      </c>
      <c r="E1379" s="4" t="s">
        <v>2906</v>
      </c>
      <c r="G1379" s="16"/>
      <c r="M1379">
        <v>1</v>
      </c>
      <c r="N1379">
        <v>110</v>
      </c>
      <c r="O1379">
        <v>0</v>
      </c>
      <c r="P1379">
        <v>9.3000000000000007</v>
      </c>
      <c r="Q1379">
        <v>1023.22</v>
      </c>
      <c r="W1379">
        <v>400046</v>
      </c>
      <c r="AE1379">
        <v>0</v>
      </c>
      <c r="AP1379" t="s">
        <v>407</v>
      </c>
    </row>
    <row r="1380" spans="1:42">
      <c r="A1380" s="1" t="s">
        <v>46</v>
      </c>
      <c r="B1380" s="1" t="s">
        <v>2907</v>
      </c>
      <c r="C1380" s="1" t="s">
        <v>2907</v>
      </c>
      <c r="E1380" s="4" t="s">
        <v>2908</v>
      </c>
      <c r="G1380" s="16"/>
      <c r="M1380">
        <v>1</v>
      </c>
      <c r="N1380">
        <v>3</v>
      </c>
      <c r="O1380">
        <v>0</v>
      </c>
      <c r="P1380">
        <v>29.17</v>
      </c>
      <c r="Q1380">
        <v>87.51</v>
      </c>
      <c r="R1380">
        <v>0</v>
      </c>
      <c r="S1380">
        <v>0</v>
      </c>
      <c r="T1380" t="s">
        <v>52</v>
      </c>
      <c r="U1380">
        <v>0</v>
      </c>
      <c r="V1380">
        <v>0</v>
      </c>
      <c r="W1380">
        <v>400032</v>
      </c>
      <c r="X1380" t="s">
        <v>56</v>
      </c>
      <c r="Y1380" t="s">
        <v>57</v>
      </c>
      <c r="AE1380">
        <v>0</v>
      </c>
      <c r="AP1380" t="s">
        <v>404</v>
      </c>
    </row>
    <row r="1381" spans="1:42">
      <c r="A1381" s="1" t="s">
        <v>46</v>
      </c>
      <c r="B1381" s="1" t="s">
        <v>2909</v>
      </c>
      <c r="C1381" s="1" t="s">
        <v>2909</v>
      </c>
      <c r="E1381" s="4" t="s">
        <v>2910</v>
      </c>
      <c r="G1381" s="16"/>
      <c r="M1381">
        <v>1</v>
      </c>
      <c r="N1381">
        <v>100</v>
      </c>
      <c r="O1381">
        <v>0</v>
      </c>
      <c r="P1381">
        <v>3.75</v>
      </c>
      <c r="Q1381">
        <v>375</v>
      </c>
      <c r="R1381">
        <v>0</v>
      </c>
      <c r="S1381">
        <v>0</v>
      </c>
      <c r="T1381" t="s">
        <v>17</v>
      </c>
      <c r="U1381">
        <v>0</v>
      </c>
      <c r="V1381">
        <v>0</v>
      </c>
      <c r="W1381">
        <v>400080</v>
      </c>
      <c r="X1381" t="s">
        <v>56</v>
      </c>
      <c r="Y1381" t="s">
        <v>57</v>
      </c>
      <c r="AE1381">
        <v>0</v>
      </c>
      <c r="AP1381" t="s">
        <v>696</v>
      </c>
    </row>
    <row r="1382" spans="1:42">
      <c r="A1382" s="1" t="s">
        <v>46</v>
      </c>
      <c r="B1382" s="1" t="s">
        <v>2911</v>
      </c>
      <c r="C1382" s="1" t="s">
        <v>2911</v>
      </c>
      <c r="E1382" s="4" t="s">
        <v>2912</v>
      </c>
      <c r="G1382" s="16"/>
      <c r="M1382">
        <v>1</v>
      </c>
      <c r="N1382">
        <v>2</v>
      </c>
      <c r="O1382">
        <v>0</v>
      </c>
      <c r="P1382">
        <v>60</v>
      </c>
      <c r="Q1382">
        <v>120</v>
      </c>
      <c r="W1382">
        <v>400046</v>
      </c>
      <c r="AE1382">
        <v>0</v>
      </c>
      <c r="AP1382" t="s">
        <v>407</v>
      </c>
    </row>
    <row r="1383" spans="1:42">
      <c r="A1383" s="1" t="s">
        <v>46</v>
      </c>
      <c r="B1383" s="1" t="s">
        <v>2913</v>
      </c>
      <c r="C1383" s="1" t="s">
        <v>2913</v>
      </c>
      <c r="E1383" s="4" t="s">
        <v>2914</v>
      </c>
      <c r="G1383" s="16"/>
      <c r="M1383">
        <v>1</v>
      </c>
      <c r="N1383">
        <v>1</v>
      </c>
      <c r="O1383">
        <v>0</v>
      </c>
      <c r="P1383">
        <v>88</v>
      </c>
      <c r="Q1383">
        <v>88</v>
      </c>
      <c r="W1383">
        <v>400046</v>
      </c>
      <c r="AE1383">
        <v>0</v>
      </c>
      <c r="AP1383" t="s">
        <v>407</v>
      </c>
    </row>
    <row r="1384" spans="1:42">
      <c r="A1384" s="1" t="s">
        <v>46</v>
      </c>
      <c r="B1384" s="1" t="s">
        <v>2915</v>
      </c>
      <c r="C1384" s="1" t="s">
        <v>2915</v>
      </c>
      <c r="E1384" s="4" t="s">
        <v>2916</v>
      </c>
      <c r="G1384" s="16"/>
      <c r="M1384">
        <v>1</v>
      </c>
      <c r="N1384">
        <v>3</v>
      </c>
      <c r="O1384">
        <v>0</v>
      </c>
      <c r="P1384">
        <v>53.01</v>
      </c>
      <c r="Q1384">
        <v>159.03</v>
      </c>
      <c r="R1384" t="s">
        <v>2831</v>
      </c>
      <c r="S1384">
        <v>0</v>
      </c>
      <c r="T1384" t="s">
        <v>52</v>
      </c>
      <c r="U1384" t="s">
        <v>52</v>
      </c>
      <c r="V1384">
        <v>0</v>
      </c>
      <c r="W1384">
        <v>400046</v>
      </c>
      <c r="AE1384">
        <v>0</v>
      </c>
      <c r="AP1384" t="s">
        <v>407</v>
      </c>
    </row>
    <row r="1385" spans="1:42">
      <c r="A1385" s="1" t="s">
        <v>46</v>
      </c>
      <c r="B1385" s="1" t="s">
        <v>2917</v>
      </c>
      <c r="C1385" s="1" t="s">
        <v>2917</v>
      </c>
      <c r="E1385" s="4" t="s">
        <v>2918</v>
      </c>
      <c r="G1385" s="16">
        <v>1.65</v>
      </c>
      <c r="M1385">
        <v>1</v>
      </c>
      <c r="N1385">
        <v>1</v>
      </c>
      <c r="O1385">
        <v>0</v>
      </c>
      <c r="P1385">
        <v>66.599999999999994</v>
      </c>
      <c r="Q1385">
        <v>66.599999999999994</v>
      </c>
      <c r="W1385">
        <v>400046</v>
      </c>
      <c r="AE1385">
        <v>0</v>
      </c>
      <c r="AP1385" t="s">
        <v>407</v>
      </c>
    </row>
    <row r="1386" spans="1:42">
      <c r="A1386" s="1" t="s">
        <v>46</v>
      </c>
      <c r="B1386" s="1" t="s">
        <v>2919</v>
      </c>
      <c r="C1386" s="1" t="s">
        <v>2919</v>
      </c>
      <c r="E1386" s="4" t="s">
        <v>2920</v>
      </c>
      <c r="G1386" s="16">
        <v>2.5</v>
      </c>
      <c r="M1386">
        <v>1</v>
      </c>
      <c r="N1386">
        <v>1</v>
      </c>
      <c r="O1386">
        <v>0</v>
      </c>
      <c r="P1386">
        <v>81.569999999999993</v>
      </c>
      <c r="Q1386">
        <v>81.569999999999993</v>
      </c>
      <c r="W1386">
        <v>400160</v>
      </c>
      <c r="AE1386">
        <v>0</v>
      </c>
      <c r="AP1386" t="s">
        <v>201</v>
      </c>
    </row>
    <row r="1387" spans="1:42">
      <c r="A1387" s="1" t="s">
        <v>46</v>
      </c>
      <c r="B1387" s="1" t="s">
        <v>2921</v>
      </c>
      <c r="C1387" s="1" t="s">
        <v>2921</v>
      </c>
      <c r="E1387" s="4" t="s">
        <v>2922</v>
      </c>
      <c r="G1387" s="16">
        <v>3</v>
      </c>
      <c r="M1387">
        <v>1</v>
      </c>
      <c r="N1387">
        <v>-1</v>
      </c>
      <c r="O1387">
        <v>0</v>
      </c>
      <c r="AE1387">
        <v>0</v>
      </c>
    </row>
    <row r="1388" spans="1:42">
      <c r="A1388" s="1" t="s">
        <v>46</v>
      </c>
      <c r="B1388" s="1" t="s">
        <v>2923</v>
      </c>
      <c r="C1388" s="1" t="s">
        <v>2923</v>
      </c>
      <c r="E1388" s="4" t="s">
        <v>2924</v>
      </c>
      <c r="G1388" s="16"/>
      <c r="M1388">
        <v>1</v>
      </c>
      <c r="N1388">
        <v>-1</v>
      </c>
      <c r="O1388">
        <v>0</v>
      </c>
      <c r="AE1388">
        <v>0</v>
      </c>
    </row>
    <row r="1389" spans="1:42">
      <c r="A1389" s="1" t="s">
        <v>46</v>
      </c>
      <c r="B1389" s="1" t="s">
        <v>2925</v>
      </c>
      <c r="C1389" s="1" t="s">
        <v>2925</v>
      </c>
      <c r="E1389" s="4" t="s">
        <v>2926</v>
      </c>
      <c r="G1389" s="16"/>
      <c r="M1389">
        <v>1</v>
      </c>
      <c r="N1389">
        <v>-1</v>
      </c>
      <c r="O1389">
        <v>0</v>
      </c>
      <c r="AE1389">
        <v>0</v>
      </c>
    </row>
    <row r="1390" spans="1:42">
      <c r="A1390" s="1" t="s">
        <v>46</v>
      </c>
      <c r="B1390" s="1" t="s">
        <v>2927</v>
      </c>
      <c r="C1390" s="1" t="s">
        <v>2927</v>
      </c>
      <c r="E1390" s="4" t="s">
        <v>2928</v>
      </c>
      <c r="G1390" s="16"/>
      <c r="M1390">
        <v>1</v>
      </c>
      <c r="N1390">
        <v>-1</v>
      </c>
      <c r="O1390">
        <v>0</v>
      </c>
      <c r="AE1390">
        <v>0</v>
      </c>
    </row>
    <row r="1391" spans="1:42">
      <c r="A1391" s="1" t="s">
        <v>46</v>
      </c>
      <c r="B1391" s="1" t="s">
        <v>2929</v>
      </c>
      <c r="C1391" s="1" t="s">
        <v>2929</v>
      </c>
      <c r="E1391" s="4" t="s">
        <v>2930</v>
      </c>
      <c r="G1391" s="16"/>
      <c r="M1391">
        <v>1</v>
      </c>
      <c r="N1391">
        <v>-1</v>
      </c>
      <c r="O1391">
        <v>0</v>
      </c>
      <c r="AE1391">
        <v>0</v>
      </c>
    </row>
    <row r="1392" spans="1:42">
      <c r="A1392" s="1" t="s">
        <v>46</v>
      </c>
      <c r="B1392" s="1" t="s">
        <v>2931</v>
      </c>
      <c r="C1392" s="1" t="s">
        <v>2931</v>
      </c>
      <c r="E1392" s="4" t="s">
        <v>2932</v>
      </c>
      <c r="G1392" s="16"/>
      <c r="M1392">
        <v>1</v>
      </c>
      <c r="N1392">
        <v>-1</v>
      </c>
      <c r="O1392">
        <v>0</v>
      </c>
      <c r="P1392">
        <v>130</v>
      </c>
      <c r="Q1392">
        <v>-130</v>
      </c>
      <c r="R1392" t="s">
        <v>2933</v>
      </c>
      <c r="S1392">
        <v>0</v>
      </c>
      <c r="T1392" t="s">
        <v>52</v>
      </c>
      <c r="W1392">
        <v>410302</v>
      </c>
      <c r="AE1392">
        <v>0</v>
      </c>
      <c r="AP1392" t="s">
        <v>177</v>
      </c>
    </row>
    <row r="1393" spans="1:42">
      <c r="A1393" s="1" t="s">
        <v>46</v>
      </c>
      <c r="B1393" s="1" t="s">
        <v>2934</v>
      </c>
      <c r="C1393" s="1" t="s">
        <v>2934</v>
      </c>
      <c r="E1393" s="4" t="s">
        <v>2935</v>
      </c>
      <c r="G1393" s="16"/>
      <c r="M1393">
        <v>1</v>
      </c>
      <c r="N1393">
        <v>2</v>
      </c>
      <c r="O1393">
        <v>0</v>
      </c>
      <c r="P1393">
        <v>1.62</v>
      </c>
      <c r="Q1393">
        <v>3.25</v>
      </c>
      <c r="R1393" t="s">
        <v>2191</v>
      </c>
      <c r="S1393">
        <v>0</v>
      </c>
      <c r="T1393" t="s">
        <v>209</v>
      </c>
      <c r="U1393">
        <v>0</v>
      </c>
      <c r="V1393">
        <v>0</v>
      </c>
      <c r="W1393">
        <v>400013</v>
      </c>
      <c r="AE1393">
        <v>0</v>
      </c>
      <c r="AP1393" t="s">
        <v>232</v>
      </c>
    </row>
    <row r="1394" spans="1:42">
      <c r="A1394" s="1" t="s">
        <v>46</v>
      </c>
      <c r="B1394" s="1" t="s">
        <v>2936</v>
      </c>
      <c r="C1394" s="1" t="s">
        <v>2936</v>
      </c>
      <c r="E1394" s="4" t="s">
        <v>2937</v>
      </c>
      <c r="G1394" s="16"/>
      <c r="M1394">
        <v>1</v>
      </c>
      <c r="N1394">
        <v>24</v>
      </c>
      <c r="O1394">
        <v>0</v>
      </c>
      <c r="P1394">
        <v>164.5</v>
      </c>
      <c r="Q1394">
        <v>3948.05</v>
      </c>
      <c r="R1394">
        <v>0</v>
      </c>
      <c r="S1394">
        <v>0</v>
      </c>
      <c r="T1394">
        <v>0</v>
      </c>
      <c r="W1394">
        <v>400141</v>
      </c>
      <c r="AE1394">
        <v>0</v>
      </c>
      <c r="AP1394" t="s">
        <v>2938</v>
      </c>
    </row>
    <row r="1395" spans="1:42">
      <c r="A1395" s="1" t="s">
        <v>46</v>
      </c>
      <c r="B1395" s="1" t="s">
        <v>2939</v>
      </c>
      <c r="C1395" s="1" t="s">
        <v>2939</v>
      </c>
      <c r="E1395" s="4" t="s">
        <v>2940</v>
      </c>
      <c r="G1395" s="16"/>
      <c r="M1395">
        <v>1</v>
      </c>
      <c r="N1395">
        <v>-2</v>
      </c>
      <c r="O1395">
        <v>0</v>
      </c>
      <c r="AE1395">
        <v>0</v>
      </c>
      <c r="AF1395">
        <v>53</v>
      </c>
    </row>
    <row r="1396" spans="1:42">
      <c r="A1396" s="1" t="s">
        <v>46</v>
      </c>
      <c r="B1396" s="1" t="s">
        <v>2941</v>
      </c>
      <c r="C1396" s="1" t="s">
        <v>2941</v>
      </c>
      <c r="E1396" s="4" t="s">
        <v>2942</v>
      </c>
      <c r="G1396" s="16"/>
      <c r="M1396">
        <v>1</v>
      </c>
      <c r="N1396">
        <v>6</v>
      </c>
      <c r="O1396">
        <v>0</v>
      </c>
      <c r="P1396">
        <v>32.97</v>
      </c>
      <c r="Q1396">
        <v>197.8</v>
      </c>
      <c r="R1396">
        <v>0</v>
      </c>
      <c r="S1396">
        <v>0</v>
      </c>
      <c r="T1396" t="s">
        <v>52</v>
      </c>
      <c r="W1396">
        <v>400159</v>
      </c>
      <c r="AE1396">
        <v>0</v>
      </c>
      <c r="AP1396" t="s">
        <v>190</v>
      </c>
    </row>
    <row r="1397" spans="1:42">
      <c r="A1397" s="1" t="s">
        <v>46</v>
      </c>
      <c r="B1397" s="1" t="s">
        <v>2943</v>
      </c>
      <c r="C1397" s="1" t="s">
        <v>2943</v>
      </c>
      <c r="E1397" s="4" t="s">
        <v>2944</v>
      </c>
      <c r="G1397" s="16"/>
      <c r="M1397">
        <v>1</v>
      </c>
      <c r="N1397">
        <v>4</v>
      </c>
      <c r="O1397">
        <v>0</v>
      </c>
      <c r="P1397">
        <v>58.61</v>
      </c>
      <c r="Q1397">
        <v>234.43</v>
      </c>
      <c r="R1397">
        <v>0</v>
      </c>
      <c r="S1397">
        <v>0</v>
      </c>
      <c r="T1397" t="s">
        <v>52</v>
      </c>
      <c r="W1397">
        <v>400159</v>
      </c>
      <c r="AE1397">
        <v>0</v>
      </c>
      <c r="AP1397" t="s">
        <v>190</v>
      </c>
    </row>
    <row r="1398" spans="1:42">
      <c r="A1398" s="1" t="s">
        <v>46</v>
      </c>
      <c r="B1398" s="1" t="s">
        <v>2945</v>
      </c>
      <c r="C1398" s="1" t="s">
        <v>2945</v>
      </c>
      <c r="E1398" s="4" t="s">
        <v>2946</v>
      </c>
      <c r="G1398" s="16"/>
      <c r="M1398">
        <v>1</v>
      </c>
      <c r="N1398">
        <v>4</v>
      </c>
      <c r="O1398">
        <v>0</v>
      </c>
      <c r="P1398">
        <v>65.930000000000007</v>
      </c>
      <c r="Q1398">
        <v>263.74</v>
      </c>
      <c r="R1398">
        <v>0</v>
      </c>
      <c r="S1398">
        <v>0</v>
      </c>
      <c r="T1398" t="s">
        <v>52</v>
      </c>
      <c r="W1398">
        <v>400159</v>
      </c>
      <c r="AE1398">
        <v>0</v>
      </c>
      <c r="AP1398" t="s">
        <v>190</v>
      </c>
    </row>
    <row r="1399" spans="1:42">
      <c r="A1399" s="1" t="s">
        <v>46</v>
      </c>
      <c r="B1399" s="1" t="s">
        <v>2947</v>
      </c>
      <c r="C1399" s="1" t="s">
        <v>2947</v>
      </c>
      <c r="E1399" s="4" t="s">
        <v>2948</v>
      </c>
      <c r="G1399" s="16"/>
      <c r="M1399">
        <v>1</v>
      </c>
      <c r="N1399">
        <v>1</v>
      </c>
      <c r="O1399">
        <v>0</v>
      </c>
      <c r="P1399">
        <v>1266.67</v>
      </c>
      <c r="Q1399">
        <v>1266.67</v>
      </c>
      <c r="W1399">
        <v>400126</v>
      </c>
      <c r="AE1399">
        <v>0</v>
      </c>
      <c r="AP1399" t="s">
        <v>277</v>
      </c>
    </row>
    <row r="1400" spans="1:42">
      <c r="A1400" s="1" t="s">
        <v>46</v>
      </c>
      <c r="B1400" s="1" t="s">
        <v>2949</v>
      </c>
      <c r="C1400" s="1" t="s">
        <v>2949</v>
      </c>
      <c r="E1400" s="4" t="s">
        <v>2950</v>
      </c>
      <c r="G1400" s="16"/>
      <c r="M1400">
        <v>1</v>
      </c>
      <c r="N1400">
        <v>1</v>
      </c>
      <c r="O1400">
        <v>0</v>
      </c>
      <c r="P1400">
        <v>407.83</v>
      </c>
      <c r="Q1400">
        <v>407.83</v>
      </c>
      <c r="W1400">
        <v>400126</v>
      </c>
      <c r="AE1400">
        <v>0</v>
      </c>
      <c r="AP1400" t="s">
        <v>277</v>
      </c>
    </row>
    <row r="1401" spans="1:42">
      <c r="A1401" s="1" t="s">
        <v>46</v>
      </c>
      <c r="B1401" s="1" t="s">
        <v>2951</v>
      </c>
      <c r="C1401" s="1" t="s">
        <v>2951</v>
      </c>
      <c r="E1401" s="4" t="s">
        <v>2952</v>
      </c>
      <c r="G1401" s="16">
        <v>1</v>
      </c>
      <c r="M1401">
        <v>1</v>
      </c>
      <c r="N1401">
        <v>1</v>
      </c>
      <c r="O1401">
        <v>0</v>
      </c>
      <c r="P1401">
        <v>465.4</v>
      </c>
      <c r="Q1401">
        <v>465.4</v>
      </c>
      <c r="W1401">
        <v>400126</v>
      </c>
      <c r="AE1401">
        <v>0</v>
      </c>
      <c r="AP1401" t="s">
        <v>277</v>
      </c>
    </row>
    <row r="1402" spans="1:42">
      <c r="A1402" s="1" t="s">
        <v>46</v>
      </c>
      <c r="B1402" s="1" t="s">
        <v>2953</v>
      </c>
      <c r="C1402" s="1" t="s">
        <v>2953</v>
      </c>
      <c r="E1402" s="4" t="s">
        <v>2954</v>
      </c>
      <c r="G1402" s="16"/>
      <c r="M1402">
        <v>1</v>
      </c>
      <c r="N1402">
        <v>1</v>
      </c>
      <c r="O1402">
        <v>0</v>
      </c>
      <c r="P1402">
        <v>882.83</v>
      </c>
      <c r="Q1402">
        <v>882.83</v>
      </c>
      <c r="W1402">
        <v>400126</v>
      </c>
      <c r="AE1402">
        <v>0</v>
      </c>
      <c r="AP1402" t="s">
        <v>277</v>
      </c>
    </row>
    <row r="1403" spans="1:42">
      <c r="A1403" s="1" t="s">
        <v>46</v>
      </c>
      <c r="B1403" s="1" t="s">
        <v>2955</v>
      </c>
      <c r="C1403" s="1" t="s">
        <v>2955</v>
      </c>
      <c r="E1403" s="4" t="s">
        <v>2956</v>
      </c>
      <c r="G1403" s="16">
        <v>0.5</v>
      </c>
      <c r="I1403">
        <v>4.5</v>
      </c>
      <c r="M1403">
        <v>1</v>
      </c>
      <c r="N1403">
        <v>16</v>
      </c>
      <c r="O1403">
        <v>0</v>
      </c>
      <c r="P1403">
        <v>1.44</v>
      </c>
      <c r="Q1403">
        <v>23.04</v>
      </c>
      <c r="R1403" t="s">
        <v>492</v>
      </c>
      <c r="S1403">
        <v>0</v>
      </c>
      <c r="T1403" t="s">
        <v>52</v>
      </c>
      <c r="U1403">
        <v>0</v>
      </c>
      <c r="V1403">
        <v>0</v>
      </c>
      <c r="W1403">
        <v>400123</v>
      </c>
      <c r="AE1403">
        <v>0</v>
      </c>
      <c r="AH1403">
        <v>4.5</v>
      </c>
      <c r="AP1403" t="s">
        <v>291</v>
      </c>
    </row>
    <row r="1404" spans="1:42">
      <c r="A1404" s="1" t="s">
        <v>46</v>
      </c>
      <c r="B1404" s="1" t="s">
        <v>2957</v>
      </c>
      <c r="C1404" s="1" t="s">
        <v>2957</v>
      </c>
      <c r="E1404" s="4" t="s">
        <v>2958</v>
      </c>
      <c r="G1404" s="16"/>
      <c r="I1404">
        <v>2</v>
      </c>
      <c r="M1404">
        <v>1</v>
      </c>
      <c r="N1404">
        <v>-11</v>
      </c>
      <c r="O1404">
        <v>0</v>
      </c>
      <c r="P1404">
        <v>0.6</v>
      </c>
      <c r="Q1404">
        <v>-6.6</v>
      </c>
      <c r="R1404" t="s">
        <v>492</v>
      </c>
      <c r="S1404">
        <v>0</v>
      </c>
      <c r="T1404" t="s">
        <v>52</v>
      </c>
      <c r="U1404">
        <v>0</v>
      </c>
      <c r="V1404">
        <v>0</v>
      </c>
      <c r="W1404">
        <v>400004</v>
      </c>
      <c r="AE1404">
        <v>0</v>
      </c>
      <c r="AH1404">
        <v>2</v>
      </c>
      <c r="AP1404" t="s">
        <v>352</v>
      </c>
    </row>
    <row r="1405" spans="1:42">
      <c r="A1405" s="1" t="s">
        <v>46</v>
      </c>
      <c r="B1405" s="1" t="s">
        <v>2959</v>
      </c>
      <c r="C1405" s="1" t="s">
        <v>2959</v>
      </c>
      <c r="E1405" s="4" t="s">
        <v>2960</v>
      </c>
      <c r="G1405" s="16"/>
      <c r="I1405">
        <v>1.6</v>
      </c>
      <c r="M1405">
        <v>1</v>
      </c>
      <c r="N1405">
        <v>93</v>
      </c>
      <c r="O1405">
        <v>0</v>
      </c>
      <c r="P1405">
        <v>0.48</v>
      </c>
      <c r="Q1405">
        <v>44.19</v>
      </c>
      <c r="R1405" t="s">
        <v>492</v>
      </c>
      <c r="S1405">
        <v>0</v>
      </c>
      <c r="T1405" t="s">
        <v>52</v>
      </c>
      <c r="U1405">
        <v>0</v>
      </c>
      <c r="V1405">
        <v>0</v>
      </c>
      <c r="W1405">
        <v>400112</v>
      </c>
      <c r="AE1405">
        <v>0</v>
      </c>
      <c r="AH1405">
        <v>1.6</v>
      </c>
      <c r="AP1405" t="s">
        <v>220</v>
      </c>
    </row>
    <row r="1406" spans="1:42">
      <c r="A1406" s="1" t="s">
        <v>46</v>
      </c>
      <c r="B1406" s="1" t="s">
        <v>2961</v>
      </c>
      <c r="C1406" s="1" t="s">
        <v>2961</v>
      </c>
      <c r="E1406" s="4" t="s">
        <v>2962</v>
      </c>
      <c r="G1406" s="16"/>
      <c r="I1406">
        <v>2</v>
      </c>
      <c r="M1406">
        <v>1</v>
      </c>
      <c r="N1406">
        <v>32</v>
      </c>
      <c r="O1406">
        <v>0</v>
      </c>
      <c r="P1406">
        <v>1.97</v>
      </c>
      <c r="Q1406">
        <v>63.04</v>
      </c>
      <c r="R1406" t="s">
        <v>492</v>
      </c>
      <c r="S1406">
        <v>0</v>
      </c>
      <c r="T1406">
        <v>0</v>
      </c>
      <c r="U1406">
        <v>0</v>
      </c>
      <c r="V1406">
        <v>0</v>
      </c>
      <c r="W1406">
        <v>400125</v>
      </c>
      <c r="AE1406">
        <v>0</v>
      </c>
      <c r="AH1406">
        <v>2</v>
      </c>
      <c r="AP1406" t="s">
        <v>184</v>
      </c>
    </row>
    <row r="1407" spans="1:42">
      <c r="A1407" s="1" t="s">
        <v>46</v>
      </c>
      <c r="B1407" s="1" t="s">
        <v>2963</v>
      </c>
      <c r="C1407" s="1" t="s">
        <v>2963</v>
      </c>
      <c r="E1407" s="4" t="s">
        <v>2964</v>
      </c>
      <c r="G1407" s="16"/>
      <c r="I1407">
        <v>1.34</v>
      </c>
      <c r="M1407">
        <v>1</v>
      </c>
      <c r="N1407">
        <v>41</v>
      </c>
      <c r="O1407">
        <v>0</v>
      </c>
      <c r="P1407">
        <v>1.94</v>
      </c>
      <c r="Q1407">
        <v>79.540000000000006</v>
      </c>
      <c r="R1407" t="s">
        <v>492</v>
      </c>
      <c r="S1407">
        <v>0</v>
      </c>
      <c r="T1407" t="s">
        <v>52</v>
      </c>
      <c r="U1407">
        <v>0</v>
      </c>
      <c r="V1407">
        <v>0</v>
      </c>
      <c r="W1407">
        <v>400013</v>
      </c>
      <c r="AE1407">
        <v>0</v>
      </c>
      <c r="AH1407">
        <v>1.34</v>
      </c>
      <c r="AP1407" t="s">
        <v>232</v>
      </c>
    </row>
    <row r="1408" spans="1:42">
      <c r="A1408" s="1" t="s">
        <v>46</v>
      </c>
      <c r="B1408" s="1" t="s">
        <v>2965</v>
      </c>
      <c r="C1408" s="1" t="s">
        <v>2965</v>
      </c>
      <c r="E1408" s="4" t="s">
        <v>2966</v>
      </c>
      <c r="G1408" s="16"/>
      <c r="I1408">
        <v>7.4</v>
      </c>
      <c r="M1408">
        <v>1</v>
      </c>
      <c r="N1408">
        <v>5</v>
      </c>
      <c r="O1408">
        <v>0</v>
      </c>
      <c r="P1408">
        <v>7.13</v>
      </c>
      <c r="Q1408">
        <v>35.659999999999997</v>
      </c>
      <c r="R1408" t="s">
        <v>492</v>
      </c>
      <c r="S1408">
        <v>0</v>
      </c>
      <c r="T1408">
        <v>0</v>
      </c>
      <c r="U1408">
        <v>0</v>
      </c>
      <c r="V1408">
        <v>0</v>
      </c>
      <c r="W1408">
        <v>400125</v>
      </c>
      <c r="AE1408">
        <v>0</v>
      </c>
      <c r="AH1408">
        <v>7.4</v>
      </c>
      <c r="AP1408" t="s">
        <v>184</v>
      </c>
    </row>
    <row r="1409" spans="1:42">
      <c r="A1409" s="1" t="s">
        <v>46</v>
      </c>
      <c r="B1409" s="1" t="s">
        <v>2967</v>
      </c>
      <c r="C1409" s="1" t="s">
        <v>2967</v>
      </c>
      <c r="E1409" s="4" t="s">
        <v>2968</v>
      </c>
      <c r="G1409" s="16">
        <v>0.75</v>
      </c>
      <c r="I1409">
        <v>3.5</v>
      </c>
      <c r="M1409">
        <v>1</v>
      </c>
      <c r="N1409">
        <v>-14</v>
      </c>
      <c r="O1409">
        <v>0</v>
      </c>
      <c r="P1409">
        <v>3.05</v>
      </c>
      <c r="Q1409">
        <v>-42.74</v>
      </c>
      <c r="R1409" t="s">
        <v>492</v>
      </c>
      <c r="S1409">
        <v>0</v>
      </c>
      <c r="T1409" t="s">
        <v>52</v>
      </c>
      <c r="U1409">
        <v>0</v>
      </c>
      <c r="V1409">
        <v>0</v>
      </c>
      <c r="W1409">
        <v>400125</v>
      </c>
      <c r="AE1409">
        <v>0</v>
      </c>
      <c r="AH1409">
        <v>3.5</v>
      </c>
      <c r="AP1409" t="s">
        <v>184</v>
      </c>
    </row>
    <row r="1410" spans="1:42">
      <c r="A1410" s="1" t="s">
        <v>46</v>
      </c>
      <c r="B1410" s="1" t="s">
        <v>2969</v>
      </c>
      <c r="C1410" s="1" t="s">
        <v>2969</v>
      </c>
      <c r="E1410" s="4" t="s">
        <v>2970</v>
      </c>
      <c r="G1410" s="16"/>
      <c r="I1410">
        <v>4</v>
      </c>
      <c r="M1410">
        <v>1</v>
      </c>
      <c r="N1410">
        <v>52</v>
      </c>
      <c r="O1410">
        <v>0</v>
      </c>
      <c r="P1410">
        <v>1.22</v>
      </c>
      <c r="Q1410">
        <v>63.18</v>
      </c>
      <c r="R1410" t="s">
        <v>492</v>
      </c>
      <c r="S1410">
        <v>0</v>
      </c>
      <c r="T1410">
        <v>0</v>
      </c>
      <c r="U1410">
        <v>0</v>
      </c>
      <c r="V1410">
        <v>0</v>
      </c>
      <c r="W1410">
        <v>400112</v>
      </c>
      <c r="AE1410">
        <v>0</v>
      </c>
      <c r="AH1410">
        <v>4</v>
      </c>
      <c r="AP1410" t="s">
        <v>220</v>
      </c>
    </row>
    <row r="1411" spans="1:42">
      <c r="A1411" s="1" t="s">
        <v>46</v>
      </c>
      <c r="B1411" s="1" t="s">
        <v>2971</v>
      </c>
      <c r="C1411" s="1" t="s">
        <v>2971</v>
      </c>
      <c r="E1411" s="4" t="s">
        <v>2972</v>
      </c>
      <c r="G1411" s="16"/>
      <c r="I1411">
        <v>6.5</v>
      </c>
      <c r="M1411">
        <v>1</v>
      </c>
      <c r="N1411">
        <v>-3</v>
      </c>
      <c r="O1411">
        <v>0</v>
      </c>
      <c r="R1411" t="s">
        <v>492</v>
      </c>
      <c r="S1411">
        <v>0</v>
      </c>
      <c r="T1411" t="s">
        <v>52</v>
      </c>
      <c r="U1411">
        <v>0</v>
      </c>
      <c r="V1411">
        <v>0</v>
      </c>
      <c r="AE1411">
        <v>0</v>
      </c>
      <c r="AH1411">
        <v>6.5</v>
      </c>
    </row>
    <row r="1412" spans="1:42">
      <c r="A1412" s="1" t="s">
        <v>46</v>
      </c>
      <c r="B1412" s="1" t="s">
        <v>2973</v>
      </c>
      <c r="C1412" s="1" t="s">
        <v>2973</v>
      </c>
      <c r="E1412" s="4" t="s">
        <v>2974</v>
      </c>
      <c r="G1412" s="16">
        <v>1.5</v>
      </c>
      <c r="I1412">
        <v>3.5</v>
      </c>
      <c r="M1412">
        <v>1</v>
      </c>
      <c r="N1412">
        <v>-4</v>
      </c>
      <c r="O1412">
        <v>0</v>
      </c>
      <c r="R1412" t="s">
        <v>492</v>
      </c>
      <c r="S1412">
        <v>0</v>
      </c>
      <c r="T1412">
        <v>0</v>
      </c>
      <c r="U1412">
        <v>0</v>
      </c>
      <c r="V1412">
        <v>0</v>
      </c>
      <c r="AE1412">
        <v>0</v>
      </c>
      <c r="AH1412">
        <v>3.5</v>
      </c>
    </row>
    <row r="1413" spans="1:42">
      <c r="A1413" s="1" t="s">
        <v>46</v>
      </c>
      <c r="B1413" s="1" t="s">
        <v>2975</v>
      </c>
      <c r="C1413" s="1" t="s">
        <v>2975</v>
      </c>
      <c r="E1413" s="4" t="s">
        <v>2976</v>
      </c>
      <c r="G1413" s="16">
        <v>2</v>
      </c>
      <c r="I1413">
        <v>1.68</v>
      </c>
      <c r="M1413">
        <v>1</v>
      </c>
      <c r="N1413">
        <v>939</v>
      </c>
      <c r="O1413">
        <v>0</v>
      </c>
      <c r="P1413">
        <v>0.55000000000000004</v>
      </c>
      <c r="Q1413">
        <v>516.45000000000005</v>
      </c>
      <c r="R1413" t="s">
        <v>492</v>
      </c>
      <c r="S1413">
        <v>0</v>
      </c>
      <c r="T1413" t="s">
        <v>52</v>
      </c>
      <c r="U1413">
        <v>0</v>
      </c>
      <c r="V1413">
        <v>0</v>
      </c>
      <c r="W1413">
        <v>400203</v>
      </c>
      <c r="AE1413">
        <v>0</v>
      </c>
      <c r="AH1413">
        <v>1.68</v>
      </c>
      <c r="AP1413" t="s">
        <v>837</v>
      </c>
    </row>
    <row r="1414" spans="1:42">
      <c r="A1414" s="1" t="s">
        <v>46</v>
      </c>
      <c r="B1414" s="1" t="s">
        <v>2977</v>
      </c>
      <c r="C1414" s="1" t="s">
        <v>2977</v>
      </c>
      <c r="E1414" s="4" t="s">
        <v>2978</v>
      </c>
      <c r="G1414" s="16">
        <v>2.75</v>
      </c>
      <c r="I1414">
        <v>1.8</v>
      </c>
      <c r="M1414">
        <v>1</v>
      </c>
      <c r="N1414">
        <v>164</v>
      </c>
      <c r="O1414">
        <v>0</v>
      </c>
      <c r="P1414">
        <v>1.04</v>
      </c>
      <c r="Q1414">
        <v>169.82</v>
      </c>
      <c r="R1414" t="s">
        <v>492</v>
      </c>
      <c r="S1414">
        <v>0</v>
      </c>
      <c r="T1414">
        <v>0</v>
      </c>
      <c r="U1414">
        <v>0</v>
      </c>
      <c r="V1414">
        <v>0</v>
      </c>
      <c r="W1414">
        <v>400013</v>
      </c>
      <c r="AE1414">
        <v>0</v>
      </c>
      <c r="AH1414">
        <v>1.8</v>
      </c>
      <c r="AP1414" t="s">
        <v>232</v>
      </c>
    </row>
    <row r="1415" spans="1:42">
      <c r="A1415" s="1" t="s">
        <v>46</v>
      </c>
      <c r="B1415" s="1" t="s">
        <v>2979</v>
      </c>
      <c r="C1415" s="1" t="s">
        <v>2979</v>
      </c>
      <c r="E1415" s="4" t="s">
        <v>2980</v>
      </c>
      <c r="G1415" s="16"/>
      <c r="I1415">
        <v>2.4</v>
      </c>
      <c r="M1415">
        <v>1</v>
      </c>
      <c r="N1415">
        <v>2</v>
      </c>
      <c r="O1415">
        <v>0</v>
      </c>
      <c r="P1415">
        <v>2.96</v>
      </c>
      <c r="Q1415">
        <v>5.91</v>
      </c>
      <c r="R1415" t="s">
        <v>492</v>
      </c>
      <c r="S1415">
        <v>0</v>
      </c>
      <c r="T1415">
        <v>0</v>
      </c>
      <c r="U1415">
        <v>0</v>
      </c>
      <c r="V1415">
        <v>0</v>
      </c>
      <c r="W1415">
        <v>400125</v>
      </c>
      <c r="AE1415">
        <v>0</v>
      </c>
      <c r="AH1415">
        <v>2.4</v>
      </c>
      <c r="AP1415" t="s">
        <v>184</v>
      </c>
    </row>
    <row r="1416" spans="1:42">
      <c r="A1416" s="1" t="s">
        <v>46</v>
      </c>
      <c r="B1416" s="1" t="s">
        <v>2981</v>
      </c>
      <c r="C1416" s="1" t="s">
        <v>2981</v>
      </c>
      <c r="E1416" s="4" t="s">
        <v>2982</v>
      </c>
      <c r="G1416" s="16"/>
      <c r="I1416">
        <v>1.8</v>
      </c>
      <c r="M1416">
        <v>1</v>
      </c>
      <c r="N1416">
        <v>200</v>
      </c>
      <c r="O1416">
        <v>0</v>
      </c>
      <c r="P1416">
        <v>1.34</v>
      </c>
      <c r="Q1416">
        <v>269</v>
      </c>
      <c r="R1416" t="s">
        <v>492</v>
      </c>
      <c r="S1416">
        <v>0</v>
      </c>
      <c r="T1416">
        <v>0</v>
      </c>
      <c r="U1416">
        <v>0</v>
      </c>
      <c r="V1416">
        <v>0</v>
      </c>
      <c r="W1416">
        <v>400125</v>
      </c>
      <c r="AE1416">
        <v>0</v>
      </c>
      <c r="AH1416">
        <v>1.8</v>
      </c>
      <c r="AP1416" t="s">
        <v>184</v>
      </c>
    </row>
    <row r="1417" spans="1:42">
      <c r="A1417" s="1" t="s">
        <v>46</v>
      </c>
      <c r="B1417" s="1" t="s">
        <v>2983</v>
      </c>
      <c r="C1417" s="1" t="s">
        <v>2983</v>
      </c>
      <c r="E1417" s="4" t="s">
        <v>2984</v>
      </c>
      <c r="G1417" s="16"/>
      <c r="I1417">
        <v>2.4</v>
      </c>
      <c r="M1417">
        <v>1</v>
      </c>
      <c r="N1417">
        <v>56</v>
      </c>
      <c r="O1417">
        <v>0</v>
      </c>
      <c r="P1417">
        <v>0.84</v>
      </c>
      <c r="Q1417">
        <v>47.04</v>
      </c>
      <c r="R1417" t="s">
        <v>492</v>
      </c>
      <c r="S1417">
        <v>0</v>
      </c>
      <c r="T1417">
        <v>0</v>
      </c>
      <c r="U1417">
        <v>0</v>
      </c>
      <c r="V1417">
        <v>0</v>
      </c>
      <c r="W1417">
        <v>400123</v>
      </c>
      <c r="AE1417">
        <v>0</v>
      </c>
      <c r="AH1417">
        <v>2.4</v>
      </c>
      <c r="AP1417" t="s">
        <v>291</v>
      </c>
    </row>
    <row r="1418" spans="1:42">
      <c r="A1418" s="1" t="s">
        <v>46</v>
      </c>
      <c r="B1418" s="1" t="s">
        <v>2985</v>
      </c>
      <c r="C1418" s="1" t="s">
        <v>2985</v>
      </c>
      <c r="E1418" s="4" t="s">
        <v>2986</v>
      </c>
      <c r="G1418" s="16">
        <v>1.65</v>
      </c>
      <c r="I1418">
        <v>3.5</v>
      </c>
      <c r="M1418">
        <v>1</v>
      </c>
      <c r="N1418">
        <v>2</v>
      </c>
      <c r="O1418">
        <v>0</v>
      </c>
      <c r="P1418">
        <v>3.84</v>
      </c>
      <c r="Q1418">
        <v>7.68</v>
      </c>
      <c r="R1418" t="s">
        <v>492</v>
      </c>
      <c r="S1418">
        <v>0</v>
      </c>
      <c r="T1418">
        <v>0</v>
      </c>
      <c r="U1418">
        <v>0</v>
      </c>
      <c r="V1418">
        <v>0</v>
      </c>
      <c r="W1418">
        <v>400125</v>
      </c>
      <c r="AE1418">
        <v>0</v>
      </c>
      <c r="AH1418">
        <v>3.5</v>
      </c>
      <c r="AP1418" t="s">
        <v>184</v>
      </c>
    </row>
    <row r="1419" spans="1:42">
      <c r="A1419" s="1" t="s">
        <v>46</v>
      </c>
      <c r="B1419" s="1" t="s">
        <v>2987</v>
      </c>
      <c r="C1419" s="1" t="s">
        <v>2987</v>
      </c>
      <c r="E1419" s="4" t="s">
        <v>2988</v>
      </c>
      <c r="G1419" s="16">
        <v>2.5</v>
      </c>
      <c r="I1419">
        <v>2.2999999999999998</v>
      </c>
      <c r="M1419">
        <v>1</v>
      </c>
      <c r="N1419">
        <v>72</v>
      </c>
      <c r="O1419">
        <v>0</v>
      </c>
      <c r="P1419">
        <v>0.85</v>
      </c>
      <c r="Q1419">
        <v>60.98</v>
      </c>
      <c r="R1419" t="s">
        <v>492</v>
      </c>
      <c r="S1419">
        <v>0</v>
      </c>
      <c r="T1419">
        <v>0</v>
      </c>
      <c r="U1419">
        <v>0</v>
      </c>
      <c r="V1419">
        <v>0</v>
      </c>
      <c r="W1419">
        <v>400112</v>
      </c>
      <c r="AE1419">
        <v>0</v>
      </c>
      <c r="AH1419">
        <v>2.2999999999999998</v>
      </c>
      <c r="AP1419" t="s">
        <v>220</v>
      </c>
    </row>
    <row r="1420" spans="1:42">
      <c r="A1420" s="1" t="s">
        <v>46</v>
      </c>
      <c r="B1420" s="1" t="s">
        <v>2989</v>
      </c>
      <c r="C1420" s="1" t="s">
        <v>2989</v>
      </c>
      <c r="E1420" s="4" t="s">
        <v>2990</v>
      </c>
      <c r="G1420" s="16"/>
      <c r="I1420">
        <v>2</v>
      </c>
      <c r="M1420">
        <v>1</v>
      </c>
      <c r="N1420">
        <v>207</v>
      </c>
      <c r="O1420">
        <v>0</v>
      </c>
      <c r="P1420">
        <v>2.09</v>
      </c>
      <c r="Q1420">
        <v>432.71</v>
      </c>
      <c r="R1420" t="s">
        <v>492</v>
      </c>
      <c r="S1420">
        <v>0</v>
      </c>
      <c r="T1420">
        <v>0</v>
      </c>
      <c r="U1420">
        <v>0</v>
      </c>
      <c r="V1420">
        <v>0</v>
      </c>
      <c r="W1420">
        <v>400125</v>
      </c>
      <c r="AE1420">
        <v>0</v>
      </c>
      <c r="AH1420">
        <v>2</v>
      </c>
      <c r="AP1420" t="s">
        <v>184</v>
      </c>
    </row>
    <row r="1421" spans="1:42">
      <c r="A1421" s="1" t="s">
        <v>46</v>
      </c>
      <c r="B1421" s="1" t="s">
        <v>2991</v>
      </c>
      <c r="C1421" s="1" t="s">
        <v>2991</v>
      </c>
      <c r="E1421" s="4" t="s">
        <v>2992</v>
      </c>
      <c r="G1421" s="16"/>
      <c r="I1421">
        <v>2.4</v>
      </c>
      <c r="M1421">
        <v>1</v>
      </c>
      <c r="N1421">
        <v>13</v>
      </c>
      <c r="O1421">
        <v>0</v>
      </c>
      <c r="P1421">
        <v>0.7</v>
      </c>
      <c r="Q1421">
        <v>9.1</v>
      </c>
      <c r="R1421" t="s">
        <v>492</v>
      </c>
      <c r="S1421">
        <v>0</v>
      </c>
      <c r="T1421">
        <v>0</v>
      </c>
      <c r="U1421">
        <v>0</v>
      </c>
      <c r="V1421">
        <v>0</v>
      </c>
      <c r="W1421">
        <v>400110</v>
      </c>
      <c r="AE1421">
        <v>0</v>
      </c>
      <c r="AH1421">
        <v>2.4</v>
      </c>
      <c r="AP1421" t="s">
        <v>344</v>
      </c>
    </row>
    <row r="1422" spans="1:42">
      <c r="A1422" s="1" t="s">
        <v>46</v>
      </c>
      <c r="B1422" s="1" t="s">
        <v>2993</v>
      </c>
      <c r="C1422" s="1" t="s">
        <v>2993</v>
      </c>
      <c r="E1422" s="4" t="s">
        <v>2994</v>
      </c>
      <c r="G1422" s="16"/>
      <c r="I1422">
        <v>3.5</v>
      </c>
      <c r="M1422">
        <v>1</v>
      </c>
      <c r="N1422">
        <v>22</v>
      </c>
      <c r="O1422">
        <v>0</v>
      </c>
      <c r="P1422">
        <v>2.59</v>
      </c>
      <c r="Q1422">
        <v>57.04</v>
      </c>
      <c r="R1422" t="s">
        <v>492</v>
      </c>
      <c r="S1422">
        <v>0</v>
      </c>
      <c r="T1422" t="s">
        <v>52</v>
      </c>
      <c r="U1422">
        <v>0</v>
      </c>
      <c r="V1422">
        <v>0</v>
      </c>
      <c r="W1422">
        <v>400125</v>
      </c>
      <c r="AE1422">
        <v>0</v>
      </c>
      <c r="AH1422">
        <v>3.5</v>
      </c>
      <c r="AP1422" t="s">
        <v>184</v>
      </c>
    </row>
    <row r="1423" spans="1:42">
      <c r="A1423" s="1" t="s">
        <v>46</v>
      </c>
      <c r="B1423" s="1" t="s">
        <v>2995</v>
      </c>
      <c r="C1423" s="1" t="s">
        <v>2995</v>
      </c>
      <c r="E1423" s="4" t="s">
        <v>2996</v>
      </c>
      <c r="G1423" s="16"/>
      <c r="I1423">
        <v>1.7</v>
      </c>
      <c r="M1423">
        <v>1</v>
      </c>
      <c r="N1423">
        <v>-12</v>
      </c>
      <c r="O1423">
        <v>0</v>
      </c>
      <c r="R1423" t="s">
        <v>492</v>
      </c>
      <c r="S1423">
        <v>0</v>
      </c>
      <c r="T1423" t="s">
        <v>52</v>
      </c>
      <c r="U1423">
        <v>0</v>
      </c>
      <c r="V1423">
        <v>0</v>
      </c>
      <c r="AE1423">
        <v>0</v>
      </c>
      <c r="AH1423">
        <v>1.7</v>
      </c>
    </row>
    <row r="1424" spans="1:42">
      <c r="A1424" s="1" t="s">
        <v>46</v>
      </c>
      <c r="B1424" s="1" t="s">
        <v>2997</v>
      </c>
      <c r="C1424" s="1" t="s">
        <v>2997</v>
      </c>
      <c r="E1424" s="4" t="s">
        <v>2998</v>
      </c>
      <c r="G1424" s="16"/>
      <c r="I1424">
        <v>1.2</v>
      </c>
      <c r="M1424">
        <v>1</v>
      </c>
      <c r="N1424">
        <v>200</v>
      </c>
      <c r="O1424">
        <v>0</v>
      </c>
      <c r="P1424">
        <v>0.36</v>
      </c>
      <c r="Q1424">
        <v>71.28</v>
      </c>
      <c r="R1424" t="s">
        <v>492</v>
      </c>
      <c r="S1424">
        <v>0</v>
      </c>
      <c r="T1424" t="s">
        <v>52</v>
      </c>
      <c r="U1424">
        <v>0</v>
      </c>
      <c r="V1424">
        <v>0</v>
      </c>
      <c r="W1424">
        <v>400112</v>
      </c>
      <c r="AE1424">
        <v>0</v>
      </c>
      <c r="AH1424">
        <v>1.2</v>
      </c>
      <c r="AP1424" t="s">
        <v>220</v>
      </c>
    </row>
    <row r="1425" spans="1:42">
      <c r="A1425" s="1" t="s">
        <v>46</v>
      </c>
      <c r="B1425" s="1" t="s">
        <v>2999</v>
      </c>
      <c r="C1425" s="1" t="s">
        <v>2999</v>
      </c>
      <c r="E1425" s="4" t="s">
        <v>3000</v>
      </c>
      <c r="G1425" s="16"/>
      <c r="I1425">
        <v>1.6</v>
      </c>
      <c r="M1425">
        <v>1</v>
      </c>
      <c r="N1425">
        <v>172</v>
      </c>
      <c r="O1425">
        <v>0</v>
      </c>
      <c r="P1425">
        <v>1.71</v>
      </c>
      <c r="Q1425">
        <v>293.52</v>
      </c>
      <c r="R1425" t="s">
        <v>492</v>
      </c>
      <c r="S1425">
        <v>0</v>
      </c>
      <c r="T1425">
        <v>0</v>
      </c>
      <c r="U1425">
        <v>0</v>
      </c>
      <c r="V1425">
        <v>0</v>
      </c>
      <c r="W1425">
        <v>400125</v>
      </c>
      <c r="X1425" t="s">
        <v>56</v>
      </c>
      <c r="Y1425" t="s">
        <v>57</v>
      </c>
      <c r="AE1425">
        <v>0</v>
      </c>
      <c r="AH1425">
        <v>1.6</v>
      </c>
      <c r="AP1425" t="s">
        <v>184</v>
      </c>
    </row>
    <row r="1426" spans="1:42">
      <c r="A1426" s="1" t="s">
        <v>46</v>
      </c>
      <c r="B1426" s="1" t="s">
        <v>3001</v>
      </c>
      <c r="C1426" s="1" t="s">
        <v>3001</v>
      </c>
      <c r="E1426" s="4" t="s">
        <v>3002</v>
      </c>
      <c r="G1426" s="16"/>
      <c r="I1426">
        <v>1.06</v>
      </c>
      <c r="M1426">
        <v>1</v>
      </c>
      <c r="N1426">
        <v>504</v>
      </c>
      <c r="O1426">
        <v>0</v>
      </c>
      <c r="P1426">
        <v>0.35</v>
      </c>
      <c r="Q1426">
        <v>176.4</v>
      </c>
      <c r="R1426" t="s">
        <v>492</v>
      </c>
      <c r="S1426">
        <v>0</v>
      </c>
      <c r="T1426" t="s">
        <v>52</v>
      </c>
      <c r="U1426">
        <v>0</v>
      </c>
      <c r="V1426">
        <v>0</v>
      </c>
      <c r="W1426">
        <v>400203</v>
      </c>
      <c r="AE1426">
        <v>0</v>
      </c>
      <c r="AH1426">
        <v>1.06</v>
      </c>
      <c r="AP1426" t="s">
        <v>837</v>
      </c>
    </row>
    <row r="1427" spans="1:42">
      <c r="A1427" s="1" t="s">
        <v>46</v>
      </c>
      <c r="B1427" s="1" t="s">
        <v>3003</v>
      </c>
      <c r="C1427" s="1" t="s">
        <v>3003</v>
      </c>
      <c r="E1427" s="4" t="s">
        <v>3004</v>
      </c>
      <c r="G1427" s="16"/>
      <c r="I1427">
        <v>6.05</v>
      </c>
      <c r="M1427">
        <v>1</v>
      </c>
      <c r="N1427">
        <v>63</v>
      </c>
      <c r="O1427">
        <v>0</v>
      </c>
      <c r="P1427">
        <v>6.09</v>
      </c>
      <c r="Q1427">
        <v>383.67</v>
      </c>
      <c r="R1427" t="s">
        <v>492</v>
      </c>
      <c r="S1427">
        <v>0</v>
      </c>
      <c r="T1427">
        <v>0</v>
      </c>
      <c r="U1427">
        <v>0</v>
      </c>
      <c r="V1427">
        <v>0</v>
      </c>
      <c r="W1427">
        <v>400125</v>
      </c>
      <c r="AE1427">
        <v>0</v>
      </c>
      <c r="AH1427">
        <v>6.05</v>
      </c>
      <c r="AP1427" t="s">
        <v>184</v>
      </c>
    </row>
    <row r="1428" spans="1:42">
      <c r="A1428" s="1" t="s">
        <v>46</v>
      </c>
      <c r="B1428" s="1" t="s">
        <v>3005</v>
      </c>
      <c r="C1428" s="1" t="s">
        <v>3005</v>
      </c>
      <c r="E1428" s="4" t="s">
        <v>3006</v>
      </c>
      <c r="G1428" s="16"/>
      <c r="I1428">
        <v>2.7</v>
      </c>
      <c r="M1428">
        <v>1</v>
      </c>
      <c r="N1428">
        <v>116</v>
      </c>
      <c r="O1428">
        <v>0</v>
      </c>
      <c r="P1428">
        <v>1.9</v>
      </c>
      <c r="Q1428">
        <v>220.4</v>
      </c>
      <c r="R1428" t="s">
        <v>492</v>
      </c>
      <c r="S1428">
        <v>0</v>
      </c>
      <c r="T1428" t="s">
        <v>52</v>
      </c>
      <c r="U1428">
        <v>0</v>
      </c>
      <c r="V1428">
        <v>0</v>
      </c>
      <c r="W1428">
        <v>400125</v>
      </c>
      <c r="AE1428">
        <v>0</v>
      </c>
      <c r="AH1428">
        <v>2.7</v>
      </c>
      <c r="AP1428" t="s">
        <v>184</v>
      </c>
    </row>
    <row r="1429" spans="1:42">
      <c r="A1429" s="1" t="s">
        <v>46</v>
      </c>
      <c r="B1429" s="1" t="s">
        <v>3007</v>
      </c>
      <c r="C1429" s="1" t="s">
        <v>3007</v>
      </c>
      <c r="E1429" s="4" t="s">
        <v>3008</v>
      </c>
      <c r="G1429" s="16"/>
      <c r="I1429">
        <v>2.9</v>
      </c>
      <c r="M1429">
        <v>1</v>
      </c>
      <c r="N1429">
        <v>5</v>
      </c>
      <c r="O1429">
        <v>0</v>
      </c>
      <c r="P1429">
        <v>2.86</v>
      </c>
      <c r="Q1429">
        <v>14.29</v>
      </c>
      <c r="R1429" t="s">
        <v>492</v>
      </c>
      <c r="S1429">
        <v>0</v>
      </c>
      <c r="T1429">
        <v>0</v>
      </c>
      <c r="U1429">
        <v>0</v>
      </c>
      <c r="V1429">
        <v>0</v>
      </c>
      <c r="W1429">
        <v>400125</v>
      </c>
      <c r="AE1429">
        <v>0</v>
      </c>
      <c r="AH1429">
        <v>2.9</v>
      </c>
      <c r="AP1429" t="s">
        <v>184</v>
      </c>
    </row>
    <row r="1430" spans="1:42">
      <c r="A1430" s="1" t="s">
        <v>46</v>
      </c>
      <c r="B1430" s="1" t="s">
        <v>3009</v>
      </c>
      <c r="C1430" s="1" t="s">
        <v>3009</v>
      </c>
      <c r="E1430" s="4" t="s">
        <v>3010</v>
      </c>
      <c r="G1430" s="16"/>
      <c r="I1430">
        <v>5</v>
      </c>
      <c r="M1430">
        <v>1</v>
      </c>
      <c r="N1430">
        <v>20</v>
      </c>
      <c r="O1430">
        <v>0</v>
      </c>
      <c r="P1430">
        <v>6.36</v>
      </c>
      <c r="Q1430">
        <v>127.24</v>
      </c>
      <c r="R1430" t="s">
        <v>492</v>
      </c>
      <c r="S1430">
        <v>0</v>
      </c>
      <c r="T1430" t="s">
        <v>52</v>
      </c>
      <c r="U1430">
        <v>0</v>
      </c>
      <c r="V1430">
        <v>0</v>
      </c>
      <c r="W1430">
        <v>400125</v>
      </c>
      <c r="AE1430">
        <v>0</v>
      </c>
      <c r="AH1430">
        <v>5</v>
      </c>
      <c r="AP1430" t="s">
        <v>184</v>
      </c>
    </row>
    <row r="1431" spans="1:42">
      <c r="A1431" s="1" t="s">
        <v>46</v>
      </c>
      <c r="B1431" s="1" t="s">
        <v>3011</v>
      </c>
      <c r="C1431" s="1" t="s">
        <v>3011</v>
      </c>
      <c r="E1431" s="4" t="s">
        <v>3012</v>
      </c>
      <c r="G1431" s="16"/>
      <c r="I1431">
        <v>4.5</v>
      </c>
      <c r="M1431">
        <v>1</v>
      </c>
      <c r="N1431">
        <v>6</v>
      </c>
      <c r="O1431">
        <v>0</v>
      </c>
      <c r="P1431">
        <v>6.33</v>
      </c>
      <c r="Q1431">
        <v>38</v>
      </c>
      <c r="R1431" t="s">
        <v>492</v>
      </c>
      <c r="S1431">
        <v>0</v>
      </c>
      <c r="T1431" t="s">
        <v>52</v>
      </c>
      <c r="U1431">
        <v>0</v>
      </c>
      <c r="V1431">
        <v>0</v>
      </c>
      <c r="W1431">
        <v>400125</v>
      </c>
      <c r="AE1431">
        <v>0</v>
      </c>
      <c r="AH1431">
        <v>4.5</v>
      </c>
      <c r="AP1431" t="s">
        <v>184</v>
      </c>
    </row>
    <row r="1432" spans="1:42">
      <c r="A1432" s="1" t="s">
        <v>46</v>
      </c>
      <c r="B1432" s="1" t="s">
        <v>3013</v>
      </c>
      <c r="C1432" s="1" t="s">
        <v>3013</v>
      </c>
      <c r="E1432" s="4" t="s">
        <v>3014</v>
      </c>
      <c r="G1432" s="16"/>
      <c r="I1432">
        <v>1.6</v>
      </c>
      <c r="M1432">
        <v>1</v>
      </c>
      <c r="N1432">
        <v>-1</v>
      </c>
      <c r="O1432">
        <v>0</v>
      </c>
      <c r="P1432">
        <v>0.48</v>
      </c>
      <c r="Q1432">
        <v>-0.48</v>
      </c>
      <c r="R1432" t="s">
        <v>492</v>
      </c>
      <c r="S1432">
        <v>0</v>
      </c>
      <c r="T1432">
        <v>0</v>
      </c>
      <c r="U1432">
        <v>0</v>
      </c>
      <c r="V1432">
        <v>0</v>
      </c>
      <c r="W1432">
        <v>400004</v>
      </c>
      <c r="AE1432">
        <v>0</v>
      </c>
      <c r="AH1432">
        <v>1.6</v>
      </c>
      <c r="AP1432" t="s">
        <v>352</v>
      </c>
    </row>
    <row r="1433" spans="1:42">
      <c r="A1433" s="1" t="s">
        <v>46</v>
      </c>
      <c r="B1433" s="1" t="s">
        <v>3015</v>
      </c>
      <c r="C1433" s="1" t="s">
        <v>3015</v>
      </c>
      <c r="E1433" s="4" t="s">
        <v>3016</v>
      </c>
      <c r="G1433" s="16"/>
      <c r="I1433">
        <v>1.34</v>
      </c>
      <c r="M1433">
        <v>1</v>
      </c>
      <c r="N1433">
        <v>549</v>
      </c>
      <c r="O1433">
        <v>0</v>
      </c>
      <c r="P1433">
        <v>0.5</v>
      </c>
      <c r="Q1433">
        <v>274.5</v>
      </c>
      <c r="R1433" t="s">
        <v>492</v>
      </c>
      <c r="S1433">
        <v>0</v>
      </c>
      <c r="T1433" t="s">
        <v>52</v>
      </c>
      <c r="U1433">
        <v>0</v>
      </c>
      <c r="V1433">
        <v>0</v>
      </c>
      <c r="W1433">
        <v>400043</v>
      </c>
      <c r="AE1433">
        <v>0</v>
      </c>
      <c r="AH1433">
        <v>1.34</v>
      </c>
      <c r="AP1433" t="s">
        <v>422</v>
      </c>
    </row>
    <row r="1434" spans="1:42">
      <c r="A1434" s="1" t="s">
        <v>46</v>
      </c>
      <c r="B1434" s="1" t="s">
        <v>3017</v>
      </c>
      <c r="C1434" s="1" t="s">
        <v>3017</v>
      </c>
      <c r="E1434" s="4" t="s">
        <v>3018</v>
      </c>
      <c r="G1434" s="16"/>
      <c r="I1434">
        <v>1.1499999999999999</v>
      </c>
      <c r="M1434">
        <v>1</v>
      </c>
      <c r="N1434">
        <v>-193</v>
      </c>
      <c r="O1434">
        <v>0</v>
      </c>
      <c r="P1434">
        <v>0.9</v>
      </c>
      <c r="Q1434">
        <v>-174.04</v>
      </c>
      <c r="R1434" t="s">
        <v>492</v>
      </c>
      <c r="S1434">
        <v>0</v>
      </c>
      <c r="T1434">
        <v>0</v>
      </c>
      <c r="U1434">
        <v>0</v>
      </c>
      <c r="V1434">
        <v>0</v>
      </c>
      <c r="W1434">
        <v>400125</v>
      </c>
      <c r="AE1434">
        <v>0</v>
      </c>
      <c r="AH1434">
        <v>1.1499999999999999</v>
      </c>
      <c r="AP1434" t="s">
        <v>184</v>
      </c>
    </row>
    <row r="1435" spans="1:42">
      <c r="A1435" s="1" t="s">
        <v>46</v>
      </c>
      <c r="B1435" s="1" t="s">
        <v>3019</v>
      </c>
      <c r="C1435" s="1" t="s">
        <v>3019</v>
      </c>
      <c r="E1435" s="4" t="s">
        <v>3020</v>
      </c>
      <c r="G1435" s="16"/>
      <c r="I1435">
        <v>2</v>
      </c>
      <c r="M1435">
        <v>1</v>
      </c>
      <c r="N1435">
        <v>-29</v>
      </c>
      <c r="O1435">
        <v>0</v>
      </c>
      <c r="P1435">
        <v>0.7</v>
      </c>
      <c r="Q1435">
        <v>-20.3</v>
      </c>
      <c r="R1435" t="s">
        <v>492</v>
      </c>
      <c r="S1435">
        <v>0</v>
      </c>
      <c r="T1435">
        <v>0</v>
      </c>
      <c r="U1435">
        <v>0</v>
      </c>
      <c r="V1435">
        <v>0</v>
      </c>
      <c r="W1435">
        <v>400123</v>
      </c>
      <c r="AE1435">
        <v>0</v>
      </c>
      <c r="AH1435">
        <v>2</v>
      </c>
      <c r="AP1435" t="s">
        <v>291</v>
      </c>
    </row>
    <row r="1436" spans="1:42">
      <c r="A1436" s="1" t="s">
        <v>46</v>
      </c>
      <c r="B1436" s="1" t="s">
        <v>3021</v>
      </c>
      <c r="C1436" s="1" t="s">
        <v>3021</v>
      </c>
      <c r="E1436" s="4" t="s">
        <v>3022</v>
      </c>
      <c r="G1436" s="16">
        <v>1</v>
      </c>
      <c r="I1436">
        <v>2.65</v>
      </c>
      <c r="M1436">
        <v>1</v>
      </c>
      <c r="N1436">
        <v>66</v>
      </c>
      <c r="O1436">
        <v>0</v>
      </c>
      <c r="P1436">
        <v>1.86</v>
      </c>
      <c r="Q1436">
        <v>122.86</v>
      </c>
      <c r="R1436" t="s">
        <v>492</v>
      </c>
      <c r="S1436">
        <v>0</v>
      </c>
      <c r="T1436">
        <v>0</v>
      </c>
      <c r="U1436">
        <v>0</v>
      </c>
      <c r="V1436">
        <v>0</v>
      </c>
      <c r="W1436">
        <v>400159</v>
      </c>
      <c r="AE1436">
        <v>0</v>
      </c>
      <c r="AH1436">
        <v>2.65</v>
      </c>
      <c r="AP1436" t="s">
        <v>190</v>
      </c>
    </row>
    <row r="1437" spans="1:42">
      <c r="A1437" s="1" t="s">
        <v>46</v>
      </c>
      <c r="B1437" s="1" t="s">
        <v>3023</v>
      </c>
      <c r="C1437" s="1" t="s">
        <v>3023</v>
      </c>
      <c r="E1437" s="4" t="s">
        <v>3024</v>
      </c>
      <c r="G1437" s="16"/>
      <c r="I1437">
        <v>1.5</v>
      </c>
      <c r="M1437">
        <v>1</v>
      </c>
      <c r="N1437">
        <v>63</v>
      </c>
      <c r="O1437">
        <v>0</v>
      </c>
      <c r="P1437">
        <v>0.7</v>
      </c>
      <c r="Q1437">
        <v>44.1</v>
      </c>
      <c r="R1437" t="s">
        <v>492</v>
      </c>
      <c r="S1437">
        <v>0</v>
      </c>
      <c r="T1437">
        <v>0</v>
      </c>
      <c r="U1437">
        <v>0</v>
      </c>
      <c r="V1437">
        <v>0</v>
      </c>
      <c r="W1437">
        <v>400125</v>
      </c>
      <c r="AE1437">
        <v>0</v>
      </c>
      <c r="AH1437">
        <v>1.5</v>
      </c>
      <c r="AP1437" t="s">
        <v>184</v>
      </c>
    </row>
    <row r="1438" spans="1:42">
      <c r="A1438" s="1" t="s">
        <v>46</v>
      </c>
      <c r="B1438" s="1" t="s">
        <v>3025</v>
      </c>
      <c r="C1438" s="1" t="s">
        <v>3025</v>
      </c>
      <c r="E1438" s="4" t="s">
        <v>3026</v>
      </c>
      <c r="G1438" s="16">
        <v>0.5</v>
      </c>
      <c r="I1438">
        <v>2</v>
      </c>
      <c r="M1438">
        <v>1</v>
      </c>
      <c r="N1438">
        <v>-1</v>
      </c>
      <c r="O1438">
        <v>0</v>
      </c>
      <c r="R1438" t="s">
        <v>492</v>
      </c>
      <c r="S1438">
        <v>0</v>
      </c>
      <c r="T1438">
        <v>0</v>
      </c>
      <c r="U1438">
        <v>0</v>
      </c>
      <c r="V1438">
        <v>0</v>
      </c>
      <c r="AE1438">
        <v>0</v>
      </c>
      <c r="AH1438">
        <v>2</v>
      </c>
    </row>
    <row r="1439" spans="1:42">
      <c r="A1439" s="1" t="s">
        <v>46</v>
      </c>
      <c r="B1439" s="1" t="s">
        <v>3027</v>
      </c>
      <c r="C1439" s="1" t="s">
        <v>3027</v>
      </c>
      <c r="E1439" s="4" t="s">
        <v>3028</v>
      </c>
      <c r="G1439" s="16"/>
      <c r="I1439">
        <v>3</v>
      </c>
      <c r="M1439">
        <v>1</v>
      </c>
      <c r="N1439">
        <v>6</v>
      </c>
      <c r="O1439">
        <v>0</v>
      </c>
      <c r="P1439">
        <v>2.4700000000000002</v>
      </c>
      <c r="Q1439">
        <v>14.8</v>
      </c>
      <c r="R1439" t="s">
        <v>492</v>
      </c>
      <c r="S1439">
        <v>0</v>
      </c>
      <c r="T1439">
        <v>0</v>
      </c>
      <c r="U1439">
        <v>0</v>
      </c>
      <c r="V1439">
        <v>0</v>
      </c>
      <c r="W1439">
        <v>400125</v>
      </c>
      <c r="AE1439">
        <v>0</v>
      </c>
      <c r="AH1439">
        <v>3</v>
      </c>
      <c r="AP1439" t="s">
        <v>184</v>
      </c>
    </row>
    <row r="1440" spans="1:42">
      <c r="A1440" s="1" t="s">
        <v>46</v>
      </c>
      <c r="B1440" s="1" t="s">
        <v>3029</v>
      </c>
      <c r="C1440" s="1" t="s">
        <v>3029</v>
      </c>
      <c r="E1440" s="4" t="s">
        <v>3030</v>
      </c>
      <c r="G1440" s="16"/>
      <c r="I1440">
        <v>1.5</v>
      </c>
      <c r="M1440">
        <v>1</v>
      </c>
      <c r="N1440">
        <v>184</v>
      </c>
      <c r="O1440">
        <v>0</v>
      </c>
      <c r="P1440">
        <v>1.22</v>
      </c>
      <c r="Q1440">
        <v>224.48</v>
      </c>
      <c r="R1440" t="s">
        <v>492</v>
      </c>
      <c r="S1440">
        <v>0</v>
      </c>
      <c r="T1440">
        <v>0</v>
      </c>
      <c r="U1440">
        <v>0</v>
      </c>
      <c r="V1440">
        <v>0</v>
      </c>
      <c r="W1440">
        <v>400125</v>
      </c>
      <c r="AE1440">
        <v>0</v>
      </c>
      <c r="AH1440">
        <v>1.5</v>
      </c>
      <c r="AP1440" t="s">
        <v>184</v>
      </c>
    </row>
    <row r="1441" spans="1:42">
      <c r="A1441" s="1" t="s">
        <v>46</v>
      </c>
      <c r="B1441" s="1" t="s">
        <v>3031</v>
      </c>
      <c r="C1441" s="1" t="s">
        <v>3031</v>
      </c>
      <c r="E1441" s="4" t="s">
        <v>3032</v>
      </c>
      <c r="G1441" s="16"/>
      <c r="I1441">
        <v>1.8</v>
      </c>
      <c r="M1441">
        <v>1</v>
      </c>
      <c r="N1441">
        <v>-2</v>
      </c>
      <c r="O1441">
        <v>0</v>
      </c>
      <c r="P1441">
        <v>0.59</v>
      </c>
      <c r="Q1441">
        <v>-1.18</v>
      </c>
      <c r="R1441" t="s">
        <v>492</v>
      </c>
      <c r="S1441">
        <v>0</v>
      </c>
      <c r="T1441">
        <v>0</v>
      </c>
      <c r="U1441">
        <v>0</v>
      </c>
      <c r="V1441">
        <v>0</v>
      </c>
      <c r="W1441">
        <v>400004</v>
      </c>
      <c r="AE1441">
        <v>0</v>
      </c>
      <c r="AH1441">
        <v>1.8</v>
      </c>
      <c r="AP1441" t="s">
        <v>352</v>
      </c>
    </row>
    <row r="1442" spans="1:42">
      <c r="A1442" s="1" t="s">
        <v>46</v>
      </c>
      <c r="B1442" s="1" t="s">
        <v>3033</v>
      </c>
      <c r="C1442" s="1" t="s">
        <v>3033</v>
      </c>
      <c r="E1442" s="4" t="s">
        <v>3034</v>
      </c>
      <c r="G1442" s="16"/>
      <c r="I1442">
        <v>2.2000000000000002</v>
      </c>
      <c r="M1442">
        <v>1</v>
      </c>
      <c r="N1442">
        <v>580</v>
      </c>
      <c r="O1442">
        <v>0</v>
      </c>
      <c r="P1442">
        <v>1.57</v>
      </c>
      <c r="Q1442">
        <v>911.41</v>
      </c>
      <c r="R1442" t="s">
        <v>492</v>
      </c>
      <c r="S1442">
        <v>0</v>
      </c>
      <c r="T1442" t="s">
        <v>52</v>
      </c>
      <c r="U1442">
        <v>0</v>
      </c>
      <c r="V1442">
        <v>0</v>
      </c>
      <c r="W1442">
        <v>400125</v>
      </c>
      <c r="X1442" t="s">
        <v>56</v>
      </c>
      <c r="Y1442" t="s">
        <v>57</v>
      </c>
      <c r="AE1442">
        <v>0</v>
      </c>
      <c r="AH1442">
        <v>2.2000000000000002</v>
      </c>
      <c r="AP1442" t="s">
        <v>184</v>
      </c>
    </row>
    <row r="1443" spans="1:42">
      <c r="A1443" s="1" t="s">
        <v>46</v>
      </c>
      <c r="B1443" s="1" t="s">
        <v>3035</v>
      </c>
      <c r="C1443" s="1" t="s">
        <v>3035</v>
      </c>
      <c r="E1443" s="4" t="s">
        <v>3036</v>
      </c>
      <c r="G1443" s="16"/>
      <c r="I1443">
        <v>1</v>
      </c>
      <c r="M1443">
        <v>1</v>
      </c>
      <c r="N1443">
        <v>368</v>
      </c>
      <c r="O1443">
        <v>0</v>
      </c>
      <c r="P1443">
        <v>0.25</v>
      </c>
      <c r="Q1443">
        <v>92</v>
      </c>
      <c r="R1443" t="s">
        <v>492</v>
      </c>
      <c r="S1443">
        <v>0</v>
      </c>
      <c r="T1443" t="s">
        <v>52</v>
      </c>
      <c r="U1443">
        <v>0</v>
      </c>
      <c r="V1443">
        <v>0</v>
      </c>
      <c r="W1443">
        <v>400110</v>
      </c>
      <c r="AE1443">
        <v>0</v>
      </c>
      <c r="AH1443">
        <v>1</v>
      </c>
      <c r="AP1443" t="s">
        <v>344</v>
      </c>
    </row>
    <row r="1444" spans="1:42">
      <c r="A1444" s="1" t="s">
        <v>46</v>
      </c>
      <c r="B1444" s="1" t="s">
        <v>3037</v>
      </c>
      <c r="C1444" s="1" t="s">
        <v>3037</v>
      </c>
      <c r="E1444" s="4" t="s">
        <v>3038</v>
      </c>
      <c r="G1444" s="16">
        <v>0.75</v>
      </c>
      <c r="I1444">
        <v>0.9</v>
      </c>
      <c r="M1444">
        <v>1</v>
      </c>
      <c r="N1444">
        <v>-156</v>
      </c>
      <c r="O1444">
        <v>0</v>
      </c>
      <c r="P1444">
        <v>0.3</v>
      </c>
      <c r="Q1444">
        <v>-46.8</v>
      </c>
      <c r="R1444" t="s">
        <v>492</v>
      </c>
      <c r="S1444">
        <v>0</v>
      </c>
      <c r="T1444" t="s">
        <v>52</v>
      </c>
      <c r="U1444">
        <v>0</v>
      </c>
      <c r="V1444">
        <v>0</v>
      </c>
      <c r="W1444">
        <v>400004</v>
      </c>
      <c r="AE1444">
        <v>0</v>
      </c>
      <c r="AH1444">
        <v>0.9</v>
      </c>
      <c r="AP1444" t="s">
        <v>352</v>
      </c>
    </row>
    <row r="1445" spans="1:42">
      <c r="A1445" s="1" t="s">
        <v>46</v>
      </c>
      <c r="B1445" s="1" t="s">
        <v>3039</v>
      </c>
      <c r="C1445" s="1" t="s">
        <v>3039</v>
      </c>
      <c r="E1445" s="4" t="s">
        <v>3040</v>
      </c>
      <c r="G1445" s="16"/>
      <c r="I1445">
        <v>1.1000000000000001</v>
      </c>
      <c r="M1445">
        <v>1</v>
      </c>
      <c r="N1445">
        <v>2549</v>
      </c>
      <c r="O1445">
        <v>0</v>
      </c>
      <c r="P1445">
        <v>1.04</v>
      </c>
      <c r="Q1445">
        <v>2650.96</v>
      </c>
      <c r="R1445" t="s">
        <v>492</v>
      </c>
      <c r="S1445">
        <v>0</v>
      </c>
      <c r="T1445" t="s">
        <v>52</v>
      </c>
      <c r="U1445">
        <v>0</v>
      </c>
      <c r="V1445">
        <v>0</v>
      </c>
      <c r="W1445">
        <v>400125</v>
      </c>
      <c r="AE1445">
        <v>0</v>
      </c>
      <c r="AH1445">
        <v>1.1000000000000001</v>
      </c>
      <c r="AP1445" t="s">
        <v>184</v>
      </c>
    </row>
    <row r="1446" spans="1:42">
      <c r="A1446" s="1" t="s">
        <v>46</v>
      </c>
      <c r="B1446" s="1" t="s">
        <v>3041</v>
      </c>
      <c r="C1446" s="1" t="s">
        <v>3041</v>
      </c>
      <c r="E1446" s="4" t="s">
        <v>3042</v>
      </c>
      <c r="G1446" s="16"/>
      <c r="I1446">
        <v>0.8</v>
      </c>
      <c r="M1446">
        <v>1</v>
      </c>
      <c r="N1446">
        <v>635</v>
      </c>
      <c r="O1446">
        <v>0</v>
      </c>
      <c r="P1446">
        <v>1.4</v>
      </c>
      <c r="Q1446">
        <v>887.73</v>
      </c>
      <c r="R1446" t="s">
        <v>492</v>
      </c>
      <c r="S1446">
        <v>0</v>
      </c>
      <c r="T1446" t="s">
        <v>52</v>
      </c>
      <c r="U1446">
        <v>0</v>
      </c>
      <c r="V1446">
        <v>0</v>
      </c>
      <c r="W1446">
        <v>400013</v>
      </c>
      <c r="X1446" t="s">
        <v>56</v>
      </c>
      <c r="Y1446" t="s">
        <v>57</v>
      </c>
      <c r="AE1446">
        <v>0</v>
      </c>
      <c r="AH1446">
        <v>0.8</v>
      </c>
      <c r="AP1446" t="s">
        <v>232</v>
      </c>
    </row>
    <row r="1447" spans="1:42">
      <c r="A1447" s="1" t="s">
        <v>46</v>
      </c>
      <c r="B1447" s="1" t="s">
        <v>3043</v>
      </c>
      <c r="C1447" s="1" t="s">
        <v>3043</v>
      </c>
      <c r="E1447" s="4" t="s">
        <v>3044</v>
      </c>
      <c r="G1447" s="16">
        <v>1.65</v>
      </c>
      <c r="I1447">
        <v>0.96</v>
      </c>
      <c r="M1447">
        <v>1</v>
      </c>
      <c r="N1447">
        <v>15</v>
      </c>
      <c r="O1447">
        <v>0</v>
      </c>
      <c r="P1447">
        <v>0.65</v>
      </c>
      <c r="Q1447">
        <v>9.75</v>
      </c>
      <c r="R1447" t="s">
        <v>492</v>
      </c>
      <c r="S1447">
        <v>0</v>
      </c>
      <c r="T1447" t="s">
        <v>52</v>
      </c>
      <c r="W1447">
        <v>400110</v>
      </c>
      <c r="AE1447">
        <v>0</v>
      </c>
      <c r="AH1447">
        <v>0.96</v>
      </c>
      <c r="AP1447" t="s">
        <v>344</v>
      </c>
    </row>
    <row r="1448" spans="1:42">
      <c r="A1448" s="1" t="s">
        <v>46</v>
      </c>
      <c r="B1448" s="1" t="s">
        <v>3045</v>
      </c>
      <c r="C1448" s="1" t="s">
        <v>3045</v>
      </c>
      <c r="E1448" s="4" t="s">
        <v>3046</v>
      </c>
      <c r="G1448" s="16">
        <v>2.5</v>
      </c>
      <c r="I1448">
        <v>3.75</v>
      </c>
      <c r="M1448">
        <v>1</v>
      </c>
      <c r="N1448">
        <v>396</v>
      </c>
      <c r="O1448">
        <v>0</v>
      </c>
      <c r="P1448">
        <v>1.2</v>
      </c>
      <c r="Q1448">
        <v>475.2</v>
      </c>
      <c r="R1448" t="s">
        <v>492</v>
      </c>
      <c r="S1448">
        <v>0</v>
      </c>
      <c r="T1448">
        <v>0</v>
      </c>
      <c r="U1448">
        <v>0</v>
      </c>
      <c r="V1448">
        <v>0</v>
      </c>
      <c r="W1448">
        <v>400195</v>
      </c>
      <c r="X1448" t="s">
        <v>56</v>
      </c>
      <c r="Y1448" t="s">
        <v>57</v>
      </c>
      <c r="AE1448">
        <v>0</v>
      </c>
      <c r="AH1448">
        <v>3.75</v>
      </c>
      <c r="AP1448" t="s">
        <v>380</v>
      </c>
    </row>
    <row r="1449" spans="1:42">
      <c r="A1449" s="1" t="s">
        <v>46</v>
      </c>
      <c r="B1449" s="1" t="s">
        <v>3047</v>
      </c>
      <c r="C1449" s="1" t="s">
        <v>3047</v>
      </c>
      <c r="E1449" s="4" t="s">
        <v>3048</v>
      </c>
      <c r="G1449" s="16"/>
      <c r="I1449">
        <v>1.7</v>
      </c>
      <c r="M1449">
        <v>1</v>
      </c>
      <c r="N1449">
        <v>175</v>
      </c>
      <c r="O1449">
        <v>0</v>
      </c>
      <c r="P1449">
        <v>1.08</v>
      </c>
      <c r="Q1449">
        <v>188.81</v>
      </c>
      <c r="R1449" t="s">
        <v>492</v>
      </c>
      <c r="S1449">
        <v>0</v>
      </c>
      <c r="T1449" t="s">
        <v>52</v>
      </c>
      <c r="U1449">
        <v>0</v>
      </c>
      <c r="V1449">
        <v>0</v>
      </c>
      <c r="W1449">
        <v>400125</v>
      </c>
      <c r="AE1449">
        <v>0</v>
      </c>
      <c r="AH1449">
        <v>1.7</v>
      </c>
      <c r="AP1449" t="s">
        <v>184</v>
      </c>
    </row>
    <row r="1450" spans="1:42">
      <c r="A1450" s="1" t="s">
        <v>46</v>
      </c>
      <c r="B1450" s="1" t="s">
        <v>3049</v>
      </c>
      <c r="C1450" s="1" t="s">
        <v>3049</v>
      </c>
      <c r="E1450" s="4" t="s">
        <v>3050</v>
      </c>
      <c r="G1450" s="16">
        <v>0.5</v>
      </c>
      <c r="I1450">
        <v>1.8</v>
      </c>
      <c r="M1450">
        <v>1</v>
      </c>
      <c r="N1450">
        <v>215</v>
      </c>
      <c r="O1450">
        <v>0</v>
      </c>
      <c r="P1450">
        <v>1.28</v>
      </c>
      <c r="Q1450">
        <v>274.45</v>
      </c>
      <c r="R1450" t="s">
        <v>492</v>
      </c>
      <c r="S1450">
        <v>0</v>
      </c>
      <c r="T1450">
        <v>0</v>
      </c>
      <c r="U1450">
        <v>0</v>
      </c>
      <c r="V1450">
        <v>0</v>
      </c>
      <c r="W1450">
        <v>400125</v>
      </c>
      <c r="AE1450">
        <v>0</v>
      </c>
      <c r="AH1450">
        <v>1.8</v>
      </c>
      <c r="AP1450" t="s">
        <v>184</v>
      </c>
    </row>
    <row r="1451" spans="1:42">
      <c r="A1451" s="1" t="s">
        <v>46</v>
      </c>
      <c r="B1451" s="1" t="s">
        <v>3051</v>
      </c>
      <c r="C1451" s="1" t="s">
        <v>3051</v>
      </c>
      <c r="E1451" s="4" t="s">
        <v>3052</v>
      </c>
      <c r="G1451" s="16"/>
      <c r="I1451">
        <v>2.8</v>
      </c>
      <c r="M1451">
        <v>1</v>
      </c>
      <c r="N1451">
        <v>14</v>
      </c>
      <c r="O1451">
        <v>0</v>
      </c>
      <c r="P1451">
        <v>2.8</v>
      </c>
      <c r="Q1451">
        <v>39.200000000000003</v>
      </c>
      <c r="R1451" t="s">
        <v>492</v>
      </c>
      <c r="S1451">
        <v>0</v>
      </c>
      <c r="T1451" t="s">
        <v>52</v>
      </c>
      <c r="U1451">
        <v>0</v>
      </c>
      <c r="V1451">
        <v>0</v>
      </c>
      <c r="W1451">
        <v>400125</v>
      </c>
      <c r="AE1451">
        <v>0</v>
      </c>
      <c r="AH1451">
        <v>2.8</v>
      </c>
      <c r="AP1451" t="s">
        <v>184</v>
      </c>
    </row>
    <row r="1452" spans="1:42">
      <c r="A1452" s="1" t="s">
        <v>46</v>
      </c>
      <c r="B1452" s="1" t="s">
        <v>3053</v>
      </c>
      <c r="C1452" s="1" t="s">
        <v>3053</v>
      </c>
      <c r="E1452" s="4" t="s">
        <v>3054</v>
      </c>
      <c r="G1452" s="16">
        <v>0.5</v>
      </c>
      <c r="I1452">
        <v>3.5</v>
      </c>
      <c r="M1452">
        <v>1</v>
      </c>
      <c r="N1452">
        <v>1</v>
      </c>
      <c r="O1452">
        <v>0</v>
      </c>
      <c r="P1452">
        <v>2.52</v>
      </c>
      <c r="Q1452">
        <v>2.52</v>
      </c>
      <c r="R1452" t="s">
        <v>492</v>
      </c>
      <c r="S1452">
        <v>0</v>
      </c>
      <c r="T1452" t="s">
        <v>52</v>
      </c>
      <c r="U1452">
        <v>0</v>
      </c>
      <c r="V1452">
        <v>0</v>
      </c>
      <c r="W1452">
        <v>400013</v>
      </c>
      <c r="AE1452">
        <v>0</v>
      </c>
      <c r="AH1452">
        <v>3.5</v>
      </c>
      <c r="AP1452" t="s">
        <v>232</v>
      </c>
    </row>
    <row r="1453" spans="1:42">
      <c r="A1453" s="1" t="s">
        <v>46</v>
      </c>
      <c r="B1453" s="1" t="s">
        <v>3055</v>
      </c>
      <c r="C1453" s="1" t="s">
        <v>3055</v>
      </c>
      <c r="E1453" s="4" t="s">
        <v>3056</v>
      </c>
      <c r="G1453" s="16"/>
      <c r="I1453">
        <v>1.85</v>
      </c>
      <c r="M1453">
        <v>1</v>
      </c>
      <c r="N1453">
        <v>-1</v>
      </c>
      <c r="O1453">
        <v>0</v>
      </c>
      <c r="P1453">
        <v>0.56000000000000005</v>
      </c>
      <c r="Q1453">
        <v>-0.56000000000000005</v>
      </c>
      <c r="R1453" t="s">
        <v>492</v>
      </c>
      <c r="S1453">
        <v>0</v>
      </c>
      <c r="T1453">
        <v>0</v>
      </c>
      <c r="U1453">
        <v>0</v>
      </c>
      <c r="V1453">
        <v>0</v>
      </c>
      <c r="W1453">
        <v>400112</v>
      </c>
      <c r="AE1453">
        <v>0</v>
      </c>
      <c r="AH1453">
        <v>1.85</v>
      </c>
      <c r="AP1453" t="s">
        <v>220</v>
      </c>
    </row>
    <row r="1454" spans="1:42">
      <c r="A1454" s="1" t="s">
        <v>46</v>
      </c>
      <c r="B1454" s="1" t="s">
        <v>3057</v>
      </c>
      <c r="C1454" s="1" t="s">
        <v>3057</v>
      </c>
      <c r="E1454" s="4" t="s">
        <v>3058</v>
      </c>
      <c r="G1454" s="16">
        <v>0.75</v>
      </c>
      <c r="I1454">
        <v>1.1000000000000001</v>
      </c>
      <c r="M1454">
        <v>1</v>
      </c>
      <c r="N1454">
        <v>-1</v>
      </c>
      <c r="O1454">
        <v>0</v>
      </c>
      <c r="R1454" t="s">
        <v>492</v>
      </c>
      <c r="S1454">
        <v>0</v>
      </c>
      <c r="T1454">
        <v>0</v>
      </c>
      <c r="U1454">
        <v>0</v>
      </c>
      <c r="V1454">
        <v>0</v>
      </c>
      <c r="AE1454">
        <v>0</v>
      </c>
      <c r="AH1454">
        <v>1.1000000000000001</v>
      </c>
    </row>
    <row r="1455" spans="1:42">
      <c r="A1455" s="1" t="s">
        <v>46</v>
      </c>
      <c r="B1455" s="1" t="s">
        <v>3059</v>
      </c>
      <c r="C1455" s="1" t="s">
        <v>3059</v>
      </c>
      <c r="E1455" s="4" t="s">
        <v>3060</v>
      </c>
      <c r="G1455" s="16">
        <v>0.35</v>
      </c>
      <c r="I1455">
        <v>0.96</v>
      </c>
      <c r="M1455">
        <v>1</v>
      </c>
      <c r="N1455">
        <v>623</v>
      </c>
      <c r="O1455">
        <v>0</v>
      </c>
      <c r="P1455">
        <v>0.32</v>
      </c>
      <c r="Q1455">
        <v>199.36</v>
      </c>
      <c r="R1455" t="s">
        <v>492</v>
      </c>
      <c r="S1455">
        <v>0</v>
      </c>
      <c r="T1455" t="s">
        <v>52</v>
      </c>
      <c r="U1455">
        <v>0</v>
      </c>
      <c r="V1455">
        <v>0</v>
      </c>
      <c r="W1455">
        <v>400110</v>
      </c>
      <c r="AE1455">
        <v>0</v>
      </c>
      <c r="AH1455">
        <v>0.96</v>
      </c>
      <c r="AP1455" t="s">
        <v>344</v>
      </c>
    </row>
    <row r="1456" spans="1:42">
      <c r="A1456" s="1" t="s">
        <v>46</v>
      </c>
      <c r="B1456" s="1" t="s">
        <v>3061</v>
      </c>
      <c r="C1456" s="1" t="s">
        <v>3061</v>
      </c>
      <c r="E1456" s="4" t="s">
        <v>3062</v>
      </c>
      <c r="G1456" s="16"/>
      <c r="M1456">
        <v>1</v>
      </c>
      <c r="N1456">
        <v>-9</v>
      </c>
      <c r="O1456">
        <v>0</v>
      </c>
      <c r="P1456">
        <v>2.34</v>
      </c>
      <c r="Q1456">
        <v>-21.04</v>
      </c>
      <c r="R1456" t="s">
        <v>492</v>
      </c>
      <c r="S1456">
        <v>0</v>
      </c>
      <c r="T1456">
        <v>0</v>
      </c>
      <c r="U1456">
        <v>0</v>
      </c>
      <c r="V1456">
        <v>0</v>
      </c>
      <c r="W1456">
        <v>400125</v>
      </c>
      <c r="AE1456">
        <v>0</v>
      </c>
      <c r="AP1456" t="s">
        <v>184</v>
      </c>
    </row>
    <row r="1457" spans="1:42">
      <c r="A1457" s="1" t="s">
        <v>46</v>
      </c>
      <c r="B1457" s="1" t="s">
        <v>3063</v>
      </c>
      <c r="C1457" s="1" t="s">
        <v>3063</v>
      </c>
      <c r="E1457" s="4" t="s">
        <v>3064</v>
      </c>
      <c r="G1457" s="16">
        <v>0.65</v>
      </c>
      <c r="M1457">
        <v>1</v>
      </c>
      <c r="N1457">
        <v>5</v>
      </c>
      <c r="O1457">
        <v>0</v>
      </c>
      <c r="P1457">
        <v>2.57</v>
      </c>
      <c r="Q1457">
        <v>12.84</v>
      </c>
      <c r="R1457" t="s">
        <v>492</v>
      </c>
      <c r="S1457">
        <v>0</v>
      </c>
      <c r="T1457">
        <v>0</v>
      </c>
      <c r="U1457">
        <v>0</v>
      </c>
      <c r="V1457">
        <v>0</v>
      </c>
      <c r="W1457">
        <v>400126</v>
      </c>
      <c r="AE1457">
        <v>0</v>
      </c>
      <c r="AP1457" t="s">
        <v>277</v>
      </c>
    </row>
    <row r="1458" spans="1:42">
      <c r="A1458" s="1" t="s">
        <v>46</v>
      </c>
      <c r="B1458" s="1" t="s">
        <v>3065</v>
      </c>
      <c r="C1458" s="1" t="s">
        <v>3065</v>
      </c>
      <c r="E1458" s="4" t="s">
        <v>3066</v>
      </c>
      <c r="G1458" s="16"/>
      <c r="I1458">
        <v>2</v>
      </c>
      <c r="M1458">
        <v>1</v>
      </c>
      <c r="N1458">
        <v>8</v>
      </c>
      <c r="O1458">
        <v>0</v>
      </c>
      <c r="P1458">
        <v>1.77</v>
      </c>
      <c r="Q1458">
        <v>14.2</v>
      </c>
      <c r="R1458" t="s">
        <v>492</v>
      </c>
      <c r="S1458">
        <v>0</v>
      </c>
      <c r="T1458">
        <v>0</v>
      </c>
      <c r="U1458">
        <v>0</v>
      </c>
      <c r="V1458">
        <v>0</v>
      </c>
      <c r="W1458">
        <v>400126</v>
      </c>
      <c r="AE1458">
        <v>0</v>
      </c>
      <c r="AH1458">
        <v>2</v>
      </c>
      <c r="AP1458" t="s">
        <v>277</v>
      </c>
    </row>
    <row r="1459" spans="1:42">
      <c r="A1459" s="1" t="s">
        <v>46</v>
      </c>
      <c r="B1459" s="1" t="s">
        <v>3067</v>
      </c>
      <c r="C1459" s="1" t="s">
        <v>3067</v>
      </c>
      <c r="E1459" s="4" t="s">
        <v>3068</v>
      </c>
      <c r="G1459" s="16">
        <v>0.75</v>
      </c>
      <c r="I1459">
        <v>0.8</v>
      </c>
      <c r="M1459">
        <v>1</v>
      </c>
      <c r="N1459">
        <v>2477</v>
      </c>
      <c r="O1459">
        <v>0</v>
      </c>
      <c r="P1459">
        <v>0.26</v>
      </c>
      <c r="Q1459">
        <v>634.11</v>
      </c>
      <c r="R1459" t="s">
        <v>492</v>
      </c>
      <c r="S1459">
        <v>0</v>
      </c>
      <c r="T1459">
        <v>0</v>
      </c>
      <c r="U1459">
        <v>0</v>
      </c>
      <c r="V1459">
        <v>0</v>
      </c>
      <c r="W1459">
        <v>400195</v>
      </c>
      <c r="X1459" t="s">
        <v>56</v>
      </c>
      <c r="Y1459" t="s">
        <v>57</v>
      </c>
      <c r="AE1459">
        <v>0</v>
      </c>
      <c r="AH1459">
        <v>0.8</v>
      </c>
      <c r="AP1459" t="s">
        <v>380</v>
      </c>
    </row>
    <row r="1460" spans="1:42">
      <c r="A1460" s="1" t="s">
        <v>46</v>
      </c>
      <c r="B1460" s="1" t="s">
        <v>3069</v>
      </c>
      <c r="C1460" s="1" t="s">
        <v>3069</v>
      </c>
      <c r="E1460" s="4" t="s">
        <v>3070</v>
      </c>
      <c r="G1460" s="16"/>
      <c r="I1460">
        <v>1.6</v>
      </c>
      <c r="M1460">
        <v>1</v>
      </c>
      <c r="N1460">
        <v>-1</v>
      </c>
      <c r="O1460">
        <v>0</v>
      </c>
      <c r="P1460">
        <v>0.69</v>
      </c>
      <c r="Q1460">
        <v>-0.69</v>
      </c>
      <c r="R1460" t="s">
        <v>492</v>
      </c>
      <c r="S1460">
        <v>0</v>
      </c>
      <c r="T1460" t="s">
        <v>52</v>
      </c>
      <c r="U1460">
        <v>0</v>
      </c>
      <c r="V1460">
        <v>0</v>
      </c>
      <c r="W1460">
        <v>400023</v>
      </c>
      <c r="AE1460">
        <v>0</v>
      </c>
      <c r="AH1460">
        <v>1.6</v>
      </c>
      <c r="AP1460" t="s">
        <v>369</v>
      </c>
    </row>
    <row r="1461" spans="1:42">
      <c r="A1461" s="1" t="s">
        <v>46</v>
      </c>
      <c r="B1461" s="1" t="s">
        <v>3071</v>
      </c>
      <c r="C1461" s="1" t="s">
        <v>3071</v>
      </c>
      <c r="E1461" s="4" t="s">
        <v>3072</v>
      </c>
      <c r="G1461" s="16"/>
      <c r="I1461">
        <v>1.3</v>
      </c>
      <c r="M1461">
        <v>1</v>
      </c>
      <c r="N1461">
        <v>-39</v>
      </c>
      <c r="O1461">
        <v>0</v>
      </c>
      <c r="P1461">
        <v>0.5</v>
      </c>
      <c r="Q1461">
        <v>-19.5</v>
      </c>
      <c r="R1461" t="s">
        <v>492</v>
      </c>
      <c r="S1461">
        <v>0</v>
      </c>
      <c r="T1461">
        <v>0</v>
      </c>
      <c r="U1461">
        <v>0</v>
      </c>
      <c r="V1461">
        <v>0</v>
      </c>
      <c r="W1461">
        <v>400110</v>
      </c>
      <c r="AE1461">
        <v>0</v>
      </c>
      <c r="AH1461">
        <v>1.3</v>
      </c>
      <c r="AP1461" t="s">
        <v>344</v>
      </c>
    </row>
    <row r="1462" spans="1:42">
      <c r="A1462" s="1" t="s">
        <v>46</v>
      </c>
      <c r="B1462" s="1" t="s">
        <v>3073</v>
      </c>
      <c r="C1462" s="1" t="s">
        <v>3073</v>
      </c>
      <c r="E1462" s="4" t="s">
        <v>3074</v>
      </c>
      <c r="G1462" s="16">
        <v>0.65</v>
      </c>
      <c r="I1462">
        <v>2.2000000000000002</v>
      </c>
      <c r="M1462">
        <v>1</v>
      </c>
      <c r="N1462">
        <v>-4</v>
      </c>
      <c r="O1462">
        <v>0</v>
      </c>
      <c r="P1462">
        <v>0.99</v>
      </c>
      <c r="Q1462">
        <v>-3.96</v>
      </c>
      <c r="R1462" t="s">
        <v>492</v>
      </c>
      <c r="S1462">
        <v>0</v>
      </c>
      <c r="T1462">
        <v>0</v>
      </c>
      <c r="U1462">
        <v>0</v>
      </c>
      <c r="V1462">
        <v>0</v>
      </c>
      <c r="W1462">
        <v>400126</v>
      </c>
      <c r="AE1462">
        <v>0</v>
      </c>
      <c r="AH1462">
        <v>2.2000000000000002</v>
      </c>
      <c r="AP1462" t="s">
        <v>277</v>
      </c>
    </row>
    <row r="1463" spans="1:42">
      <c r="A1463" s="1" t="s">
        <v>46</v>
      </c>
      <c r="B1463" s="1" t="s">
        <v>3075</v>
      </c>
      <c r="C1463" s="1" t="s">
        <v>3075</v>
      </c>
      <c r="E1463" s="4" t="s">
        <v>3076</v>
      </c>
      <c r="G1463" s="16">
        <v>1</v>
      </c>
      <c r="I1463">
        <v>0.8</v>
      </c>
      <c r="M1463">
        <v>1</v>
      </c>
      <c r="N1463">
        <v>1946</v>
      </c>
      <c r="O1463">
        <v>0</v>
      </c>
      <c r="P1463">
        <v>0.26</v>
      </c>
      <c r="Q1463">
        <v>498.18</v>
      </c>
      <c r="R1463" t="s">
        <v>492</v>
      </c>
      <c r="S1463">
        <v>0</v>
      </c>
      <c r="T1463">
        <v>0</v>
      </c>
      <c r="U1463">
        <v>0</v>
      </c>
      <c r="V1463">
        <v>0</v>
      </c>
      <c r="W1463">
        <v>400123</v>
      </c>
      <c r="AE1463">
        <v>0</v>
      </c>
      <c r="AH1463">
        <v>0.8</v>
      </c>
      <c r="AP1463" t="s">
        <v>291</v>
      </c>
    </row>
    <row r="1464" spans="1:42">
      <c r="A1464" s="1" t="s">
        <v>46</v>
      </c>
      <c r="B1464" s="1" t="s">
        <v>3077</v>
      </c>
      <c r="C1464" s="1" t="s">
        <v>3077</v>
      </c>
      <c r="E1464" s="4" t="s">
        <v>3078</v>
      </c>
      <c r="G1464" s="16"/>
      <c r="I1464">
        <v>1.6</v>
      </c>
      <c r="M1464">
        <v>1</v>
      </c>
      <c r="N1464">
        <v>-5</v>
      </c>
      <c r="O1464">
        <v>0</v>
      </c>
      <c r="P1464">
        <v>0.69</v>
      </c>
      <c r="Q1464">
        <v>-3.46</v>
      </c>
      <c r="R1464" t="s">
        <v>492</v>
      </c>
      <c r="S1464">
        <v>0</v>
      </c>
      <c r="T1464" t="s">
        <v>52</v>
      </c>
      <c r="U1464">
        <v>0</v>
      </c>
      <c r="V1464">
        <v>0</v>
      </c>
      <c r="W1464">
        <v>400023</v>
      </c>
      <c r="AE1464">
        <v>0</v>
      </c>
      <c r="AH1464">
        <v>1.6</v>
      </c>
      <c r="AP1464" t="s">
        <v>369</v>
      </c>
    </row>
    <row r="1465" spans="1:42">
      <c r="A1465" s="1" t="s">
        <v>46</v>
      </c>
      <c r="B1465" s="1" t="s">
        <v>3079</v>
      </c>
      <c r="C1465" s="1" t="s">
        <v>3079</v>
      </c>
      <c r="E1465" s="4" t="s">
        <v>3080</v>
      </c>
      <c r="G1465" s="16"/>
      <c r="I1465">
        <v>1.3</v>
      </c>
      <c r="M1465">
        <v>1</v>
      </c>
      <c r="N1465">
        <v>-86</v>
      </c>
      <c r="O1465">
        <v>0</v>
      </c>
      <c r="P1465">
        <v>0.97</v>
      </c>
      <c r="Q1465">
        <v>-83.42</v>
      </c>
      <c r="R1465" t="s">
        <v>492</v>
      </c>
      <c r="S1465">
        <v>0</v>
      </c>
      <c r="T1465">
        <v>0</v>
      </c>
      <c r="U1465">
        <v>0</v>
      </c>
      <c r="V1465">
        <v>0</v>
      </c>
      <c r="W1465">
        <v>400125</v>
      </c>
      <c r="AE1465">
        <v>0</v>
      </c>
      <c r="AH1465">
        <v>1.3</v>
      </c>
      <c r="AP1465" t="s">
        <v>184</v>
      </c>
    </row>
    <row r="1466" spans="1:42">
      <c r="A1466" s="1" t="s">
        <v>46</v>
      </c>
      <c r="B1466" s="1" t="s">
        <v>3081</v>
      </c>
      <c r="C1466" s="1" t="s">
        <v>3081</v>
      </c>
      <c r="E1466" s="4" t="s">
        <v>3082</v>
      </c>
      <c r="G1466" s="16"/>
      <c r="I1466">
        <v>1.2</v>
      </c>
      <c r="M1466">
        <v>1</v>
      </c>
      <c r="N1466">
        <v>3112</v>
      </c>
      <c r="O1466">
        <v>0</v>
      </c>
      <c r="P1466">
        <v>0.32</v>
      </c>
      <c r="Q1466">
        <v>1008.29</v>
      </c>
      <c r="R1466" t="s">
        <v>492</v>
      </c>
      <c r="S1466">
        <v>0</v>
      </c>
      <c r="T1466" t="s">
        <v>52</v>
      </c>
      <c r="U1466">
        <v>0</v>
      </c>
      <c r="V1466">
        <v>0</v>
      </c>
      <c r="W1466">
        <v>400195</v>
      </c>
      <c r="X1466" t="s">
        <v>56</v>
      </c>
      <c r="Y1466" t="s">
        <v>57</v>
      </c>
      <c r="AE1466">
        <v>0</v>
      </c>
      <c r="AH1466">
        <v>1.2</v>
      </c>
      <c r="AP1466" t="s">
        <v>380</v>
      </c>
    </row>
    <row r="1467" spans="1:42">
      <c r="A1467" s="1" t="s">
        <v>46</v>
      </c>
      <c r="B1467" s="1" t="s">
        <v>3083</v>
      </c>
      <c r="C1467" s="1" t="s">
        <v>3083</v>
      </c>
      <c r="E1467" s="4" t="s">
        <v>3084</v>
      </c>
      <c r="G1467" s="16"/>
      <c r="I1467">
        <v>0.6</v>
      </c>
      <c r="M1467">
        <v>1</v>
      </c>
      <c r="N1467">
        <v>647</v>
      </c>
      <c r="O1467">
        <v>0</v>
      </c>
      <c r="P1467">
        <v>0.14000000000000001</v>
      </c>
      <c r="Q1467">
        <v>90.58</v>
      </c>
      <c r="R1467" t="s">
        <v>492</v>
      </c>
      <c r="S1467">
        <v>0</v>
      </c>
      <c r="T1467" t="s">
        <v>52</v>
      </c>
      <c r="U1467">
        <v>0</v>
      </c>
      <c r="V1467">
        <v>0</v>
      </c>
      <c r="W1467">
        <v>400110</v>
      </c>
      <c r="AE1467">
        <v>0</v>
      </c>
      <c r="AH1467">
        <v>0.6</v>
      </c>
      <c r="AP1467" t="s">
        <v>344</v>
      </c>
    </row>
    <row r="1468" spans="1:42">
      <c r="A1468" s="1" t="s">
        <v>46</v>
      </c>
      <c r="B1468" s="1" t="s">
        <v>3085</v>
      </c>
      <c r="C1468" s="1" t="s">
        <v>3085</v>
      </c>
      <c r="E1468" s="4" t="s">
        <v>3086</v>
      </c>
      <c r="G1468" s="16"/>
      <c r="I1468">
        <v>0.3</v>
      </c>
      <c r="M1468">
        <v>1</v>
      </c>
      <c r="N1468">
        <v>4177</v>
      </c>
      <c r="O1468">
        <v>0</v>
      </c>
      <c r="P1468">
        <v>0.14000000000000001</v>
      </c>
      <c r="Q1468">
        <v>563.9</v>
      </c>
      <c r="R1468" t="s">
        <v>492</v>
      </c>
      <c r="S1468">
        <v>0</v>
      </c>
      <c r="T1468" t="s">
        <v>52</v>
      </c>
      <c r="U1468">
        <v>0</v>
      </c>
      <c r="V1468">
        <v>0</v>
      </c>
      <c r="W1468">
        <v>400195</v>
      </c>
      <c r="X1468" t="s">
        <v>56</v>
      </c>
      <c r="Y1468" t="s">
        <v>57</v>
      </c>
      <c r="AE1468">
        <v>0</v>
      </c>
      <c r="AF1468">
        <v>0.5</v>
      </c>
      <c r="AH1468">
        <v>0.3</v>
      </c>
      <c r="AP1468" t="s">
        <v>380</v>
      </c>
    </row>
    <row r="1469" spans="1:42">
      <c r="A1469" s="1" t="s">
        <v>46</v>
      </c>
      <c r="B1469" s="1" t="s">
        <v>3087</v>
      </c>
      <c r="C1469" s="1" t="s">
        <v>3087</v>
      </c>
      <c r="E1469" s="4" t="s">
        <v>3088</v>
      </c>
      <c r="G1469" s="16"/>
      <c r="I1469">
        <v>0.35</v>
      </c>
      <c r="M1469">
        <v>1</v>
      </c>
      <c r="N1469">
        <v>7373</v>
      </c>
      <c r="O1469">
        <v>0</v>
      </c>
      <c r="P1469">
        <v>0.56000000000000005</v>
      </c>
      <c r="Q1469">
        <v>4092.02</v>
      </c>
      <c r="R1469" t="s">
        <v>492</v>
      </c>
      <c r="S1469">
        <v>0</v>
      </c>
      <c r="T1469" t="s">
        <v>52</v>
      </c>
      <c r="U1469">
        <v>0</v>
      </c>
      <c r="V1469">
        <v>0</v>
      </c>
      <c r="W1469">
        <v>400125</v>
      </c>
      <c r="X1469" t="s">
        <v>56</v>
      </c>
      <c r="Y1469" t="s">
        <v>57</v>
      </c>
      <c r="AE1469">
        <v>0</v>
      </c>
      <c r="AF1469">
        <v>0.7</v>
      </c>
      <c r="AH1469">
        <v>0.35</v>
      </c>
      <c r="AP1469" t="s">
        <v>184</v>
      </c>
    </row>
    <row r="1470" spans="1:42">
      <c r="A1470" s="1" t="s">
        <v>46</v>
      </c>
      <c r="B1470" s="1" t="s">
        <v>3089</v>
      </c>
      <c r="C1470" s="1" t="s">
        <v>3089</v>
      </c>
      <c r="E1470" s="4" t="s">
        <v>3090</v>
      </c>
      <c r="G1470" s="16"/>
      <c r="I1470">
        <v>0.4</v>
      </c>
      <c r="M1470">
        <v>1</v>
      </c>
      <c r="N1470">
        <v>3003</v>
      </c>
      <c r="O1470">
        <v>0</v>
      </c>
      <c r="P1470">
        <v>0.27</v>
      </c>
      <c r="Q1470">
        <v>810.81</v>
      </c>
      <c r="R1470" t="s">
        <v>492</v>
      </c>
      <c r="S1470">
        <v>0</v>
      </c>
      <c r="T1470" t="s">
        <v>52</v>
      </c>
      <c r="U1470">
        <v>0</v>
      </c>
      <c r="V1470">
        <v>0</v>
      </c>
      <c r="W1470">
        <v>400203</v>
      </c>
      <c r="X1470" t="s">
        <v>56</v>
      </c>
      <c r="Y1470" t="s">
        <v>57</v>
      </c>
      <c r="AE1470">
        <v>0</v>
      </c>
      <c r="AH1470">
        <v>0.4</v>
      </c>
      <c r="AP1470" t="s">
        <v>837</v>
      </c>
    </row>
    <row r="1471" spans="1:42">
      <c r="A1471" s="1" t="s">
        <v>46</v>
      </c>
      <c r="B1471" s="1" t="s">
        <v>3091</v>
      </c>
      <c r="C1471" s="1" t="s">
        <v>3091</v>
      </c>
      <c r="E1471" s="4" t="s">
        <v>3092</v>
      </c>
      <c r="G1471" s="16"/>
      <c r="I1471">
        <v>2.6</v>
      </c>
      <c r="M1471">
        <v>1</v>
      </c>
      <c r="N1471">
        <v>856</v>
      </c>
      <c r="O1471">
        <v>0</v>
      </c>
      <c r="P1471">
        <v>0.85</v>
      </c>
      <c r="Q1471">
        <v>725.89</v>
      </c>
      <c r="R1471" t="s">
        <v>492</v>
      </c>
      <c r="S1471">
        <v>0</v>
      </c>
      <c r="T1471">
        <v>0</v>
      </c>
      <c r="U1471">
        <v>0</v>
      </c>
      <c r="V1471">
        <v>0</v>
      </c>
      <c r="W1471">
        <v>400195</v>
      </c>
      <c r="X1471" t="s">
        <v>56</v>
      </c>
      <c r="Y1471" t="s">
        <v>57</v>
      </c>
      <c r="AE1471">
        <v>0</v>
      </c>
      <c r="AH1471">
        <v>2.6</v>
      </c>
      <c r="AP1471" t="s">
        <v>380</v>
      </c>
    </row>
    <row r="1472" spans="1:42">
      <c r="A1472" s="1" t="s">
        <v>46</v>
      </c>
      <c r="B1472" s="1" t="s">
        <v>3093</v>
      </c>
      <c r="C1472" s="1" t="s">
        <v>3093</v>
      </c>
      <c r="E1472" s="4" t="s">
        <v>3094</v>
      </c>
      <c r="G1472" s="16"/>
      <c r="I1472">
        <v>0.8</v>
      </c>
      <c r="M1472">
        <v>1</v>
      </c>
      <c r="N1472">
        <v>892</v>
      </c>
      <c r="O1472">
        <v>0</v>
      </c>
      <c r="P1472">
        <v>0.4</v>
      </c>
      <c r="Q1472">
        <v>356.8</v>
      </c>
      <c r="R1472" t="s">
        <v>492</v>
      </c>
      <c r="S1472">
        <v>0</v>
      </c>
      <c r="T1472" t="s">
        <v>52</v>
      </c>
      <c r="U1472">
        <v>0</v>
      </c>
      <c r="V1472">
        <v>0</v>
      </c>
      <c r="W1472">
        <v>400125</v>
      </c>
      <c r="AE1472">
        <v>0</v>
      </c>
      <c r="AH1472">
        <v>0.8</v>
      </c>
      <c r="AP1472" t="s">
        <v>184</v>
      </c>
    </row>
    <row r="1473" spans="1:42">
      <c r="A1473" s="1" t="s">
        <v>46</v>
      </c>
      <c r="B1473" s="1" t="s">
        <v>3095</v>
      </c>
      <c r="C1473" s="1" t="s">
        <v>3095</v>
      </c>
      <c r="E1473" s="4" t="s">
        <v>3096</v>
      </c>
      <c r="G1473" s="16"/>
      <c r="I1473">
        <v>0.9</v>
      </c>
      <c r="M1473">
        <v>1</v>
      </c>
      <c r="N1473">
        <v>1787</v>
      </c>
      <c r="O1473">
        <v>0</v>
      </c>
      <c r="P1473">
        <v>0.35</v>
      </c>
      <c r="Q1473">
        <v>632.6</v>
      </c>
      <c r="R1473" t="s">
        <v>492</v>
      </c>
      <c r="S1473">
        <v>0</v>
      </c>
      <c r="T1473">
        <v>0</v>
      </c>
      <c r="U1473">
        <v>0</v>
      </c>
      <c r="V1473">
        <v>0</v>
      </c>
      <c r="W1473">
        <v>400112</v>
      </c>
      <c r="X1473" t="s">
        <v>56</v>
      </c>
      <c r="Y1473" t="s">
        <v>57</v>
      </c>
      <c r="AE1473">
        <v>0</v>
      </c>
      <c r="AH1473">
        <v>0.9</v>
      </c>
      <c r="AP1473" t="s">
        <v>220</v>
      </c>
    </row>
    <row r="1474" spans="1:42">
      <c r="A1474" s="1" t="s">
        <v>46</v>
      </c>
      <c r="B1474" s="1" t="s">
        <v>3097</v>
      </c>
      <c r="C1474" s="1" t="s">
        <v>3097</v>
      </c>
      <c r="E1474" s="4" t="s">
        <v>3098</v>
      </c>
      <c r="G1474" s="16"/>
      <c r="I1474">
        <v>1.3</v>
      </c>
      <c r="M1474">
        <v>1</v>
      </c>
      <c r="N1474">
        <v>-1</v>
      </c>
      <c r="O1474">
        <v>0</v>
      </c>
      <c r="R1474" t="s">
        <v>492</v>
      </c>
      <c r="S1474">
        <v>0</v>
      </c>
      <c r="T1474">
        <v>0</v>
      </c>
      <c r="U1474">
        <v>0</v>
      </c>
      <c r="V1474">
        <v>0</v>
      </c>
      <c r="AE1474">
        <v>0</v>
      </c>
      <c r="AH1474">
        <v>1.3</v>
      </c>
    </row>
    <row r="1475" spans="1:42">
      <c r="A1475" s="1" t="s">
        <v>46</v>
      </c>
      <c r="B1475" s="1" t="s">
        <v>3099</v>
      </c>
      <c r="C1475" s="1" t="s">
        <v>3099</v>
      </c>
      <c r="E1475" s="4" t="s">
        <v>3100</v>
      </c>
      <c r="G1475" s="16"/>
      <c r="I1475">
        <v>1.5</v>
      </c>
      <c r="M1475">
        <v>1</v>
      </c>
      <c r="N1475">
        <v>40</v>
      </c>
      <c r="O1475">
        <v>0</v>
      </c>
      <c r="P1475">
        <v>1.68</v>
      </c>
      <c r="Q1475">
        <v>67.099999999999994</v>
      </c>
      <c r="R1475" t="s">
        <v>492</v>
      </c>
      <c r="S1475">
        <v>0</v>
      </c>
      <c r="T1475" t="s">
        <v>52</v>
      </c>
      <c r="U1475">
        <v>0</v>
      </c>
      <c r="V1475">
        <v>0</v>
      </c>
      <c r="W1475">
        <v>400125</v>
      </c>
      <c r="AE1475">
        <v>0</v>
      </c>
      <c r="AH1475">
        <v>1.5</v>
      </c>
      <c r="AP1475" t="s">
        <v>184</v>
      </c>
    </row>
    <row r="1476" spans="1:42">
      <c r="A1476" s="1" t="s">
        <v>46</v>
      </c>
      <c r="B1476" s="1" t="s">
        <v>3101</v>
      </c>
      <c r="C1476" s="1" t="s">
        <v>3101</v>
      </c>
      <c r="E1476" s="4" t="s">
        <v>3102</v>
      </c>
      <c r="G1476" s="16"/>
      <c r="I1476">
        <v>0.5</v>
      </c>
      <c r="M1476">
        <v>1</v>
      </c>
      <c r="N1476">
        <v>704</v>
      </c>
      <c r="O1476">
        <v>0</v>
      </c>
      <c r="P1476">
        <v>0.26</v>
      </c>
      <c r="Q1476">
        <v>180.58</v>
      </c>
      <c r="R1476" t="s">
        <v>492</v>
      </c>
      <c r="S1476">
        <v>0</v>
      </c>
      <c r="T1476">
        <v>0</v>
      </c>
      <c r="U1476">
        <v>0</v>
      </c>
      <c r="V1476">
        <v>0</v>
      </c>
      <c r="W1476">
        <v>400195</v>
      </c>
      <c r="X1476" t="s">
        <v>56</v>
      </c>
      <c r="Y1476" t="s">
        <v>57</v>
      </c>
      <c r="AE1476">
        <v>0</v>
      </c>
      <c r="AF1476">
        <v>0.95</v>
      </c>
      <c r="AH1476">
        <v>0.5</v>
      </c>
      <c r="AP1476" t="s">
        <v>380</v>
      </c>
    </row>
    <row r="1477" spans="1:42">
      <c r="A1477" s="1" t="s">
        <v>46</v>
      </c>
      <c r="B1477" s="1" t="s">
        <v>3103</v>
      </c>
      <c r="C1477" s="1" t="s">
        <v>3103</v>
      </c>
      <c r="E1477" s="4" t="s">
        <v>3104</v>
      </c>
      <c r="G1477" s="16"/>
      <c r="I1477">
        <v>0.46</v>
      </c>
      <c r="M1477">
        <v>1</v>
      </c>
      <c r="N1477">
        <v>7494</v>
      </c>
      <c r="O1477">
        <v>0</v>
      </c>
      <c r="P1477">
        <v>0.16</v>
      </c>
      <c r="Q1477">
        <v>1199.04</v>
      </c>
      <c r="R1477" t="s">
        <v>492</v>
      </c>
      <c r="S1477">
        <v>0</v>
      </c>
      <c r="T1477" t="s">
        <v>52</v>
      </c>
      <c r="U1477">
        <v>0</v>
      </c>
      <c r="V1477">
        <v>0</v>
      </c>
      <c r="W1477">
        <v>400203</v>
      </c>
      <c r="X1477" t="s">
        <v>56</v>
      </c>
      <c r="Y1477" t="s">
        <v>57</v>
      </c>
      <c r="AE1477">
        <v>0</v>
      </c>
      <c r="AH1477">
        <v>0.46</v>
      </c>
      <c r="AP1477" t="s">
        <v>837</v>
      </c>
    </row>
    <row r="1478" spans="1:42">
      <c r="A1478" s="1" t="s">
        <v>46</v>
      </c>
      <c r="B1478" s="1" t="s">
        <v>3105</v>
      </c>
      <c r="C1478" s="1" t="s">
        <v>3105</v>
      </c>
      <c r="E1478" s="4" t="s">
        <v>3106</v>
      </c>
      <c r="G1478" s="16"/>
      <c r="I1478">
        <v>4.3</v>
      </c>
      <c r="M1478">
        <v>1</v>
      </c>
      <c r="N1478">
        <v>-2</v>
      </c>
      <c r="O1478">
        <v>0</v>
      </c>
      <c r="P1478">
        <v>1.83</v>
      </c>
      <c r="Q1478">
        <v>-3.66</v>
      </c>
      <c r="R1478" t="s">
        <v>492</v>
      </c>
      <c r="S1478">
        <v>0</v>
      </c>
      <c r="T1478" t="s">
        <v>52</v>
      </c>
      <c r="U1478">
        <v>0</v>
      </c>
      <c r="V1478">
        <v>0</v>
      </c>
      <c r="W1478">
        <v>400038</v>
      </c>
      <c r="AE1478">
        <v>0</v>
      </c>
      <c r="AH1478">
        <v>4.3</v>
      </c>
      <c r="AP1478" t="s">
        <v>1007</v>
      </c>
    </row>
    <row r="1479" spans="1:42">
      <c r="A1479" s="1" t="s">
        <v>46</v>
      </c>
      <c r="B1479" s="1" t="s">
        <v>3107</v>
      </c>
      <c r="C1479" s="1" t="s">
        <v>3107</v>
      </c>
      <c r="E1479" s="4" t="s">
        <v>3108</v>
      </c>
      <c r="G1479" s="16"/>
      <c r="I1479">
        <v>5.5</v>
      </c>
      <c r="M1479">
        <v>1</v>
      </c>
      <c r="N1479">
        <v>-1</v>
      </c>
      <c r="O1479">
        <v>0</v>
      </c>
      <c r="P1479">
        <v>2.5</v>
      </c>
      <c r="Q1479">
        <v>-2.5</v>
      </c>
      <c r="R1479" t="s">
        <v>492</v>
      </c>
      <c r="S1479">
        <v>0</v>
      </c>
      <c r="T1479">
        <v>0</v>
      </c>
      <c r="U1479">
        <v>0</v>
      </c>
      <c r="V1479">
        <v>0</v>
      </c>
      <c r="W1479">
        <v>400013</v>
      </c>
      <c r="AE1479">
        <v>0</v>
      </c>
      <c r="AH1479">
        <v>5.5</v>
      </c>
      <c r="AP1479" t="s">
        <v>232</v>
      </c>
    </row>
    <row r="1480" spans="1:42">
      <c r="A1480" s="1" t="s">
        <v>46</v>
      </c>
      <c r="B1480" s="1" t="s">
        <v>3109</v>
      </c>
      <c r="C1480" s="1" t="s">
        <v>3109</v>
      </c>
      <c r="E1480" s="4" t="s">
        <v>3110</v>
      </c>
      <c r="G1480" s="16"/>
      <c r="I1480">
        <v>5</v>
      </c>
      <c r="M1480">
        <v>1</v>
      </c>
      <c r="N1480">
        <v>101</v>
      </c>
      <c r="O1480">
        <v>0</v>
      </c>
      <c r="P1480">
        <v>1.05</v>
      </c>
      <c r="Q1480">
        <v>106.05</v>
      </c>
      <c r="R1480" t="s">
        <v>492</v>
      </c>
      <c r="S1480">
        <v>0</v>
      </c>
      <c r="T1480" t="s">
        <v>52</v>
      </c>
      <c r="U1480">
        <v>0</v>
      </c>
      <c r="V1480">
        <v>0</v>
      </c>
      <c r="W1480">
        <v>400013</v>
      </c>
      <c r="AE1480">
        <v>0</v>
      </c>
      <c r="AH1480">
        <v>5</v>
      </c>
      <c r="AP1480" t="s">
        <v>232</v>
      </c>
    </row>
    <row r="1481" spans="1:42">
      <c r="A1481" s="1" t="s">
        <v>46</v>
      </c>
      <c r="B1481" s="1" t="s">
        <v>3111</v>
      </c>
      <c r="C1481" s="1" t="s">
        <v>3111</v>
      </c>
      <c r="E1481" s="4" t="s">
        <v>3112</v>
      </c>
      <c r="G1481" s="16">
        <v>2.5</v>
      </c>
      <c r="I1481">
        <v>4.5999999999999996</v>
      </c>
      <c r="M1481">
        <v>1</v>
      </c>
      <c r="N1481">
        <v>-12</v>
      </c>
      <c r="O1481">
        <v>0</v>
      </c>
      <c r="P1481">
        <v>2.54</v>
      </c>
      <c r="Q1481">
        <v>-30.48</v>
      </c>
      <c r="R1481" t="s">
        <v>492</v>
      </c>
      <c r="S1481">
        <v>0</v>
      </c>
      <c r="T1481">
        <v>0</v>
      </c>
      <c r="U1481">
        <v>0</v>
      </c>
      <c r="V1481">
        <v>0</v>
      </c>
      <c r="W1481">
        <v>400013</v>
      </c>
      <c r="AE1481">
        <v>0</v>
      </c>
      <c r="AH1481">
        <v>4.5999999999999996</v>
      </c>
      <c r="AP1481" t="s">
        <v>232</v>
      </c>
    </row>
    <row r="1482" spans="1:42">
      <c r="A1482" s="1" t="s">
        <v>46</v>
      </c>
      <c r="B1482" s="1" t="s">
        <v>3113</v>
      </c>
      <c r="C1482" s="1" t="s">
        <v>3113</v>
      </c>
      <c r="E1482" s="4" t="s">
        <v>3114</v>
      </c>
      <c r="G1482" s="16"/>
      <c r="M1482">
        <v>1</v>
      </c>
      <c r="N1482">
        <v>-2</v>
      </c>
      <c r="O1482">
        <v>0</v>
      </c>
      <c r="R1482" t="s">
        <v>492</v>
      </c>
      <c r="S1482">
        <v>0</v>
      </c>
      <c r="T1482">
        <v>0</v>
      </c>
      <c r="U1482">
        <v>0</v>
      </c>
      <c r="V1482">
        <v>0</v>
      </c>
      <c r="AE1482">
        <v>0</v>
      </c>
    </row>
    <row r="1483" spans="1:42">
      <c r="A1483" s="1" t="s">
        <v>46</v>
      </c>
      <c r="B1483" s="1" t="s">
        <v>3115</v>
      </c>
      <c r="C1483" s="1" t="s">
        <v>3115</v>
      </c>
      <c r="E1483" s="4" t="s">
        <v>3116</v>
      </c>
      <c r="G1483" s="16"/>
      <c r="I1483">
        <v>7</v>
      </c>
      <c r="M1483">
        <v>1</v>
      </c>
      <c r="N1483">
        <v>26</v>
      </c>
      <c r="O1483">
        <v>0</v>
      </c>
      <c r="P1483">
        <v>6.95</v>
      </c>
      <c r="Q1483">
        <v>180.7</v>
      </c>
      <c r="R1483" t="s">
        <v>492</v>
      </c>
      <c r="S1483">
        <v>0</v>
      </c>
      <c r="T1483" t="s">
        <v>52</v>
      </c>
      <c r="U1483">
        <v>0</v>
      </c>
      <c r="V1483">
        <v>0</v>
      </c>
      <c r="W1483">
        <v>400125</v>
      </c>
      <c r="X1483" t="s">
        <v>56</v>
      </c>
      <c r="Y1483" t="s">
        <v>57</v>
      </c>
      <c r="AE1483">
        <v>0</v>
      </c>
      <c r="AH1483">
        <v>7</v>
      </c>
      <c r="AP1483" t="s">
        <v>184</v>
      </c>
    </row>
    <row r="1484" spans="1:42">
      <c r="A1484" s="1" t="s">
        <v>46</v>
      </c>
      <c r="B1484" s="1" t="s">
        <v>3117</v>
      </c>
      <c r="C1484" s="1" t="s">
        <v>3117</v>
      </c>
      <c r="E1484" s="4" t="s">
        <v>3118</v>
      </c>
      <c r="G1484" s="16"/>
      <c r="I1484">
        <v>2.8</v>
      </c>
      <c r="M1484">
        <v>1</v>
      </c>
      <c r="N1484">
        <v>10</v>
      </c>
      <c r="O1484">
        <v>0</v>
      </c>
      <c r="P1484">
        <v>0.95</v>
      </c>
      <c r="Q1484">
        <v>9.5</v>
      </c>
      <c r="R1484" t="s">
        <v>492</v>
      </c>
      <c r="S1484">
        <v>0</v>
      </c>
      <c r="T1484" t="s">
        <v>52</v>
      </c>
      <c r="U1484">
        <v>0</v>
      </c>
      <c r="V1484">
        <v>0</v>
      </c>
      <c r="W1484">
        <v>400110</v>
      </c>
      <c r="AE1484">
        <v>0</v>
      </c>
      <c r="AH1484">
        <v>2.8</v>
      </c>
      <c r="AP1484" t="s">
        <v>344</v>
      </c>
    </row>
    <row r="1485" spans="1:42">
      <c r="A1485" s="1" t="s">
        <v>46</v>
      </c>
      <c r="B1485" s="1" t="s">
        <v>3119</v>
      </c>
      <c r="C1485" s="1" t="s">
        <v>3119</v>
      </c>
      <c r="E1485" s="4" t="s">
        <v>3120</v>
      </c>
      <c r="G1485" s="16">
        <v>1</v>
      </c>
      <c r="I1485">
        <v>2.1</v>
      </c>
      <c r="M1485">
        <v>1</v>
      </c>
      <c r="N1485">
        <v>-41</v>
      </c>
      <c r="O1485">
        <v>0</v>
      </c>
      <c r="P1485">
        <v>0.6</v>
      </c>
      <c r="Q1485">
        <v>-24.54</v>
      </c>
      <c r="R1485" t="s">
        <v>492</v>
      </c>
      <c r="S1485">
        <v>0</v>
      </c>
      <c r="T1485" t="s">
        <v>52</v>
      </c>
      <c r="U1485">
        <v>0</v>
      </c>
      <c r="V1485">
        <v>0</v>
      </c>
      <c r="W1485">
        <v>400112</v>
      </c>
      <c r="AE1485">
        <v>0</v>
      </c>
      <c r="AH1485">
        <v>2.1</v>
      </c>
      <c r="AP1485" t="s">
        <v>220</v>
      </c>
    </row>
    <row r="1486" spans="1:42">
      <c r="A1486" s="1" t="s">
        <v>46</v>
      </c>
      <c r="B1486" s="1" t="s">
        <v>3121</v>
      </c>
      <c r="C1486" s="1" t="s">
        <v>3121</v>
      </c>
      <c r="E1486" s="4" t="s">
        <v>3122</v>
      </c>
      <c r="G1486" s="16">
        <v>1.75</v>
      </c>
      <c r="I1486">
        <v>3.1</v>
      </c>
      <c r="M1486">
        <v>1</v>
      </c>
      <c r="N1486">
        <v>26</v>
      </c>
      <c r="O1486">
        <v>0</v>
      </c>
      <c r="P1486">
        <v>3.55</v>
      </c>
      <c r="Q1486">
        <v>92.35</v>
      </c>
      <c r="R1486" t="s">
        <v>492</v>
      </c>
      <c r="S1486">
        <v>0</v>
      </c>
      <c r="T1486">
        <v>0</v>
      </c>
      <c r="U1486">
        <v>0</v>
      </c>
      <c r="V1486">
        <v>0</v>
      </c>
      <c r="W1486">
        <v>400125</v>
      </c>
      <c r="AE1486">
        <v>0</v>
      </c>
      <c r="AH1486">
        <v>3.1</v>
      </c>
      <c r="AP1486" t="s">
        <v>184</v>
      </c>
    </row>
    <row r="1487" spans="1:42">
      <c r="A1487" s="1" t="s">
        <v>46</v>
      </c>
      <c r="B1487" s="1" t="s">
        <v>3123</v>
      </c>
      <c r="C1487" s="1" t="s">
        <v>3123</v>
      </c>
      <c r="E1487" s="4" t="s">
        <v>3124</v>
      </c>
      <c r="G1487" s="16">
        <v>0.2</v>
      </c>
      <c r="I1487">
        <v>1.6</v>
      </c>
      <c r="M1487">
        <v>1</v>
      </c>
      <c r="N1487">
        <v>211</v>
      </c>
      <c r="O1487">
        <v>0</v>
      </c>
      <c r="P1487">
        <v>0.85</v>
      </c>
      <c r="Q1487">
        <v>179.35</v>
      </c>
      <c r="R1487" t="s">
        <v>492</v>
      </c>
      <c r="S1487">
        <v>0</v>
      </c>
      <c r="T1487" t="s">
        <v>52</v>
      </c>
      <c r="U1487">
        <v>0</v>
      </c>
      <c r="V1487">
        <v>0</v>
      </c>
      <c r="W1487">
        <v>400123</v>
      </c>
      <c r="AE1487">
        <v>0</v>
      </c>
      <c r="AH1487">
        <v>1.6</v>
      </c>
      <c r="AP1487" t="s">
        <v>291</v>
      </c>
    </row>
    <row r="1488" spans="1:42">
      <c r="A1488" s="1" t="s">
        <v>46</v>
      </c>
      <c r="B1488" s="1" t="s">
        <v>3125</v>
      </c>
      <c r="C1488" s="1" t="s">
        <v>3125</v>
      </c>
      <c r="E1488" s="4" t="s">
        <v>3126</v>
      </c>
      <c r="G1488" s="16">
        <v>0.2</v>
      </c>
      <c r="I1488">
        <v>11.1</v>
      </c>
      <c r="M1488">
        <v>1</v>
      </c>
      <c r="N1488">
        <v>2</v>
      </c>
      <c r="O1488">
        <v>0</v>
      </c>
      <c r="P1488">
        <v>11.74</v>
      </c>
      <c r="Q1488">
        <v>23.48</v>
      </c>
      <c r="R1488" t="s">
        <v>492</v>
      </c>
      <c r="S1488">
        <v>0</v>
      </c>
      <c r="T1488">
        <v>0</v>
      </c>
      <c r="U1488">
        <v>0</v>
      </c>
      <c r="V1488">
        <v>0</v>
      </c>
      <c r="W1488">
        <v>400125</v>
      </c>
      <c r="X1488" t="s">
        <v>56</v>
      </c>
      <c r="Y1488" t="s">
        <v>57</v>
      </c>
      <c r="AE1488">
        <v>0</v>
      </c>
      <c r="AH1488">
        <v>11.1</v>
      </c>
      <c r="AP1488" t="s">
        <v>184</v>
      </c>
    </row>
    <row r="1489" spans="1:42">
      <c r="A1489" s="1" t="s">
        <v>46</v>
      </c>
      <c r="B1489" s="1" t="s">
        <v>3127</v>
      </c>
      <c r="C1489" s="1" t="s">
        <v>3127</v>
      </c>
      <c r="E1489" s="4" t="s">
        <v>3128</v>
      </c>
      <c r="G1489" s="16">
        <v>0.25</v>
      </c>
      <c r="I1489">
        <v>5</v>
      </c>
      <c r="M1489">
        <v>1</v>
      </c>
      <c r="N1489">
        <v>39</v>
      </c>
      <c r="O1489">
        <v>0</v>
      </c>
      <c r="P1489">
        <v>3.52</v>
      </c>
      <c r="Q1489">
        <v>137.38</v>
      </c>
      <c r="R1489" t="s">
        <v>492</v>
      </c>
      <c r="S1489">
        <v>0</v>
      </c>
      <c r="T1489" t="s">
        <v>52</v>
      </c>
      <c r="U1489">
        <v>0</v>
      </c>
      <c r="V1489">
        <v>0</v>
      </c>
      <c r="W1489">
        <v>400125</v>
      </c>
      <c r="AE1489">
        <v>0</v>
      </c>
      <c r="AH1489">
        <v>5</v>
      </c>
      <c r="AP1489" t="s">
        <v>184</v>
      </c>
    </row>
    <row r="1490" spans="1:42">
      <c r="A1490" s="1" t="s">
        <v>46</v>
      </c>
      <c r="B1490" s="1" t="s">
        <v>3129</v>
      </c>
      <c r="C1490" s="1" t="s">
        <v>3129</v>
      </c>
      <c r="E1490" s="4" t="s">
        <v>3130</v>
      </c>
      <c r="G1490" s="16">
        <v>0.25</v>
      </c>
      <c r="I1490">
        <v>5.5</v>
      </c>
      <c r="M1490">
        <v>1</v>
      </c>
      <c r="N1490">
        <v>68</v>
      </c>
      <c r="O1490">
        <v>0</v>
      </c>
      <c r="P1490">
        <v>4.3</v>
      </c>
      <c r="Q1490">
        <v>292.39999999999998</v>
      </c>
      <c r="R1490" t="s">
        <v>492</v>
      </c>
      <c r="S1490">
        <v>0</v>
      </c>
      <c r="T1490">
        <v>0</v>
      </c>
      <c r="U1490">
        <v>0</v>
      </c>
      <c r="V1490">
        <v>0</v>
      </c>
      <c r="W1490">
        <v>400125</v>
      </c>
      <c r="AE1490">
        <v>0</v>
      </c>
      <c r="AH1490">
        <v>5.5</v>
      </c>
      <c r="AP1490" t="s">
        <v>184</v>
      </c>
    </row>
    <row r="1491" spans="1:42">
      <c r="A1491" s="1" t="s">
        <v>46</v>
      </c>
      <c r="B1491" s="1" t="s">
        <v>3131</v>
      </c>
      <c r="C1491" s="1" t="s">
        <v>3131</v>
      </c>
      <c r="E1491" s="4" t="s">
        <v>3132</v>
      </c>
      <c r="G1491" s="16">
        <v>0.35</v>
      </c>
      <c r="I1491">
        <v>9.8000000000000007</v>
      </c>
      <c r="M1491">
        <v>1</v>
      </c>
      <c r="N1491">
        <v>9</v>
      </c>
      <c r="O1491">
        <v>0</v>
      </c>
      <c r="P1491">
        <v>4</v>
      </c>
      <c r="Q1491">
        <v>36</v>
      </c>
      <c r="R1491" t="s">
        <v>492</v>
      </c>
      <c r="S1491">
        <v>0</v>
      </c>
      <c r="T1491" t="s">
        <v>52</v>
      </c>
      <c r="U1491">
        <v>0</v>
      </c>
      <c r="V1491">
        <v>0</v>
      </c>
      <c r="W1491">
        <v>400110</v>
      </c>
      <c r="AE1491">
        <v>0</v>
      </c>
      <c r="AH1491">
        <v>9.8000000000000007</v>
      </c>
      <c r="AP1491" t="s">
        <v>344</v>
      </c>
    </row>
    <row r="1492" spans="1:42">
      <c r="A1492" s="1" t="s">
        <v>46</v>
      </c>
      <c r="B1492" s="1" t="s">
        <v>3133</v>
      </c>
      <c r="C1492" s="1" t="s">
        <v>3133</v>
      </c>
      <c r="E1492" s="4" t="s">
        <v>3134</v>
      </c>
      <c r="G1492" s="16"/>
      <c r="I1492">
        <v>4</v>
      </c>
      <c r="M1492">
        <v>1</v>
      </c>
      <c r="N1492">
        <v>-4</v>
      </c>
      <c r="O1492">
        <v>0</v>
      </c>
      <c r="P1492">
        <v>1.26</v>
      </c>
      <c r="Q1492">
        <v>-5.0599999999999996</v>
      </c>
      <c r="R1492" t="s">
        <v>492</v>
      </c>
      <c r="S1492">
        <v>0</v>
      </c>
      <c r="T1492">
        <v>0</v>
      </c>
      <c r="U1492">
        <v>0</v>
      </c>
      <c r="V1492">
        <v>0</v>
      </c>
      <c r="W1492">
        <v>400023</v>
      </c>
      <c r="AE1492">
        <v>0</v>
      </c>
      <c r="AH1492">
        <v>4</v>
      </c>
      <c r="AP1492" t="s">
        <v>369</v>
      </c>
    </row>
    <row r="1493" spans="1:42">
      <c r="A1493" s="1" t="s">
        <v>46</v>
      </c>
      <c r="B1493" s="1" t="s">
        <v>3135</v>
      </c>
      <c r="C1493" s="1" t="s">
        <v>3135</v>
      </c>
      <c r="E1493" s="4" t="s">
        <v>3136</v>
      </c>
      <c r="G1493" s="16"/>
      <c r="I1493">
        <v>2.04</v>
      </c>
      <c r="M1493">
        <v>1</v>
      </c>
      <c r="N1493">
        <v>1952</v>
      </c>
      <c r="O1493">
        <v>0</v>
      </c>
      <c r="P1493">
        <v>0.75</v>
      </c>
      <c r="Q1493">
        <v>1464</v>
      </c>
      <c r="R1493" t="s">
        <v>492</v>
      </c>
      <c r="S1493">
        <v>0</v>
      </c>
      <c r="T1493" t="s">
        <v>52</v>
      </c>
      <c r="U1493">
        <v>0</v>
      </c>
      <c r="V1493">
        <v>0</v>
      </c>
      <c r="W1493">
        <v>400203</v>
      </c>
      <c r="AE1493">
        <v>0</v>
      </c>
      <c r="AH1493">
        <v>2.04</v>
      </c>
      <c r="AP1493" t="s">
        <v>837</v>
      </c>
    </row>
    <row r="1494" spans="1:42">
      <c r="A1494" s="1" t="s">
        <v>46</v>
      </c>
      <c r="B1494" s="1" t="s">
        <v>3137</v>
      </c>
      <c r="C1494" s="1" t="s">
        <v>3137</v>
      </c>
      <c r="E1494" s="4" t="s">
        <v>3138</v>
      </c>
      <c r="G1494" s="16">
        <v>0.5</v>
      </c>
      <c r="I1494">
        <v>2.9</v>
      </c>
      <c r="M1494">
        <v>1</v>
      </c>
      <c r="N1494">
        <v>5</v>
      </c>
      <c r="O1494">
        <v>0</v>
      </c>
      <c r="P1494">
        <v>2.54</v>
      </c>
      <c r="Q1494">
        <v>12.7</v>
      </c>
      <c r="R1494" t="s">
        <v>492</v>
      </c>
      <c r="S1494">
        <v>0</v>
      </c>
      <c r="T1494">
        <v>0</v>
      </c>
      <c r="U1494">
        <v>0</v>
      </c>
      <c r="V1494">
        <v>0</v>
      </c>
      <c r="W1494">
        <v>400125</v>
      </c>
      <c r="AE1494">
        <v>0</v>
      </c>
      <c r="AH1494">
        <v>2.9</v>
      </c>
      <c r="AP1494" t="s">
        <v>184</v>
      </c>
    </row>
    <row r="1495" spans="1:42">
      <c r="A1495" s="1" t="s">
        <v>46</v>
      </c>
      <c r="B1495" s="1" t="s">
        <v>3139</v>
      </c>
      <c r="C1495" s="1" t="s">
        <v>3139</v>
      </c>
      <c r="E1495" s="4" t="s">
        <v>3140</v>
      </c>
      <c r="G1495" s="16"/>
      <c r="I1495">
        <v>4.75</v>
      </c>
      <c r="M1495">
        <v>1</v>
      </c>
      <c r="N1495">
        <v>-1</v>
      </c>
      <c r="O1495">
        <v>0</v>
      </c>
      <c r="R1495" t="s">
        <v>492</v>
      </c>
      <c r="S1495">
        <v>0</v>
      </c>
      <c r="T1495" t="s">
        <v>52</v>
      </c>
      <c r="U1495">
        <v>0</v>
      </c>
      <c r="V1495">
        <v>0</v>
      </c>
      <c r="AE1495">
        <v>0</v>
      </c>
      <c r="AH1495">
        <v>4.75</v>
      </c>
    </row>
    <row r="1496" spans="1:42">
      <c r="A1496" s="1" t="s">
        <v>46</v>
      </c>
      <c r="B1496" s="1" t="s">
        <v>3141</v>
      </c>
      <c r="C1496" s="1" t="s">
        <v>3141</v>
      </c>
      <c r="E1496" s="4" t="s">
        <v>3142</v>
      </c>
      <c r="G1496" s="16">
        <v>1.5</v>
      </c>
      <c r="I1496">
        <v>3.5</v>
      </c>
      <c r="M1496">
        <v>1</v>
      </c>
      <c r="N1496">
        <v>-16</v>
      </c>
      <c r="O1496">
        <v>0</v>
      </c>
      <c r="P1496">
        <v>1.6</v>
      </c>
      <c r="Q1496">
        <v>-25.6</v>
      </c>
      <c r="R1496" t="s">
        <v>492</v>
      </c>
      <c r="S1496">
        <v>0</v>
      </c>
      <c r="T1496">
        <v>0</v>
      </c>
      <c r="U1496">
        <v>0</v>
      </c>
      <c r="V1496">
        <v>0</v>
      </c>
      <c r="W1496">
        <v>400110</v>
      </c>
      <c r="AE1496">
        <v>0</v>
      </c>
      <c r="AH1496">
        <v>3.5</v>
      </c>
      <c r="AP1496" t="s">
        <v>344</v>
      </c>
    </row>
    <row r="1497" spans="1:42">
      <c r="A1497" s="1" t="s">
        <v>46</v>
      </c>
      <c r="B1497" s="1" t="s">
        <v>3143</v>
      </c>
      <c r="C1497" s="1" t="s">
        <v>3143</v>
      </c>
      <c r="E1497" s="4" t="s">
        <v>3144</v>
      </c>
      <c r="G1497" s="16"/>
      <c r="I1497">
        <v>2.9</v>
      </c>
      <c r="M1497">
        <v>1</v>
      </c>
      <c r="N1497">
        <v>13</v>
      </c>
      <c r="O1497">
        <v>0</v>
      </c>
      <c r="P1497">
        <v>2.83</v>
      </c>
      <c r="Q1497">
        <v>36.79</v>
      </c>
      <c r="R1497" t="s">
        <v>492</v>
      </c>
      <c r="S1497">
        <v>0</v>
      </c>
      <c r="T1497">
        <v>0</v>
      </c>
      <c r="U1497">
        <v>0</v>
      </c>
      <c r="V1497">
        <v>0</v>
      </c>
      <c r="W1497">
        <v>400125</v>
      </c>
      <c r="AE1497">
        <v>0</v>
      </c>
      <c r="AH1497">
        <v>2.9</v>
      </c>
      <c r="AP1497" t="s">
        <v>184</v>
      </c>
    </row>
    <row r="1498" spans="1:42">
      <c r="A1498" s="1" t="s">
        <v>46</v>
      </c>
      <c r="B1498" s="1" t="s">
        <v>3145</v>
      </c>
      <c r="C1498" s="1" t="s">
        <v>3145</v>
      </c>
      <c r="E1498" s="4" t="s">
        <v>3146</v>
      </c>
      <c r="G1498" s="16">
        <v>2</v>
      </c>
      <c r="I1498">
        <v>6.5</v>
      </c>
      <c r="M1498">
        <v>1</v>
      </c>
      <c r="N1498">
        <v>-4</v>
      </c>
      <c r="O1498">
        <v>0</v>
      </c>
      <c r="R1498" t="s">
        <v>492</v>
      </c>
      <c r="S1498">
        <v>0</v>
      </c>
      <c r="T1498" t="s">
        <v>52</v>
      </c>
      <c r="U1498">
        <v>0</v>
      </c>
      <c r="V1498">
        <v>0</v>
      </c>
      <c r="AE1498">
        <v>0</v>
      </c>
      <c r="AH1498">
        <v>6.5</v>
      </c>
    </row>
    <row r="1499" spans="1:42">
      <c r="A1499" s="1" t="s">
        <v>46</v>
      </c>
      <c r="B1499" s="1" t="s">
        <v>3147</v>
      </c>
      <c r="C1499" s="1" t="s">
        <v>3147</v>
      </c>
      <c r="E1499" s="4" t="s">
        <v>3148</v>
      </c>
      <c r="G1499" s="16">
        <v>1.35</v>
      </c>
      <c r="I1499">
        <v>3.5</v>
      </c>
      <c r="M1499">
        <v>1</v>
      </c>
      <c r="N1499">
        <v>-6</v>
      </c>
      <c r="O1499">
        <v>0</v>
      </c>
      <c r="R1499" t="s">
        <v>492</v>
      </c>
      <c r="S1499">
        <v>0</v>
      </c>
      <c r="T1499">
        <v>0</v>
      </c>
      <c r="U1499">
        <v>0</v>
      </c>
      <c r="V1499">
        <v>0</v>
      </c>
      <c r="W1499">
        <v>400112</v>
      </c>
      <c r="AE1499">
        <v>0</v>
      </c>
      <c r="AH1499">
        <v>3.5</v>
      </c>
      <c r="AP1499" t="s">
        <v>220</v>
      </c>
    </row>
    <row r="1500" spans="1:42">
      <c r="A1500" s="1" t="s">
        <v>46</v>
      </c>
      <c r="B1500" s="1" t="s">
        <v>3149</v>
      </c>
      <c r="C1500" s="1" t="s">
        <v>3149</v>
      </c>
      <c r="E1500" s="4" t="s">
        <v>3150</v>
      </c>
      <c r="G1500" s="16"/>
      <c r="I1500">
        <v>2.9</v>
      </c>
      <c r="M1500">
        <v>1</v>
      </c>
      <c r="N1500">
        <v>86</v>
      </c>
      <c r="O1500">
        <v>0</v>
      </c>
      <c r="P1500">
        <v>2.97</v>
      </c>
      <c r="Q1500">
        <v>255.36</v>
      </c>
      <c r="R1500" t="s">
        <v>492</v>
      </c>
      <c r="S1500">
        <v>0</v>
      </c>
      <c r="T1500">
        <v>0</v>
      </c>
      <c r="U1500">
        <v>0</v>
      </c>
      <c r="V1500">
        <v>0</v>
      </c>
      <c r="W1500">
        <v>400125</v>
      </c>
      <c r="AE1500">
        <v>0</v>
      </c>
      <c r="AH1500">
        <v>2.9</v>
      </c>
      <c r="AP1500" t="s">
        <v>184</v>
      </c>
    </row>
    <row r="1501" spans="1:42">
      <c r="A1501" s="1" t="s">
        <v>46</v>
      </c>
      <c r="B1501" s="1" t="s">
        <v>3151</v>
      </c>
      <c r="C1501" s="1" t="s">
        <v>3151</v>
      </c>
      <c r="E1501" s="4" t="s">
        <v>3152</v>
      </c>
      <c r="G1501" s="16"/>
      <c r="I1501">
        <v>3.5</v>
      </c>
      <c r="M1501">
        <v>1</v>
      </c>
      <c r="N1501">
        <v>-2</v>
      </c>
      <c r="O1501">
        <v>0</v>
      </c>
      <c r="R1501" t="s">
        <v>492</v>
      </c>
      <c r="S1501">
        <v>0</v>
      </c>
      <c r="T1501">
        <v>0</v>
      </c>
      <c r="U1501">
        <v>0</v>
      </c>
      <c r="V1501">
        <v>0</v>
      </c>
      <c r="AE1501">
        <v>0</v>
      </c>
      <c r="AH1501">
        <v>3.5</v>
      </c>
    </row>
    <row r="1502" spans="1:42">
      <c r="A1502" s="1" t="s">
        <v>46</v>
      </c>
      <c r="B1502" s="1" t="s">
        <v>3153</v>
      </c>
      <c r="C1502" s="1" t="s">
        <v>3153</v>
      </c>
      <c r="E1502" s="4" t="s">
        <v>3154</v>
      </c>
      <c r="G1502" s="16"/>
      <c r="I1502">
        <v>2.9</v>
      </c>
      <c r="M1502">
        <v>1</v>
      </c>
      <c r="N1502">
        <v>-12</v>
      </c>
      <c r="O1502">
        <v>0</v>
      </c>
      <c r="P1502">
        <v>1.53</v>
      </c>
      <c r="Q1502">
        <v>-18.37</v>
      </c>
      <c r="R1502" t="s">
        <v>492</v>
      </c>
      <c r="S1502">
        <v>0</v>
      </c>
      <c r="T1502" t="s">
        <v>52</v>
      </c>
      <c r="U1502">
        <v>0</v>
      </c>
      <c r="V1502">
        <v>0</v>
      </c>
      <c r="W1502">
        <v>400004</v>
      </c>
      <c r="AE1502">
        <v>0</v>
      </c>
      <c r="AH1502">
        <v>2.9</v>
      </c>
      <c r="AP1502" t="s">
        <v>352</v>
      </c>
    </row>
    <row r="1503" spans="1:42">
      <c r="A1503" s="1" t="s">
        <v>46</v>
      </c>
      <c r="B1503" s="1" t="s">
        <v>3155</v>
      </c>
      <c r="C1503" s="1" t="s">
        <v>3155</v>
      </c>
      <c r="E1503" s="4" t="s">
        <v>3156</v>
      </c>
      <c r="G1503" s="16"/>
      <c r="I1503">
        <v>2.9</v>
      </c>
      <c r="M1503">
        <v>1</v>
      </c>
      <c r="N1503">
        <v>-4</v>
      </c>
      <c r="O1503">
        <v>0</v>
      </c>
      <c r="P1503">
        <v>1.28</v>
      </c>
      <c r="Q1503">
        <v>-5.13</v>
      </c>
      <c r="R1503" t="s">
        <v>492</v>
      </c>
      <c r="S1503">
        <v>0</v>
      </c>
      <c r="T1503">
        <v>0</v>
      </c>
      <c r="U1503">
        <v>0</v>
      </c>
      <c r="V1503">
        <v>0</v>
      </c>
      <c r="W1503">
        <v>400004</v>
      </c>
      <c r="AE1503">
        <v>0</v>
      </c>
      <c r="AH1503">
        <v>2.9</v>
      </c>
      <c r="AP1503" t="s">
        <v>352</v>
      </c>
    </row>
    <row r="1504" spans="1:42">
      <c r="A1504" s="1" t="s">
        <v>46</v>
      </c>
      <c r="B1504" s="1" t="s">
        <v>3157</v>
      </c>
      <c r="C1504" s="1" t="s">
        <v>3157</v>
      </c>
      <c r="E1504" s="4" t="s">
        <v>3158</v>
      </c>
      <c r="G1504" s="16"/>
      <c r="I1504">
        <v>2.66</v>
      </c>
      <c r="M1504">
        <v>1</v>
      </c>
      <c r="N1504">
        <v>7</v>
      </c>
      <c r="O1504">
        <v>0</v>
      </c>
      <c r="P1504">
        <v>3.25</v>
      </c>
      <c r="Q1504">
        <v>22.75</v>
      </c>
      <c r="R1504" t="s">
        <v>492</v>
      </c>
      <c r="S1504">
        <v>0</v>
      </c>
      <c r="T1504" t="s">
        <v>52</v>
      </c>
      <c r="U1504">
        <v>0</v>
      </c>
      <c r="V1504">
        <v>0</v>
      </c>
      <c r="W1504">
        <v>400123</v>
      </c>
      <c r="AE1504">
        <v>0</v>
      </c>
      <c r="AH1504">
        <v>2.66</v>
      </c>
      <c r="AP1504" t="s">
        <v>291</v>
      </c>
    </row>
    <row r="1505" spans="1:42">
      <c r="A1505" s="1" t="s">
        <v>46</v>
      </c>
      <c r="B1505" s="1" t="s">
        <v>3159</v>
      </c>
      <c r="C1505" s="1" t="s">
        <v>3159</v>
      </c>
      <c r="E1505" s="4" t="s">
        <v>3160</v>
      </c>
      <c r="G1505" s="16"/>
      <c r="I1505">
        <v>14</v>
      </c>
      <c r="M1505">
        <v>1</v>
      </c>
      <c r="N1505">
        <v>6</v>
      </c>
      <c r="O1505">
        <v>0</v>
      </c>
      <c r="P1505">
        <v>7.42</v>
      </c>
      <c r="Q1505">
        <v>44.52</v>
      </c>
      <c r="R1505" t="s">
        <v>492</v>
      </c>
      <c r="S1505">
        <v>0</v>
      </c>
      <c r="T1505" t="s">
        <v>52</v>
      </c>
      <c r="U1505">
        <v>0</v>
      </c>
      <c r="V1505">
        <v>0</v>
      </c>
      <c r="W1505">
        <v>400013</v>
      </c>
      <c r="AE1505">
        <v>0</v>
      </c>
      <c r="AH1505">
        <v>14</v>
      </c>
      <c r="AP1505" t="s">
        <v>232</v>
      </c>
    </row>
    <row r="1506" spans="1:42">
      <c r="A1506" s="1" t="s">
        <v>46</v>
      </c>
      <c r="B1506" s="1" t="s">
        <v>3161</v>
      </c>
      <c r="C1506" s="1" t="s">
        <v>3161</v>
      </c>
      <c r="E1506" s="4" t="s">
        <v>3162</v>
      </c>
      <c r="G1506" s="16"/>
      <c r="I1506">
        <v>15</v>
      </c>
      <c r="M1506">
        <v>1</v>
      </c>
      <c r="N1506">
        <v>-1</v>
      </c>
      <c r="O1506">
        <v>0</v>
      </c>
      <c r="P1506">
        <v>7.92</v>
      </c>
      <c r="Q1506">
        <v>-7.92</v>
      </c>
      <c r="R1506" t="s">
        <v>492</v>
      </c>
      <c r="S1506">
        <v>0</v>
      </c>
      <c r="T1506">
        <v>0</v>
      </c>
      <c r="U1506">
        <v>0</v>
      </c>
      <c r="V1506">
        <v>0</v>
      </c>
      <c r="W1506">
        <v>400004</v>
      </c>
      <c r="AE1506">
        <v>0</v>
      </c>
      <c r="AH1506">
        <v>15</v>
      </c>
      <c r="AP1506" t="s">
        <v>352</v>
      </c>
    </row>
    <row r="1507" spans="1:42">
      <c r="A1507" s="1" t="s">
        <v>46</v>
      </c>
      <c r="B1507" s="1" t="s">
        <v>3163</v>
      </c>
      <c r="C1507" s="1" t="s">
        <v>3163</v>
      </c>
      <c r="E1507" s="4" t="s">
        <v>3164</v>
      </c>
      <c r="G1507" s="16"/>
      <c r="I1507">
        <v>6.5</v>
      </c>
      <c r="M1507">
        <v>1</v>
      </c>
      <c r="N1507">
        <v>255</v>
      </c>
      <c r="O1507">
        <v>0</v>
      </c>
      <c r="P1507">
        <v>1.45</v>
      </c>
      <c r="Q1507">
        <v>369.75</v>
      </c>
      <c r="R1507" t="s">
        <v>492</v>
      </c>
      <c r="S1507">
        <v>0</v>
      </c>
      <c r="T1507" t="s">
        <v>52</v>
      </c>
      <c r="U1507">
        <v>0</v>
      </c>
      <c r="V1507">
        <v>0</v>
      </c>
      <c r="W1507">
        <v>400203</v>
      </c>
      <c r="AE1507">
        <v>0</v>
      </c>
      <c r="AH1507">
        <v>6.5</v>
      </c>
      <c r="AP1507" t="s">
        <v>837</v>
      </c>
    </row>
    <row r="1508" spans="1:42">
      <c r="A1508" s="1" t="s">
        <v>46</v>
      </c>
      <c r="B1508" s="1" t="s">
        <v>3165</v>
      </c>
      <c r="C1508" s="1" t="s">
        <v>3165</v>
      </c>
      <c r="E1508" s="4" t="s">
        <v>3166</v>
      </c>
      <c r="G1508" s="16"/>
      <c r="I1508">
        <v>6</v>
      </c>
      <c r="M1508">
        <v>1</v>
      </c>
      <c r="N1508">
        <v>-1</v>
      </c>
      <c r="O1508">
        <v>0</v>
      </c>
      <c r="P1508">
        <v>2.5099999999999998</v>
      </c>
      <c r="Q1508">
        <v>-2.5099999999999998</v>
      </c>
      <c r="R1508" t="s">
        <v>492</v>
      </c>
      <c r="S1508">
        <v>0</v>
      </c>
      <c r="T1508">
        <v>0</v>
      </c>
      <c r="U1508">
        <v>0</v>
      </c>
      <c r="V1508">
        <v>0</v>
      </c>
      <c r="W1508">
        <v>400023</v>
      </c>
      <c r="AE1508">
        <v>0</v>
      </c>
      <c r="AH1508">
        <v>6</v>
      </c>
      <c r="AP1508" t="s">
        <v>369</v>
      </c>
    </row>
    <row r="1509" spans="1:42">
      <c r="A1509" s="1" t="s">
        <v>46</v>
      </c>
      <c r="B1509" s="1" t="s">
        <v>3167</v>
      </c>
      <c r="C1509" s="1" t="s">
        <v>3167</v>
      </c>
      <c r="E1509" s="4" t="s">
        <v>3168</v>
      </c>
      <c r="G1509" s="16"/>
      <c r="I1509">
        <v>7</v>
      </c>
      <c r="M1509">
        <v>1</v>
      </c>
      <c r="N1509">
        <v>9</v>
      </c>
      <c r="O1509">
        <v>0</v>
      </c>
      <c r="P1509">
        <v>3.52</v>
      </c>
      <c r="Q1509">
        <v>31.69</v>
      </c>
      <c r="R1509" t="s">
        <v>492</v>
      </c>
      <c r="S1509">
        <v>0</v>
      </c>
      <c r="T1509" t="s">
        <v>52</v>
      </c>
      <c r="U1509">
        <v>0</v>
      </c>
      <c r="V1509">
        <v>0</v>
      </c>
      <c r="W1509">
        <v>400013</v>
      </c>
      <c r="AE1509">
        <v>0</v>
      </c>
      <c r="AH1509">
        <v>7</v>
      </c>
      <c r="AP1509" t="s">
        <v>232</v>
      </c>
    </row>
    <row r="1510" spans="1:42">
      <c r="A1510" s="1" t="s">
        <v>46</v>
      </c>
      <c r="B1510" s="1" t="s">
        <v>3169</v>
      </c>
      <c r="C1510" s="1" t="s">
        <v>3169</v>
      </c>
      <c r="E1510" s="4" t="s">
        <v>3170</v>
      </c>
      <c r="G1510" s="16"/>
      <c r="I1510">
        <v>8</v>
      </c>
      <c r="M1510">
        <v>1</v>
      </c>
      <c r="N1510">
        <v>-28</v>
      </c>
      <c r="O1510">
        <v>0</v>
      </c>
      <c r="P1510">
        <v>6.1</v>
      </c>
      <c r="Q1510">
        <v>-170.8</v>
      </c>
      <c r="R1510" t="s">
        <v>492</v>
      </c>
      <c r="S1510">
        <v>0</v>
      </c>
      <c r="T1510">
        <v>0</v>
      </c>
      <c r="U1510">
        <v>0</v>
      </c>
      <c r="V1510">
        <v>0</v>
      </c>
      <c r="W1510">
        <v>400013</v>
      </c>
      <c r="AE1510">
        <v>0</v>
      </c>
      <c r="AH1510">
        <v>8</v>
      </c>
      <c r="AP1510" t="s">
        <v>232</v>
      </c>
    </row>
    <row r="1511" spans="1:42">
      <c r="A1511" s="1" t="s">
        <v>46</v>
      </c>
      <c r="B1511" s="1" t="s">
        <v>3171</v>
      </c>
      <c r="C1511" s="1" t="s">
        <v>3171</v>
      </c>
      <c r="E1511" s="4" t="s">
        <v>3172</v>
      </c>
      <c r="G1511" s="16"/>
      <c r="I1511">
        <v>1.6</v>
      </c>
      <c r="M1511">
        <v>1</v>
      </c>
      <c r="N1511">
        <v>1451</v>
      </c>
      <c r="O1511">
        <v>0</v>
      </c>
      <c r="P1511">
        <v>0.47</v>
      </c>
      <c r="Q1511">
        <v>684.61</v>
      </c>
      <c r="R1511" t="s">
        <v>492</v>
      </c>
      <c r="S1511">
        <v>0</v>
      </c>
      <c r="T1511" t="s">
        <v>52</v>
      </c>
      <c r="U1511">
        <v>0</v>
      </c>
      <c r="V1511">
        <v>0</v>
      </c>
      <c r="W1511">
        <v>400002</v>
      </c>
      <c r="X1511" t="s">
        <v>56</v>
      </c>
      <c r="Y1511" t="s">
        <v>57</v>
      </c>
      <c r="AE1511">
        <v>0</v>
      </c>
      <c r="AH1511">
        <v>1.6</v>
      </c>
      <c r="AP1511" t="s">
        <v>116</v>
      </c>
    </row>
    <row r="1512" spans="1:42">
      <c r="A1512" s="1" t="s">
        <v>46</v>
      </c>
      <c r="B1512" s="1" t="s">
        <v>3173</v>
      </c>
      <c r="C1512" s="1" t="s">
        <v>3173</v>
      </c>
      <c r="E1512" s="4" t="s">
        <v>3174</v>
      </c>
      <c r="G1512" s="16"/>
      <c r="I1512">
        <v>0.75</v>
      </c>
      <c r="M1512">
        <v>1</v>
      </c>
      <c r="N1512">
        <v>-153</v>
      </c>
      <c r="O1512">
        <v>0</v>
      </c>
      <c r="P1512">
        <v>0.25</v>
      </c>
      <c r="Q1512">
        <v>-38.25</v>
      </c>
      <c r="R1512" t="s">
        <v>492</v>
      </c>
      <c r="S1512">
        <v>0</v>
      </c>
      <c r="T1512" t="s">
        <v>52</v>
      </c>
      <c r="U1512">
        <v>0</v>
      </c>
      <c r="V1512">
        <v>0</v>
      </c>
      <c r="W1512">
        <v>400110</v>
      </c>
      <c r="AE1512">
        <v>0</v>
      </c>
      <c r="AH1512">
        <v>0.75</v>
      </c>
      <c r="AP1512" t="s">
        <v>344</v>
      </c>
    </row>
    <row r="1513" spans="1:42">
      <c r="A1513" s="1" t="s">
        <v>46</v>
      </c>
      <c r="B1513" s="1" t="s">
        <v>3175</v>
      </c>
      <c r="C1513" s="1" t="s">
        <v>3175</v>
      </c>
      <c r="E1513" s="4" t="s">
        <v>3176</v>
      </c>
      <c r="G1513" s="16"/>
      <c r="I1513">
        <v>0.65</v>
      </c>
      <c r="M1513">
        <v>1</v>
      </c>
      <c r="N1513">
        <v>-267</v>
      </c>
      <c r="O1513">
        <v>0</v>
      </c>
      <c r="P1513">
        <v>0.2</v>
      </c>
      <c r="Q1513">
        <v>-53.4</v>
      </c>
      <c r="R1513" t="s">
        <v>492</v>
      </c>
      <c r="S1513">
        <v>0</v>
      </c>
      <c r="T1513" t="s">
        <v>52</v>
      </c>
      <c r="U1513">
        <v>0</v>
      </c>
      <c r="V1513">
        <v>0</v>
      </c>
      <c r="W1513">
        <v>400110</v>
      </c>
      <c r="AE1513">
        <v>0</v>
      </c>
      <c r="AH1513">
        <v>0.65</v>
      </c>
      <c r="AP1513" t="s">
        <v>344</v>
      </c>
    </row>
    <row r="1514" spans="1:42">
      <c r="A1514" s="1" t="s">
        <v>46</v>
      </c>
      <c r="B1514" s="1" t="s">
        <v>3177</v>
      </c>
      <c r="C1514" s="1" t="s">
        <v>3177</v>
      </c>
      <c r="E1514" s="4" t="s">
        <v>3178</v>
      </c>
      <c r="G1514" s="16"/>
      <c r="I1514">
        <v>0.85</v>
      </c>
      <c r="M1514">
        <v>1</v>
      </c>
      <c r="N1514">
        <v>5162</v>
      </c>
      <c r="O1514">
        <v>0</v>
      </c>
      <c r="P1514">
        <v>0.35</v>
      </c>
      <c r="Q1514">
        <v>1806.7</v>
      </c>
      <c r="R1514" t="s">
        <v>492</v>
      </c>
      <c r="S1514">
        <v>0</v>
      </c>
      <c r="T1514" t="s">
        <v>52</v>
      </c>
      <c r="U1514">
        <v>0</v>
      </c>
      <c r="V1514">
        <v>0</v>
      </c>
      <c r="W1514">
        <v>400045</v>
      </c>
      <c r="X1514" t="s">
        <v>56</v>
      </c>
      <c r="Y1514" t="s">
        <v>57</v>
      </c>
      <c r="AE1514">
        <v>0</v>
      </c>
      <c r="AH1514">
        <v>0.85</v>
      </c>
      <c r="AP1514" t="s">
        <v>217</v>
      </c>
    </row>
    <row r="1515" spans="1:42">
      <c r="A1515" s="1" t="s">
        <v>46</v>
      </c>
      <c r="B1515" s="1" t="s">
        <v>3179</v>
      </c>
      <c r="C1515" s="1" t="s">
        <v>3179</v>
      </c>
      <c r="E1515" s="4" t="s">
        <v>3180</v>
      </c>
      <c r="G1515" s="16"/>
      <c r="I1515">
        <v>0.56000000000000005</v>
      </c>
      <c r="M1515">
        <v>1</v>
      </c>
      <c r="N1515">
        <v>1390</v>
      </c>
      <c r="O1515">
        <v>0</v>
      </c>
      <c r="P1515">
        <v>0.22</v>
      </c>
      <c r="Q1515">
        <v>305.8</v>
      </c>
      <c r="R1515" t="s">
        <v>492</v>
      </c>
      <c r="S1515">
        <v>0</v>
      </c>
      <c r="T1515" t="s">
        <v>52</v>
      </c>
      <c r="U1515">
        <v>0</v>
      </c>
      <c r="V1515">
        <v>0</v>
      </c>
      <c r="W1515">
        <v>400203</v>
      </c>
      <c r="AE1515">
        <v>0</v>
      </c>
      <c r="AH1515">
        <v>0.56000000000000005</v>
      </c>
      <c r="AP1515" t="s">
        <v>837</v>
      </c>
    </row>
    <row r="1516" spans="1:42">
      <c r="A1516" s="1" t="s">
        <v>46</v>
      </c>
      <c r="B1516" s="1" t="s">
        <v>3181</v>
      </c>
      <c r="C1516" s="1" t="s">
        <v>3181</v>
      </c>
      <c r="E1516" s="4" t="s">
        <v>3182</v>
      </c>
      <c r="G1516" s="16"/>
      <c r="I1516">
        <v>2.95</v>
      </c>
      <c r="M1516">
        <v>1</v>
      </c>
      <c r="N1516">
        <v>154</v>
      </c>
      <c r="O1516">
        <v>0</v>
      </c>
      <c r="P1516">
        <v>3.06</v>
      </c>
      <c r="Q1516">
        <v>472.01</v>
      </c>
      <c r="R1516" t="s">
        <v>492</v>
      </c>
      <c r="S1516">
        <v>0</v>
      </c>
      <c r="T1516">
        <v>0</v>
      </c>
      <c r="U1516">
        <v>0</v>
      </c>
      <c r="V1516">
        <v>0</v>
      </c>
      <c r="W1516">
        <v>400125</v>
      </c>
      <c r="X1516" t="s">
        <v>56</v>
      </c>
      <c r="Y1516" t="s">
        <v>57</v>
      </c>
      <c r="AE1516">
        <v>0</v>
      </c>
      <c r="AH1516">
        <v>2.95</v>
      </c>
      <c r="AP1516" t="s">
        <v>184</v>
      </c>
    </row>
    <row r="1517" spans="1:42">
      <c r="A1517" s="1" t="s">
        <v>46</v>
      </c>
      <c r="B1517" s="1" t="s">
        <v>3183</v>
      </c>
      <c r="C1517" s="1" t="s">
        <v>3183</v>
      </c>
      <c r="E1517" s="4" t="s">
        <v>3184</v>
      </c>
      <c r="G1517" s="16"/>
      <c r="I1517">
        <v>1.1000000000000001</v>
      </c>
      <c r="M1517">
        <v>1</v>
      </c>
      <c r="N1517">
        <v>238</v>
      </c>
      <c r="O1517">
        <v>0</v>
      </c>
      <c r="P1517">
        <v>0.65</v>
      </c>
      <c r="Q1517">
        <v>154.69999999999999</v>
      </c>
      <c r="R1517" t="s">
        <v>492</v>
      </c>
      <c r="S1517">
        <v>0</v>
      </c>
      <c r="T1517" t="s">
        <v>52</v>
      </c>
      <c r="U1517">
        <v>0</v>
      </c>
      <c r="V1517">
        <v>0</v>
      </c>
      <c r="W1517">
        <v>400125</v>
      </c>
      <c r="AE1517">
        <v>0</v>
      </c>
      <c r="AH1517">
        <v>1.1000000000000001</v>
      </c>
      <c r="AP1517" t="s">
        <v>184</v>
      </c>
    </row>
    <row r="1518" spans="1:42">
      <c r="A1518" s="1" t="s">
        <v>46</v>
      </c>
      <c r="B1518" s="1" t="s">
        <v>3185</v>
      </c>
      <c r="C1518" s="1" t="s">
        <v>3185</v>
      </c>
      <c r="E1518" s="4" t="s">
        <v>3186</v>
      </c>
      <c r="G1518" s="16">
        <v>1</v>
      </c>
      <c r="I1518">
        <v>1.2</v>
      </c>
      <c r="M1518">
        <v>1</v>
      </c>
      <c r="N1518">
        <v>1093</v>
      </c>
      <c r="O1518">
        <v>0</v>
      </c>
      <c r="P1518">
        <v>0.32</v>
      </c>
      <c r="Q1518">
        <v>354.13</v>
      </c>
      <c r="R1518" t="s">
        <v>492</v>
      </c>
      <c r="S1518">
        <v>0</v>
      </c>
      <c r="T1518">
        <v>0</v>
      </c>
      <c r="U1518">
        <v>0</v>
      </c>
      <c r="V1518">
        <v>0</v>
      </c>
      <c r="W1518">
        <v>400195</v>
      </c>
      <c r="X1518" t="s">
        <v>56</v>
      </c>
      <c r="Y1518" t="s">
        <v>57</v>
      </c>
      <c r="AE1518">
        <v>0</v>
      </c>
      <c r="AH1518">
        <v>1.2</v>
      </c>
      <c r="AP1518" t="s">
        <v>380</v>
      </c>
    </row>
    <row r="1519" spans="1:42">
      <c r="A1519" s="1" t="s">
        <v>46</v>
      </c>
      <c r="B1519" s="1" t="s">
        <v>3187</v>
      </c>
      <c r="C1519" s="1" t="s">
        <v>3187</v>
      </c>
      <c r="E1519" s="4" t="s">
        <v>3188</v>
      </c>
      <c r="G1519" s="16">
        <v>0.9</v>
      </c>
      <c r="I1519">
        <v>2</v>
      </c>
      <c r="M1519">
        <v>1</v>
      </c>
      <c r="N1519">
        <v>12</v>
      </c>
      <c r="O1519">
        <v>0</v>
      </c>
      <c r="P1519">
        <v>1.26</v>
      </c>
      <c r="Q1519">
        <v>15.12</v>
      </c>
      <c r="R1519" t="s">
        <v>492</v>
      </c>
      <c r="S1519">
        <v>0</v>
      </c>
      <c r="T1519" t="s">
        <v>52</v>
      </c>
      <c r="U1519">
        <v>0</v>
      </c>
      <c r="V1519">
        <v>0</v>
      </c>
      <c r="W1519">
        <v>400013</v>
      </c>
      <c r="AE1519">
        <v>0</v>
      </c>
      <c r="AH1519">
        <v>2</v>
      </c>
      <c r="AP1519" t="s">
        <v>232</v>
      </c>
    </row>
    <row r="1520" spans="1:42">
      <c r="A1520" s="1" t="s">
        <v>46</v>
      </c>
      <c r="B1520" s="1" t="s">
        <v>3189</v>
      </c>
      <c r="C1520" s="1" t="s">
        <v>3189</v>
      </c>
      <c r="E1520" s="4" t="s">
        <v>3190</v>
      </c>
      <c r="G1520" s="16"/>
      <c r="I1520">
        <v>1.8</v>
      </c>
      <c r="M1520">
        <v>1</v>
      </c>
      <c r="N1520">
        <v>-1</v>
      </c>
      <c r="O1520">
        <v>0</v>
      </c>
      <c r="R1520" t="s">
        <v>492</v>
      </c>
      <c r="S1520">
        <v>0</v>
      </c>
      <c r="T1520" t="s">
        <v>52</v>
      </c>
      <c r="U1520">
        <v>0</v>
      </c>
      <c r="V1520">
        <v>0</v>
      </c>
      <c r="AE1520">
        <v>0</v>
      </c>
      <c r="AH1520">
        <v>1.8</v>
      </c>
    </row>
    <row r="1521" spans="1:42">
      <c r="A1521" s="1" t="s">
        <v>46</v>
      </c>
      <c r="B1521" s="1" t="s">
        <v>3191</v>
      </c>
      <c r="C1521" s="1" t="s">
        <v>3191</v>
      </c>
      <c r="E1521" s="4" t="s">
        <v>3192</v>
      </c>
      <c r="G1521" s="16"/>
      <c r="I1521">
        <v>1.7</v>
      </c>
      <c r="M1521">
        <v>1</v>
      </c>
      <c r="N1521">
        <v>-1</v>
      </c>
      <c r="O1521">
        <v>0</v>
      </c>
      <c r="R1521" t="s">
        <v>492</v>
      </c>
      <c r="S1521">
        <v>0</v>
      </c>
      <c r="T1521" t="s">
        <v>52</v>
      </c>
      <c r="U1521">
        <v>0</v>
      </c>
      <c r="V1521">
        <v>0</v>
      </c>
      <c r="AE1521">
        <v>0</v>
      </c>
      <c r="AH1521">
        <v>1.7</v>
      </c>
    </row>
    <row r="1522" spans="1:42">
      <c r="A1522" s="1" t="s">
        <v>46</v>
      </c>
      <c r="B1522" s="1" t="s">
        <v>3193</v>
      </c>
      <c r="C1522" s="1" t="s">
        <v>3193</v>
      </c>
      <c r="E1522" s="4" t="s">
        <v>3194</v>
      </c>
      <c r="G1522" s="16"/>
      <c r="I1522">
        <v>1.3</v>
      </c>
      <c r="M1522">
        <v>1</v>
      </c>
      <c r="N1522">
        <v>-31</v>
      </c>
      <c r="O1522">
        <v>0</v>
      </c>
      <c r="R1522" t="s">
        <v>492</v>
      </c>
      <c r="S1522">
        <v>0</v>
      </c>
      <c r="T1522">
        <v>0</v>
      </c>
      <c r="U1522">
        <v>0</v>
      </c>
      <c r="V1522">
        <v>0</v>
      </c>
      <c r="W1522">
        <v>400110</v>
      </c>
      <c r="AE1522">
        <v>0</v>
      </c>
      <c r="AH1522">
        <v>1.3</v>
      </c>
      <c r="AP1522" t="s">
        <v>344</v>
      </c>
    </row>
    <row r="1523" spans="1:42">
      <c r="A1523" s="1" t="s">
        <v>46</v>
      </c>
      <c r="B1523" s="1" t="s">
        <v>3195</v>
      </c>
      <c r="C1523" s="1" t="s">
        <v>3195</v>
      </c>
      <c r="E1523" s="4" t="s">
        <v>3196</v>
      </c>
      <c r="G1523" s="16"/>
      <c r="I1523">
        <v>0.56000000000000005</v>
      </c>
      <c r="M1523">
        <v>1</v>
      </c>
      <c r="N1523">
        <v>1170</v>
      </c>
      <c r="O1523">
        <v>0</v>
      </c>
      <c r="P1523">
        <v>0.22</v>
      </c>
      <c r="Q1523">
        <v>257.39999999999998</v>
      </c>
      <c r="R1523" t="s">
        <v>492</v>
      </c>
      <c r="S1523">
        <v>0</v>
      </c>
      <c r="T1523" t="s">
        <v>52</v>
      </c>
      <c r="U1523">
        <v>0</v>
      </c>
      <c r="V1523">
        <v>0</v>
      </c>
      <c r="W1523">
        <v>400123</v>
      </c>
      <c r="AE1523">
        <v>0</v>
      </c>
      <c r="AH1523">
        <v>0.56000000000000005</v>
      </c>
      <c r="AP1523" t="s">
        <v>291</v>
      </c>
    </row>
    <row r="1524" spans="1:42">
      <c r="A1524" s="1" t="s">
        <v>46</v>
      </c>
      <c r="B1524" s="1" t="s">
        <v>3197</v>
      </c>
      <c r="C1524" s="1" t="s">
        <v>3197</v>
      </c>
      <c r="E1524" s="4" t="s">
        <v>3198</v>
      </c>
      <c r="G1524" s="16"/>
      <c r="I1524">
        <v>1.4</v>
      </c>
      <c r="M1524">
        <v>1</v>
      </c>
      <c r="N1524">
        <v>276</v>
      </c>
      <c r="O1524">
        <v>0</v>
      </c>
      <c r="P1524">
        <v>1.47</v>
      </c>
      <c r="Q1524">
        <v>406.41</v>
      </c>
      <c r="R1524" t="s">
        <v>492</v>
      </c>
      <c r="S1524">
        <v>0</v>
      </c>
      <c r="T1524">
        <v>0</v>
      </c>
      <c r="U1524">
        <v>0</v>
      </c>
      <c r="V1524">
        <v>0</v>
      </c>
      <c r="W1524">
        <v>400013</v>
      </c>
      <c r="AE1524">
        <v>0</v>
      </c>
      <c r="AH1524">
        <v>1.4</v>
      </c>
      <c r="AP1524" t="s">
        <v>232</v>
      </c>
    </row>
    <row r="1525" spans="1:42">
      <c r="A1525" s="1" t="s">
        <v>46</v>
      </c>
      <c r="B1525" s="1" t="s">
        <v>3199</v>
      </c>
      <c r="C1525" s="1" t="s">
        <v>3199</v>
      </c>
      <c r="E1525" s="4" t="s">
        <v>3200</v>
      </c>
      <c r="G1525" s="16"/>
      <c r="I1525">
        <v>0.55000000000000004</v>
      </c>
      <c r="M1525">
        <v>1</v>
      </c>
      <c r="N1525">
        <v>4491</v>
      </c>
      <c r="O1525">
        <v>0</v>
      </c>
      <c r="P1525">
        <v>0.18</v>
      </c>
      <c r="Q1525">
        <v>790.42</v>
      </c>
      <c r="R1525" t="s">
        <v>492</v>
      </c>
      <c r="S1525">
        <v>0</v>
      </c>
      <c r="T1525">
        <v>0</v>
      </c>
      <c r="U1525">
        <v>0</v>
      </c>
      <c r="V1525">
        <v>0</v>
      </c>
      <c r="W1525">
        <v>400195</v>
      </c>
      <c r="AE1525">
        <v>0</v>
      </c>
      <c r="AH1525">
        <v>0.55000000000000004</v>
      </c>
      <c r="AP1525" t="s">
        <v>380</v>
      </c>
    </row>
    <row r="1526" spans="1:42">
      <c r="A1526" s="1" t="s">
        <v>46</v>
      </c>
      <c r="B1526" s="1" t="s">
        <v>3201</v>
      </c>
      <c r="C1526" s="1" t="s">
        <v>3201</v>
      </c>
      <c r="E1526" s="4" t="s">
        <v>3202</v>
      </c>
      <c r="G1526" s="16"/>
      <c r="I1526">
        <v>1.1000000000000001</v>
      </c>
      <c r="M1526">
        <v>1</v>
      </c>
      <c r="N1526">
        <v>40</v>
      </c>
      <c r="O1526">
        <v>0</v>
      </c>
      <c r="P1526">
        <v>0.33</v>
      </c>
      <c r="Q1526">
        <v>13.3</v>
      </c>
      <c r="R1526" t="s">
        <v>492</v>
      </c>
      <c r="S1526">
        <v>0</v>
      </c>
      <c r="T1526" t="s">
        <v>52</v>
      </c>
      <c r="U1526">
        <v>0</v>
      </c>
      <c r="V1526">
        <v>0</v>
      </c>
      <c r="W1526">
        <v>400123</v>
      </c>
      <c r="AE1526">
        <v>0</v>
      </c>
      <c r="AH1526">
        <v>1.1000000000000001</v>
      </c>
      <c r="AP1526" t="s">
        <v>291</v>
      </c>
    </row>
    <row r="1527" spans="1:42">
      <c r="A1527" s="1" t="s">
        <v>46</v>
      </c>
      <c r="B1527" s="1" t="s">
        <v>3203</v>
      </c>
      <c r="C1527" s="1" t="s">
        <v>3203</v>
      </c>
      <c r="E1527" s="4" t="s">
        <v>3204</v>
      </c>
      <c r="G1527" s="16"/>
      <c r="I1527">
        <v>0.95</v>
      </c>
      <c r="M1527">
        <v>1</v>
      </c>
      <c r="N1527">
        <v>-119</v>
      </c>
      <c r="O1527">
        <v>0</v>
      </c>
      <c r="P1527">
        <v>1.1100000000000001</v>
      </c>
      <c r="Q1527">
        <v>-132.11000000000001</v>
      </c>
      <c r="R1527" t="s">
        <v>492</v>
      </c>
      <c r="S1527">
        <v>0</v>
      </c>
      <c r="T1527">
        <v>0</v>
      </c>
      <c r="U1527">
        <v>0</v>
      </c>
      <c r="V1527">
        <v>0</v>
      </c>
      <c r="W1527">
        <v>400125</v>
      </c>
      <c r="AE1527">
        <v>0</v>
      </c>
      <c r="AH1527">
        <v>0.95</v>
      </c>
      <c r="AP1527" t="s">
        <v>184</v>
      </c>
    </row>
    <row r="1528" spans="1:42">
      <c r="A1528" s="1" t="s">
        <v>46</v>
      </c>
      <c r="B1528" s="1" t="s">
        <v>3205</v>
      </c>
      <c r="C1528" s="1" t="s">
        <v>3205</v>
      </c>
      <c r="E1528" s="4" t="s">
        <v>3206</v>
      </c>
      <c r="G1528" s="16"/>
      <c r="I1528">
        <v>29</v>
      </c>
      <c r="M1528">
        <v>1</v>
      </c>
      <c r="N1528">
        <v>-1</v>
      </c>
      <c r="O1528">
        <v>0</v>
      </c>
      <c r="P1528">
        <v>13.92</v>
      </c>
      <c r="Q1528">
        <v>-13.92</v>
      </c>
      <c r="R1528" t="s">
        <v>492</v>
      </c>
      <c r="S1528">
        <v>0</v>
      </c>
      <c r="T1528" t="s">
        <v>52</v>
      </c>
      <c r="U1528">
        <v>0</v>
      </c>
      <c r="V1528">
        <v>0</v>
      </c>
      <c r="W1528">
        <v>400023</v>
      </c>
      <c r="AE1528">
        <v>0</v>
      </c>
      <c r="AH1528">
        <v>29</v>
      </c>
      <c r="AP1528" t="s">
        <v>369</v>
      </c>
    </row>
    <row r="1529" spans="1:42">
      <c r="A1529" s="1" t="s">
        <v>46</v>
      </c>
      <c r="B1529" s="1" t="s">
        <v>3207</v>
      </c>
      <c r="C1529" s="1" t="s">
        <v>3207</v>
      </c>
      <c r="E1529" s="4" t="s">
        <v>3208</v>
      </c>
      <c r="G1529" s="16"/>
      <c r="I1529">
        <v>10.5</v>
      </c>
      <c r="M1529">
        <v>1</v>
      </c>
      <c r="N1529">
        <v>2</v>
      </c>
      <c r="O1529">
        <v>0</v>
      </c>
      <c r="P1529">
        <v>6.1</v>
      </c>
      <c r="Q1529">
        <v>12.2</v>
      </c>
      <c r="R1529" t="s">
        <v>492</v>
      </c>
      <c r="S1529">
        <v>0</v>
      </c>
      <c r="T1529" t="s">
        <v>52</v>
      </c>
      <c r="U1529">
        <v>0</v>
      </c>
      <c r="V1529">
        <v>0</v>
      </c>
      <c r="W1529">
        <v>400013</v>
      </c>
      <c r="AE1529">
        <v>0</v>
      </c>
      <c r="AH1529">
        <v>10.5</v>
      </c>
      <c r="AP1529" t="s">
        <v>232</v>
      </c>
    </row>
    <row r="1530" spans="1:42">
      <c r="A1530" s="1" t="s">
        <v>46</v>
      </c>
      <c r="B1530" s="1" t="s">
        <v>3209</v>
      </c>
      <c r="C1530" s="1" t="s">
        <v>3209</v>
      </c>
      <c r="E1530" s="4" t="s">
        <v>3210</v>
      </c>
      <c r="G1530" s="16"/>
      <c r="I1530">
        <v>13.5</v>
      </c>
      <c r="M1530">
        <v>1</v>
      </c>
      <c r="N1530">
        <v>2</v>
      </c>
      <c r="O1530">
        <v>0</v>
      </c>
      <c r="P1530">
        <v>5.78</v>
      </c>
      <c r="Q1530">
        <v>11.55</v>
      </c>
      <c r="R1530" t="s">
        <v>492</v>
      </c>
      <c r="S1530">
        <v>0</v>
      </c>
      <c r="T1530">
        <v>0</v>
      </c>
      <c r="U1530">
        <v>0</v>
      </c>
      <c r="V1530">
        <v>0</v>
      </c>
      <c r="W1530">
        <v>400015</v>
      </c>
      <c r="AE1530">
        <v>0</v>
      </c>
      <c r="AH1530">
        <v>13.5</v>
      </c>
      <c r="AP1530" t="s">
        <v>3211</v>
      </c>
    </row>
    <row r="1531" spans="1:42">
      <c r="A1531" s="1" t="s">
        <v>46</v>
      </c>
      <c r="B1531" s="1" t="s">
        <v>3212</v>
      </c>
      <c r="C1531" s="1" t="s">
        <v>3212</v>
      </c>
      <c r="E1531" s="4" t="s">
        <v>3213</v>
      </c>
      <c r="G1531" s="16"/>
      <c r="M1531">
        <v>1</v>
      </c>
      <c r="N1531">
        <v>2</v>
      </c>
      <c r="O1531">
        <v>0</v>
      </c>
      <c r="P1531">
        <v>3.75</v>
      </c>
      <c r="Q1531">
        <v>7.5</v>
      </c>
      <c r="R1531" t="s">
        <v>492</v>
      </c>
      <c r="S1531">
        <v>0</v>
      </c>
      <c r="T1531" t="s">
        <v>52</v>
      </c>
      <c r="U1531">
        <v>0</v>
      </c>
      <c r="V1531">
        <v>0</v>
      </c>
      <c r="W1531">
        <v>400023</v>
      </c>
      <c r="AE1531">
        <v>0</v>
      </c>
      <c r="AP1531" t="s">
        <v>369</v>
      </c>
    </row>
    <row r="1532" spans="1:42">
      <c r="A1532" s="1" t="s">
        <v>46</v>
      </c>
      <c r="B1532" s="1" t="s">
        <v>3214</v>
      </c>
      <c r="C1532" s="1" t="s">
        <v>3214</v>
      </c>
      <c r="E1532" s="4" t="s">
        <v>3215</v>
      </c>
      <c r="G1532" s="16"/>
      <c r="I1532">
        <v>24</v>
      </c>
      <c r="M1532">
        <v>1</v>
      </c>
      <c r="N1532">
        <v>-11</v>
      </c>
      <c r="O1532">
        <v>0</v>
      </c>
      <c r="P1532">
        <v>9.57</v>
      </c>
      <c r="Q1532">
        <v>-105.27</v>
      </c>
      <c r="R1532" t="s">
        <v>492</v>
      </c>
      <c r="S1532">
        <v>0</v>
      </c>
      <c r="T1532" t="s">
        <v>52</v>
      </c>
      <c r="U1532">
        <v>0</v>
      </c>
      <c r="V1532">
        <v>0</v>
      </c>
      <c r="W1532">
        <v>400095</v>
      </c>
      <c r="AE1532">
        <v>0</v>
      </c>
      <c r="AH1532">
        <v>24</v>
      </c>
      <c r="AP1532" t="s">
        <v>3216</v>
      </c>
    </row>
    <row r="1533" spans="1:42">
      <c r="A1533" s="1" t="s">
        <v>46</v>
      </c>
      <c r="B1533" s="1" t="s">
        <v>3217</v>
      </c>
      <c r="C1533" s="1" t="s">
        <v>3217</v>
      </c>
      <c r="E1533" s="4" t="s">
        <v>3218</v>
      </c>
      <c r="G1533" s="16"/>
      <c r="I1533">
        <v>28</v>
      </c>
      <c r="M1533">
        <v>1</v>
      </c>
      <c r="N1533">
        <v>-3</v>
      </c>
      <c r="O1533">
        <v>0</v>
      </c>
      <c r="R1533" t="s">
        <v>492</v>
      </c>
      <c r="S1533">
        <v>0</v>
      </c>
      <c r="T1533">
        <v>0</v>
      </c>
      <c r="U1533">
        <v>0</v>
      </c>
      <c r="V1533">
        <v>0</v>
      </c>
      <c r="AE1533">
        <v>0</v>
      </c>
      <c r="AH1533">
        <v>28</v>
      </c>
    </row>
    <row r="1534" spans="1:42">
      <c r="A1534" s="1" t="s">
        <v>46</v>
      </c>
      <c r="B1534" s="1" t="s">
        <v>3219</v>
      </c>
      <c r="C1534" s="1" t="s">
        <v>3219</v>
      </c>
      <c r="E1534" s="4" t="s">
        <v>3220</v>
      </c>
      <c r="G1534" s="16"/>
      <c r="I1534">
        <v>14</v>
      </c>
      <c r="M1534">
        <v>1</v>
      </c>
      <c r="N1534">
        <v>-1</v>
      </c>
      <c r="O1534">
        <v>0</v>
      </c>
      <c r="P1534">
        <v>3.85</v>
      </c>
      <c r="Q1534">
        <v>-3.85</v>
      </c>
      <c r="R1534" t="s">
        <v>492</v>
      </c>
      <c r="S1534">
        <v>0</v>
      </c>
      <c r="T1534">
        <v>0</v>
      </c>
      <c r="U1534">
        <v>0</v>
      </c>
      <c r="V1534">
        <v>0</v>
      </c>
      <c r="W1534">
        <v>400023</v>
      </c>
      <c r="AE1534">
        <v>0</v>
      </c>
      <c r="AH1534">
        <v>14</v>
      </c>
      <c r="AP1534" t="s">
        <v>369</v>
      </c>
    </row>
    <row r="1535" spans="1:42">
      <c r="A1535" s="1" t="s">
        <v>46</v>
      </c>
      <c r="B1535" s="1" t="s">
        <v>3221</v>
      </c>
      <c r="C1535" s="1" t="s">
        <v>3221</v>
      </c>
      <c r="E1535" s="4" t="s">
        <v>3222</v>
      </c>
      <c r="G1535" s="16"/>
      <c r="I1535">
        <v>14</v>
      </c>
      <c r="M1535">
        <v>1</v>
      </c>
      <c r="N1535">
        <v>-9</v>
      </c>
      <c r="O1535">
        <v>0</v>
      </c>
      <c r="P1535">
        <v>7.33</v>
      </c>
      <c r="Q1535">
        <v>-65.930000000000007</v>
      </c>
      <c r="R1535" t="s">
        <v>492</v>
      </c>
      <c r="S1535">
        <v>0</v>
      </c>
      <c r="T1535">
        <v>0</v>
      </c>
      <c r="U1535">
        <v>0</v>
      </c>
      <c r="V1535">
        <v>0</v>
      </c>
      <c r="W1535">
        <v>400013</v>
      </c>
      <c r="AE1535">
        <v>0</v>
      </c>
      <c r="AH1535">
        <v>14</v>
      </c>
      <c r="AP1535" t="s">
        <v>232</v>
      </c>
    </row>
    <row r="1536" spans="1:42">
      <c r="A1536" s="1" t="s">
        <v>46</v>
      </c>
      <c r="B1536" s="1" t="s">
        <v>3223</v>
      </c>
      <c r="C1536" s="1" t="s">
        <v>3223</v>
      </c>
      <c r="E1536" s="4" t="s">
        <v>3224</v>
      </c>
      <c r="G1536" s="16"/>
      <c r="I1536">
        <v>15.5</v>
      </c>
      <c r="M1536">
        <v>1</v>
      </c>
      <c r="N1536">
        <v>-44</v>
      </c>
      <c r="O1536">
        <v>0</v>
      </c>
      <c r="P1536">
        <v>7.74</v>
      </c>
      <c r="Q1536">
        <v>-340.66</v>
      </c>
      <c r="R1536" t="s">
        <v>492</v>
      </c>
      <c r="S1536">
        <v>0</v>
      </c>
      <c r="T1536">
        <v>0</v>
      </c>
      <c r="U1536">
        <v>0</v>
      </c>
      <c r="V1536">
        <v>0</v>
      </c>
      <c r="W1536">
        <v>400112</v>
      </c>
      <c r="AE1536">
        <v>0</v>
      </c>
      <c r="AH1536">
        <v>15.5</v>
      </c>
      <c r="AP1536" t="s">
        <v>220</v>
      </c>
    </row>
    <row r="1537" spans="1:42">
      <c r="A1537" s="1" t="s">
        <v>46</v>
      </c>
      <c r="B1537" s="1" t="s">
        <v>3225</v>
      </c>
      <c r="C1537" s="1" t="s">
        <v>3225</v>
      </c>
      <c r="E1537" s="4" t="s">
        <v>3226</v>
      </c>
      <c r="G1537" s="16"/>
      <c r="M1537">
        <v>1</v>
      </c>
      <c r="N1537">
        <v>-3</v>
      </c>
      <c r="O1537">
        <v>0</v>
      </c>
      <c r="P1537">
        <v>0.87</v>
      </c>
      <c r="Q1537">
        <v>-2.61</v>
      </c>
      <c r="R1537" t="s">
        <v>3227</v>
      </c>
      <c r="T1537" t="s">
        <v>52</v>
      </c>
      <c r="W1537">
        <v>400004</v>
      </c>
      <c r="AE1537">
        <v>0</v>
      </c>
      <c r="AP1537" t="s">
        <v>352</v>
      </c>
    </row>
    <row r="1538" spans="1:42">
      <c r="A1538" s="1" t="s">
        <v>46</v>
      </c>
      <c r="B1538" s="1" t="s">
        <v>3228</v>
      </c>
      <c r="C1538" s="1" t="s">
        <v>3228</v>
      </c>
      <c r="E1538" s="4" t="s">
        <v>3229</v>
      </c>
      <c r="G1538" s="16"/>
      <c r="M1538">
        <v>1</v>
      </c>
      <c r="N1538">
        <v>-5</v>
      </c>
      <c r="O1538">
        <v>0</v>
      </c>
      <c r="P1538">
        <v>2.9</v>
      </c>
      <c r="Q1538">
        <v>-14.5</v>
      </c>
      <c r="R1538" t="s">
        <v>3227</v>
      </c>
      <c r="T1538" t="s">
        <v>52</v>
      </c>
      <c r="W1538">
        <v>400004</v>
      </c>
      <c r="AE1538">
        <v>0</v>
      </c>
      <c r="AP1538" t="s">
        <v>352</v>
      </c>
    </row>
    <row r="1539" spans="1:42">
      <c r="A1539" s="1" t="s">
        <v>46</v>
      </c>
      <c r="B1539" s="1" t="s">
        <v>3230</v>
      </c>
      <c r="C1539" s="1" t="s">
        <v>3230</v>
      </c>
      <c r="E1539" s="4" t="s">
        <v>3231</v>
      </c>
      <c r="G1539" s="16">
        <v>0.5</v>
      </c>
      <c r="M1539">
        <v>1</v>
      </c>
      <c r="N1539">
        <v>5</v>
      </c>
      <c r="O1539">
        <v>0</v>
      </c>
      <c r="P1539">
        <v>0.46</v>
      </c>
      <c r="Q1539">
        <v>2.2799999999999998</v>
      </c>
      <c r="R1539" t="s">
        <v>3227</v>
      </c>
      <c r="S1539">
        <v>0</v>
      </c>
      <c r="T1539" t="s">
        <v>52</v>
      </c>
      <c r="W1539">
        <v>400004</v>
      </c>
      <c r="AE1539">
        <v>0</v>
      </c>
      <c r="AP1539" t="s">
        <v>352</v>
      </c>
    </row>
    <row r="1540" spans="1:42">
      <c r="A1540" s="1" t="s">
        <v>46</v>
      </c>
      <c r="B1540" s="1" t="s">
        <v>3232</v>
      </c>
      <c r="C1540" s="1" t="s">
        <v>3232</v>
      </c>
      <c r="E1540" s="4" t="s">
        <v>3233</v>
      </c>
      <c r="G1540" s="16"/>
      <c r="M1540">
        <v>1</v>
      </c>
      <c r="N1540">
        <v>3</v>
      </c>
      <c r="O1540">
        <v>0</v>
      </c>
      <c r="P1540">
        <v>25</v>
      </c>
      <c r="Q1540">
        <v>75</v>
      </c>
      <c r="W1540">
        <v>400139</v>
      </c>
      <c r="AE1540">
        <v>0</v>
      </c>
      <c r="AP1540" t="s">
        <v>1233</v>
      </c>
    </row>
    <row r="1541" spans="1:42">
      <c r="A1541" s="1" t="s">
        <v>46</v>
      </c>
      <c r="B1541" s="1" t="s">
        <v>3234</v>
      </c>
      <c r="C1541" s="1" t="s">
        <v>3234</v>
      </c>
      <c r="E1541" s="4" t="s">
        <v>3235</v>
      </c>
      <c r="G1541" s="16">
        <v>0.5</v>
      </c>
      <c r="M1541">
        <v>1</v>
      </c>
      <c r="N1541">
        <v>4</v>
      </c>
      <c r="O1541">
        <v>0</v>
      </c>
      <c r="P1541">
        <v>23</v>
      </c>
      <c r="Q1541">
        <v>92</v>
      </c>
      <c r="R1541">
        <v>0</v>
      </c>
      <c r="S1541">
        <v>0</v>
      </c>
      <c r="T1541">
        <v>0</v>
      </c>
      <c r="W1541">
        <v>400139</v>
      </c>
      <c r="AE1541">
        <v>0</v>
      </c>
      <c r="AP1541" t="s">
        <v>1233</v>
      </c>
    </row>
    <row r="1542" spans="1:42">
      <c r="A1542" s="1" t="s">
        <v>46</v>
      </c>
      <c r="B1542" s="1" t="s">
        <v>3236</v>
      </c>
      <c r="C1542" s="1" t="s">
        <v>3236</v>
      </c>
      <c r="E1542" s="4" t="s">
        <v>3237</v>
      </c>
      <c r="G1542" s="16"/>
      <c r="M1542">
        <v>1</v>
      </c>
      <c r="N1542">
        <v>48</v>
      </c>
      <c r="O1542">
        <v>0</v>
      </c>
      <c r="P1542">
        <v>22.5</v>
      </c>
      <c r="Q1542">
        <v>1080</v>
      </c>
      <c r="W1542">
        <v>400080</v>
      </c>
      <c r="AE1542">
        <v>0</v>
      </c>
      <c r="AP1542" t="s">
        <v>696</v>
      </c>
    </row>
    <row r="1543" spans="1:42">
      <c r="A1543" s="1" t="s">
        <v>46</v>
      </c>
      <c r="B1543" s="1" t="s">
        <v>3238</v>
      </c>
      <c r="C1543" s="1" t="s">
        <v>3238</v>
      </c>
      <c r="E1543" s="4" t="s">
        <v>3239</v>
      </c>
      <c r="G1543" s="16">
        <v>0.7</v>
      </c>
      <c r="M1543">
        <v>1</v>
      </c>
      <c r="N1543">
        <v>7</v>
      </c>
      <c r="O1543">
        <v>0</v>
      </c>
      <c r="P1543">
        <v>37.119999999999997</v>
      </c>
      <c r="Q1543">
        <v>259.88</v>
      </c>
      <c r="W1543">
        <v>400080</v>
      </c>
      <c r="AE1543">
        <v>0</v>
      </c>
      <c r="AP1543" t="s">
        <v>696</v>
      </c>
    </row>
    <row r="1544" spans="1:42">
      <c r="A1544" s="1" t="s">
        <v>46</v>
      </c>
      <c r="B1544" s="1" t="s">
        <v>3240</v>
      </c>
      <c r="C1544" s="1" t="s">
        <v>3240</v>
      </c>
      <c r="E1544" s="4" t="s">
        <v>3241</v>
      </c>
      <c r="G1544" s="16">
        <v>0.35</v>
      </c>
      <c r="M1544">
        <v>1</v>
      </c>
      <c r="N1544">
        <v>5</v>
      </c>
      <c r="O1544">
        <v>0</v>
      </c>
      <c r="P1544">
        <v>90</v>
      </c>
      <c r="Q1544">
        <v>450</v>
      </c>
      <c r="W1544">
        <v>400080</v>
      </c>
      <c r="AE1544">
        <v>0</v>
      </c>
      <c r="AP1544" t="s">
        <v>696</v>
      </c>
    </row>
    <row r="1545" spans="1:42">
      <c r="A1545" s="1" t="s">
        <v>46</v>
      </c>
      <c r="B1545" s="1" t="s">
        <v>3242</v>
      </c>
      <c r="C1545" s="1" t="s">
        <v>3242</v>
      </c>
      <c r="E1545" s="4" t="s">
        <v>3243</v>
      </c>
      <c r="G1545" s="16"/>
      <c r="M1545">
        <v>1</v>
      </c>
      <c r="N1545">
        <v>9</v>
      </c>
      <c r="O1545">
        <v>0</v>
      </c>
      <c r="P1545">
        <v>42.38</v>
      </c>
      <c r="Q1545">
        <v>381.38</v>
      </c>
      <c r="W1545">
        <v>400080</v>
      </c>
      <c r="AE1545">
        <v>0</v>
      </c>
      <c r="AP1545" t="s">
        <v>696</v>
      </c>
    </row>
    <row r="1546" spans="1:42">
      <c r="A1546" s="1" t="s">
        <v>46</v>
      </c>
      <c r="B1546" s="1" t="s">
        <v>3244</v>
      </c>
      <c r="C1546" s="1" t="s">
        <v>3244</v>
      </c>
      <c r="E1546" s="4" t="s">
        <v>3245</v>
      </c>
      <c r="G1546" s="16">
        <v>0.65</v>
      </c>
      <c r="M1546">
        <v>1</v>
      </c>
      <c r="N1546">
        <v>57</v>
      </c>
      <c r="O1546">
        <v>0</v>
      </c>
      <c r="P1546">
        <v>15.4</v>
      </c>
      <c r="Q1546">
        <v>877.8</v>
      </c>
      <c r="R1546" t="s">
        <v>3246</v>
      </c>
      <c r="S1546">
        <v>0</v>
      </c>
      <c r="T1546" t="s">
        <v>52</v>
      </c>
      <c r="W1546">
        <v>400080</v>
      </c>
      <c r="AE1546">
        <v>0</v>
      </c>
      <c r="AP1546" t="s">
        <v>696</v>
      </c>
    </row>
    <row r="1547" spans="1:42">
      <c r="A1547" s="1" t="s">
        <v>46</v>
      </c>
      <c r="B1547" s="1" t="s">
        <v>3247</v>
      </c>
      <c r="C1547" s="1" t="s">
        <v>3247</v>
      </c>
      <c r="E1547" s="4" t="s">
        <v>3248</v>
      </c>
      <c r="G1547" s="16">
        <v>0.9</v>
      </c>
      <c r="M1547">
        <v>1</v>
      </c>
      <c r="N1547">
        <v>4</v>
      </c>
      <c r="O1547">
        <v>0</v>
      </c>
      <c r="P1547">
        <v>285</v>
      </c>
      <c r="Q1547">
        <v>1140</v>
      </c>
      <c r="R1547" t="s">
        <v>1147</v>
      </c>
      <c r="S1547">
        <v>0</v>
      </c>
      <c r="T1547" t="s">
        <v>52</v>
      </c>
      <c r="W1547">
        <v>400046</v>
      </c>
      <c r="AE1547">
        <v>0</v>
      </c>
      <c r="AP1547" t="s">
        <v>407</v>
      </c>
    </row>
    <row r="1548" spans="1:42">
      <c r="A1548" s="1" t="s">
        <v>46</v>
      </c>
      <c r="B1548" s="1" t="s">
        <v>3249</v>
      </c>
      <c r="C1548" s="1" t="s">
        <v>3249</v>
      </c>
      <c r="E1548" s="4" t="s">
        <v>3250</v>
      </c>
      <c r="G1548" s="16">
        <v>0.75</v>
      </c>
      <c r="M1548">
        <v>1</v>
      </c>
      <c r="N1548">
        <v>128</v>
      </c>
      <c r="O1548">
        <v>0</v>
      </c>
      <c r="P1548">
        <v>30.86</v>
      </c>
      <c r="Q1548">
        <v>3950.42</v>
      </c>
      <c r="R1548">
        <v>0</v>
      </c>
      <c r="S1548">
        <v>0</v>
      </c>
      <c r="T1548" t="s">
        <v>52</v>
      </c>
      <c r="W1548">
        <v>400068</v>
      </c>
      <c r="AE1548">
        <v>0</v>
      </c>
      <c r="AP1548" t="s">
        <v>872</v>
      </c>
    </row>
    <row r="1549" spans="1:42">
      <c r="A1549" s="1" t="s">
        <v>46</v>
      </c>
      <c r="B1549" s="1" t="s">
        <v>3251</v>
      </c>
      <c r="C1549" s="1" t="s">
        <v>3251</v>
      </c>
      <c r="E1549" s="4" t="s">
        <v>3252</v>
      </c>
      <c r="G1549" s="16"/>
      <c r="M1549">
        <v>1</v>
      </c>
      <c r="N1549">
        <v>2</v>
      </c>
      <c r="O1549">
        <v>0</v>
      </c>
      <c r="P1549">
        <v>270</v>
      </c>
      <c r="Q1549">
        <v>540</v>
      </c>
      <c r="R1549">
        <v>0</v>
      </c>
      <c r="S1549">
        <v>0</v>
      </c>
      <c r="T1549">
        <v>0</v>
      </c>
      <c r="W1549">
        <v>400046</v>
      </c>
      <c r="AE1549">
        <v>0</v>
      </c>
      <c r="AP1549" t="s">
        <v>407</v>
      </c>
    </row>
    <row r="1550" spans="1:42">
      <c r="A1550" s="1" t="s">
        <v>46</v>
      </c>
      <c r="B1550" s="1" t="s">
        <v>3253</v>
      </c>
      <c r="C1550" s="1" t="s">
        <v>3253</v>
      </c>
      <c r="E1550" s="4" t="s">
        <v>3254</v>
      </c>
      <c r="G1550" s="16">
        <v>0.65</v>
      </c>
      <c r="M1550">
        <v>1</v>
      </c>
      <c r="N1550">
        <v>1</v>
      </c>
      <c r="O1550">
        <v>0</v>
      </c>
      <c r="P1550">
        <v>1200</v>
      </c>
      <c r="Q1550">
        <v>1200</v>
      </c>
      <c r="W1550">
        <v>400046</v>
      </c>
      <c r="AE1550">
        <v>0</v>
      </c>
      <c r="AP1550" t="s">
        <v>407</v>
      </c>
    </row>
    <row r="1551" spans="1:42">
      <c r="A1551" s="1" t="s">
        <v>46</v>
      </c>
      <c r="B1551" s="1" t="s">
        <v>3255</v>
      </c>
      <c r="C1551" s="1" t="s">
        <v>3255</v>
      </c>
      <c r="E1551" s="4" t="s">
        <v>3256</v>
      </c>
      <c r="G1551" s="16">
        <v>0.65</v>
      </c>
      <c r="M1551">
        <v>1</v>
      </c>
      <c r="N1551">
        <v>2</v>
      </c>
      <c r="O1551">
        <v>0</v>
      </c>
      <c r="P1551">
        <v>110</v>
      </c>
      <c r="Q1551">
        <v>220</v>
      </c>
      <c r="W1551">
        <v>400046</v>
      </c>
      <c r="AE1551">
        <v>0</v>
      </c>
      <c r="AP1551" t="s">
        <v>407</v>
      </c>
    </row>
    <row r="1552" spans="1:42">
      <c r="A1552" s="1" t="s">
        <v>46</v>
      </c>
      <c r="B1552" s="1" t="s">
        <v>3257</v>
      </c>
      <c r="C1552" s="1" t="s">
        <v>3257</v>
      </c>
      <c r="E1552" s="4" t="s">
        <v>3258</v>
      </c>
      <c r="G1552" s="16">
        <v>1</v>
      </c>
      <c r="M1552">
        <v>1</v>
      </c>
      <c r="N1552">
        <v>141</v>
      </c>
      <c r="O1552">
        <v>0</v>
      </c>
      <c r="P1552">
        <v>0.57999999999999996</v>
      </c>
      <c r="Q1552">
        <v>82.17</v>
      </c>
      <c r="R1552" t="s">
        <v>663</v>
      </c>
      <c r="S1552">
        <v>0</v>
      </c>
      <c r="T1552" t="s">
        <v>17</v>
      </c>
      <c r="U1552">
        <v>0</v>
      </c>
      <c r="V1552">
        <v>0</v>
      </c>
      <c r="W1552">
        <v>400013</v>
      </c>
      <c r="X1552" t="s">
        <v>56</v>
      </c>
      <c r="Y1552" t="s">
        <v>57</v>
      </c>
      <c r="AE1552">
        <v>0</v>
      </c>
      <c r="AP1552" t="s">
        <v>232</v>
      </c>
    </row>
    <row r="1553" spans="1:42">
      <c r="A1553" s="1" t="s">
        <v>46</v>
      </c>
      <c r="B1553" s="1" t="s">
        <v>3259</v>
      </c>
      <c r="C1553" s="1" t="s">
        <v>3259</v>
      </c>
      <c r="E1553" s="4" t="s">
        <v>3260</v>
      </c>
      <c r="G1553" s="16"/>
      <c r="I1553">
        <v>0.82</v>
      </c>
      <c r="M1553">
        <v>1</v>
      </c>
      <c r="N1553">
        <v>10</v>
      </c>
      <c r="O1553">
        <v>0</v>
      </c>
      <c r="P1553">
        <v>0.65</v>
      </c>
      <c r="Q1553">
        <v>6.49</v>
      </c>
      <c r="R1553" t="s">
        <v>1406</v>
      </c>
      <c r="S1553">
        <v>0</v>
      </c>
      <c r="T1553">
        <v>0</v>
      </c>
      <c r="U1553">
        <v>0</v>
      </c>
      <c r="V1553">
        <v>0</v>
      </c>
      <c r="W1553">
        <v>400013</v>
      </c>
      <c r="AE1553">
        <v>0</v>
      </c>
      <c r="AH1553">
        <v>0.82</v>
      </c>
      <c r="AP1553" t="s">
        <v>232</v>
      </c>
    </row>
    <row r="1554" spans="1:42">
      <c r="A1554" s="1" t="s">
        <v>46</v>
      </c>
      <c r="B1554" s="1" t="s">
        <v>3261</v>
      </c>
      <c r="C1554" s="1" t="s">
        <v>3261</v>
      </c>
      <c r="E1554" s="4" t="s">
        <v>3262</v>
      </c>
      <c r="G1554" s="16"/>
      <c r="I1554">
        <v>1.05</v>
      </c>
      <c r="M1554">
        <v>1</v>
      </c>
      <c r="N1554">
        <v>136</v>
      </c>
      <c r="O1554">
        <v>0</v>
      </c>
      <c r="P1554">
        <v>1.21</v>
      </c>
      <c r="Q1554">
        <v>164.12</v>
      </c>
      <c r="R1554" t="s">
        <v>1406</v>
      </c>
      <c r="S1554">
        <v>0</v>
      </c>
      <c r="T1554">
        <v>0</v>
      </c>
      <c r="U1554">
        <v>0</v>
      </c>
      <c r="V1554">
        <v>0</v>
      </c>
      <c r="W1554">
        <v>400013</v>
      </c>
      <c r="AE1554">
        <v>0</v>
      </c>
      <c r="AH1554">
        <v>1.05</v>
      </c>
      <c r="AP1554" t="s">
        <v>232</v>
      </c>
    </row>
    <row r="1555" spans="1:42">
      <c r="A1555" s="1" t="s">
        <v>46</v>
      </c>
      <c r="B1555" s="1" t="s">
        <v>3263</v>
      </c>
      <c r="C1555" s="1" t="s">
        <v>3263</v>
      </c>
      <c r="E1555" s="4" t="s">
        <v>3264</v>
      </c>
      <c r="G1555" s="16"/>
      <c r="I1555">
        <v>1.5</v>
      </c>
      <c r="M1555">
        <v>1</v>
      </c>
      <c r="N1555">
        <v>3.5</v>
      </c>
      <c r="O1555">
        <v>0</v>
      </c>
      <c r="P1555">
        <v>8.99</v>
      </c>
      <c r="Q1555">
        <v>31.47</v>
      </c>
      <c r="R1555" t="s">
        <v>1406</v>
      </c>
      <c r="S1555">
        <v>0</v>
      </c>
      <c r="T1555" t="s">
        <v>209</v>
      </c>
      <c r="U1555">
        <v>0</v>
      </c>
      <c r="V1555">
        <v>0</v>
      </c>
      <c r="W1555">
        <v>400013</v>
      </c>
      <c r="AE1555">
        <v>0</v>
      </c>
      <c r="AH1555">
        <v>1.5</v>
      </c>
      <c r="AP1555" t="s">
        <v>232</v>
      </c>
    </row>
    <row r="1556" spans="1:42">
      <c r="A1556" s="1" t="s">
        <v>46</v>
      </c>
      <c r="B1556" s="1" t="s">
        <v>3265</v>
      </c>
      <c r="C1556" s="1" t="s">
        <v>3265</v>
      </c>
      <c r="E1556" s="4" t="s">
        <v>3266</v>
      </c>
      <c r="G1556" s="16"/>
      <c r="I1556">
        <v>0.55000000000000004</v>
      </c>
      <c r="M1556">
        <v>1</v>
      </c>
      <c r="N1556">
        <v>188</v>
      </c>
      <c r="O1556">
        <v>0</v>
      </c>
      <c r="P1556">
        <v>0.57999999999999996</v>
      </c>
      <c r="Q1556">
        <v>108.57</v>
      </c>
      <c r="R1556" t="s">
        <v>1406</v>
      </c>
      <c r="S1556">
        <v>0</v>
      </c>
      <c r="T1556">
        <v>0</v>
      </c>
      <c r="U1556">
        <v>0</v>
      </c>
      <c r="V1556">
        <v>0</v>
      </c>
      <c r="W1556">
        <v>400013</v>
      </c>
      <c r="AE1556">
        <v>0</v>
      </c>
      <c r="AH1556">
        <v>0.55000000000000004</v>
      </c>
      <c r="AP1556" t="s">
        <v>232</v>
      </c>
    </row>
    <row r="1557" spans="1:42">
      <c r="A1557" s="1" t="s">
        <v>46</v>
      </c>
      <c r="B1557" s="1" t="s">
        <v>3267</v>
      </c>
      <c r="C1557" s="1" t="s">
        <v>3267</v>
      </c>
      <c r="E1557" s="4" t="s">
        <v>3268</v>
      </c>
      <c r="G1557" s="16"/>
      <c r="I1557">
        <v>0.55000000000000004</v>
      </c>
      <c r="M1557">
        <v>1</v>
      </c>
      <c r="N1557">
        <v>196</v>
      </c>
      <c r="O1557">
        <v>0</v>
      </c>
      <c r="P1557">
        <v>0.57999999999999996</v>
      </c>
      <c r="Q1557">
        <v>114.23</v>
      </c>
      <c r="R1557" t="s">
        <v>1406</v>
      </c>
      <c r="S1557">
        <v>0</v>
      </c>
      <c r="T1557" t="s">
        <v>52</v>
      </c>
      <c r="U1557">
        <v>0</v>
      </c>
      <c r="V1557">
        <v>0</v>
      </c>
      <c r="W1557">
        <v>400013</v>
      </c>
      <c r="AE1557">
        <v>0</v>
      </c>
      <c r="AH1557">
        <v>0.55000000000000004</v>
      </c>
      <c r="AP1557" t="s">
        <v>232</v>
      </c>
    </row>
    <row r="1558" spans="1:42">
      <c r="A1558" s="1" t="s">
        <v>46</v>
      </c>
      <c r="B1558" s="1" t="s">
        <v>3269</v>
      </c>
      <c r="C1558" s="1" t="s">
        <v>3269</v>
      </c>
      <c r="E1558" s="4" t="s">
        <v>3270</v>
      </c>
      <c r="G1558" s="16"/>
      <c r="I1558">
        <v>0.6</v>
      </c>
      <c r="M1558">
        <v>1</v>
      </c>
      <c r="N1558">
        <v>52</v>
      </c>
      <c r="O1558">
        <v>0</v>
      </c>
      <c r="P1558">
        <v>0.83</v>
      </c>
      <c r="Q1558">
        <v>43.29</v>
      </c>
      <c r="R1558" t="s">
        <v>1406</v>
      </c>
      <c r="S1558">
        <v>0</v>
      </c>
      <c r="T1558">
        <v>0</v>
      </c>
      <c r="U1558">
        <v>0</v>
      </c>
      <c r="V1558">
        <v>0</v>
      </c>
      <c r="W1558">
        <v>400013</v>
      </c>
      <c r="AE1558">
        <v>0</v>
      </c>
      <c r="AH1558">
        <v>0.6</v>
      </c>
      <c r="AP1558" t="s">
        <v>232</v>
      </c>
    </row>
    <row r="1559" spans="1:42">
      <c r="A1559" s="1" t="s">
        <v>46</v>
      </c>
      <c r="B1559" s="1" t="s">
        <v>3271</v>
      </c>
      <c r="C1559" s="1" t="s">
        <v>3271</v>
      </c>
      <c r="E1559" s="4" t="s">
        <v>3272</v>
      </c>
      <c r="G1559" s="16"/>
      <c r="I1559">
        <v>0.6</v>
      </c>
      <c r="M1559">
        <v>1</v>
      </c>
      <c r="N1559">
        <v>61</v>
      </c>
      <c r="O1559">
        <v>0</v>
      </c>
      <c r="P1559">
        <v>0.61</v>
      </c>
      <c r="Q1559">
        <v>36.97</v>
      </c>
      <c r="R1559" t="s">
        <v>1406</v>
      </c>
      <c r="S1559">
        <v>0</v>
      </c>
      <c r="T1559">
        <v>0</v>
      </c>
      <c r="U1559">
        <v>0</v>
      </c>
      <c r="V1559">
        <v>0</v>
      </c>
      <c r="W1559">
        <v>400013</v>
      </c>
      <c r="AE1559">
        <v>0</v>
      </c>
      <c r="AH1559">
        <v>0.6</v>
      </c>
      <c r="AP1559" t="s">
        <v>232</v>
      </c>
    </row>
    <row r="1560" spans="1:42">
      <c r="A1560" s="1" t="s">
        <v>46</v>
      </c>
      <c r="B1560" s="1" t="s">
        <v>3273</v>
      </c>
      <c r="C1560" s="1" t="s">
        <v>3273</v>
      </c>
      <c r="E1560" s="4" t="s">
        <v>3274</v>
      </c>
      <c r="G1560" s="16"/>
      <c r="M1560">
        <v>1</v>
      </c>
      <c r="N1560">
        <v>19</v>
      </c>
      <c r="O1560">
        <v>0</v>
      </c>
      <c r="P1560">
        <v>0.54</v>
      </c>
      <c r="Q1560">
        <v>10.26</v>
      </c>
      <c r="R1560" t="s">
        <v>1406</v>
      </c>
      <c r="S1560">
        <v>0</v>
      </c>
      <c r="T1560">
        <v>0</v>
      </c>
      <c r="U1560">
        <v>0</v>
      </c>
      <c r="V1560">
        <v>0</v>
      </c>
      <c r="W1560">
        <v>400013</v>
      </c>
      <c r="AE1560">
        <v>0</v>
      </c>
      <c r="AP1560" t="s">
        <v>232</v>
      </c>
    </row>
    <row r="1561" spans="1:42">
      <c r="A1561" s="1" t="s">
        <v>46</v>
      </c>
      <c r="B1561" s="1" t="s">
        <v>3275</v>
      </c>
      <c r="C1561" s="1" t="s">
        <v>3275</v>
      </c>
      <c r="E1561" s="4" t="s">
        <v>3276</v>
      </c>
      <c r="G1561" s="16"/>
      <c r="I1561">
        <v>0.82</v>
      </c>
      <c r="M1561">
        <v>1</v>
      </c>
      <c r="N1561">
        <v>-2</v>
      </c>
      <c r="O1561">
        <v>0</v>
      </c>
      <c r="P1561">
        <v>0.46</v>
      </c>
      <c r="Q1561">
        <v>-0.92</v>
      </c>
      <c r="R1561" t="s">
        <v>1406</v>
      </c>
      <c r="S1561">
        <v>0</v>
      </c>
      <c r="T1561">
        <v>0</v>
      </c>
      <c r="U1561">
        <v>0</v>
      </c>
      <c r="V1561">
        <v>0</v>
      </c>
      <c r="W1561">
        <v>400013</v>
      </c>
      <c r="AE1561">
        <v>0</v>
      </c>
      <c r="AH1561">
        <v>0.82</v>
      </c>
      <c r="AP1561" t="s">
        <v>232</v>
      </c>
    </row>
    <row r="1562" spans="1:42">
      <c r="A1562" s="1" t="s">
        <v>46</v>
      </c>
      <c r="B1562" s="1" t="s">
        <v>3277</v>
      </c>
      <c r="C1562" s="1" t="s">
        <v>3277</v>
      </c>
      <c r="E1562" s="4" t="s">
        <v>3278</v>
      </c>
      <c r="G1562" s="16"/>
      <c r="I1562">
        <v>1.1499999999999999</v>
      </c>
      <c r="M1562">
        <v>1</v>
      </c>
      <c r="N1562">
        <v>-2</v>
      </c>
      <c r="O1562">
        <v>0</v>
      </c>
      <c r="P1562">
        <v>4.55</v>
      </c>
      <c r="Q1562">
        <v>-9.11</v>
      </c>
      <c r="R1562" t="s">
        <v>1406</v>
      </c>
      <c r="S1562">
        <v>0</v>
      </c>
      <c r="T1562" t="s">
        <v>209</v>
      </c>
      <c r="U1562">
        <v>0</v>
      </c>
      <c r="V1562">
        <v>0</v>
      </c>
      <c r="W1562">
        <v>400013</v>
      </c>
      <c r="AE1562">
        <v>0</v>
      </c>
      <c r="AH1562">
        <v>1.1499999999999999</v>
      </c>
      <c r="AP1562" t="s">
        <v>232</v>
      </c>
    </row>
    <row r="1563" spans="1:42">
      <c r="A1563" s="1" t="s">
        <v>46</v>
      </c>
      <c r="B1563" s="1" t="s">
        <v>3279</v>
      </c>
      <c r="C1563" s="1" t="s">
        <v>3279</v>
      </c>
      <c r="E1563" s="4" t="s">
        <v>3280</v>
      </c>
      <c r="G1563" s="16"/>
      <c r="I1563">
        <v>0.5</v>
      </c>
      <c r="M1563">
        <v>1</v>
      </c>
      <c r="N1563">
        <v>72</v>
      </c>
      <c r="O1563">
        <v>0</v>
      </c>
      <c r="P1563">
        <v>0.56000000000000005</v>
      </c>
      <c r="Q1563">
        <v>40.44</v>
      </c>
      <c r="R1563" t="s">
        <v>1406</v>
      </c>
      <c r="S1563">
        <v>0</v>
      </c>
      <c r="T1563">
        <v>0</v>
      </c>
      <c r="U1563">
        <v>0</v>
      </c>
      <c r="V1563">
        <v>0</v>
      </c>
      <c r="W1563">
        <v>400013</v>
      </c>
      <c r="AE1563">
        <v>0</v>
      </c>
      <c r="AH1563">
        <v>0.5</v>
      </c>
      <c r="AP1563" t="s">
        <v>232</v>
      </c>
    </row>
    <row r="1564" spans="1:42">
      <c r="A1564" s="1" t="s">
        <v>46</v>
      </c>
      <c r="B1564" s="1" t="s">
        <v>3281</v>
      </c>
      <c r="C1564" s="1" t="s">
        <v>3281</v>
      </c>
      <c r="E1564" s="4" t="s">
        <v>3282</v>
      </c>
      <c r="G1564" s="16"/>
      <c r="I1564">
        <v>0.5</v>
      </c>
      <c r="M1564">
        <v>1</v>
      </c>
      <c r="N1564">
        <v>16</v>
      </c>
      <c r="O1564">
        <v>0</v>
      </c>
      <c r="P1564">
        <v>0.56000000000000005</v>
      </c>
      <c r="Q1564">
        <v>8.99</v>
      </c>
      <c r="R1564" t="s">
        <v>1406</v>
      </c>
      <c r="S1564">
        <v>0</v>
      </c>
      <c r="T1564" t="s">
        <v>52</v>
      </c>
      <c r="U1564">
        <v>0</v>
      </c>
      <c r="V1564">
        <v>0</v>
      </c>
      <c r="W1564">
        <v>400013</v>
      </c>
      <c r="AE1564">
        <v>0</v>
      </c>
      <c r="AH1564">
        <v>0.5</v>
      </c>
      <c r="AP1564" t="s">
        <v>232</v>
      </c>
    </row>
    <row r="1565" spans="1:42">
      <c r="A1565" s="1" t="s">
        <v>46</v>
      </c>
      <c r="B1565" s="1" t="s">
        <v>3283</v>
      </c>
      <c r="C1565" s="1" t="s">
        <v>3283</v>
      </c>
      <c r="E1565" s="4" t="s">
        <v>3284</v>
      </c>
      <c r="G1565" s="16"/>
      <c r="I1565">
        <v>0.55000000000000004</v>
      </c>
      <c r="M1565">
        <v>1</v>
      </c>
      <c r="N1565">
        <v>-4</v>
      </c>
      <c r="O1565">
        <v>0</v>
      </c>
      <c r="R1565" t="s">
        <v>1406</v>
      </c>
      <c r="S1565">
        <v>0</v>
      </c>
      <c r="T1565">
        <v>0</v>
      </c>
      <c r="U1565">
        <v>0</v>
      </c>
      <c r="V1565">
        <v>0</v>
      </c>
      <c r="AE1565">
        <v>0</v>
      </c>
      <c r="AH1565">
        <v>0.55000000000000004</v>
      </c>
    </row>
    <row r="1566" spans="1:42">
      <c r="A1566" s="1" t="s">
        <v>46</v>
      </c>
      <c r="B1566" s="1" t="s">
        <v>3285</v>
      </c>
      <c r="C1566" s="1" t="s">
        <v>3285</v>
      </c>
      <c r="E1566" s="4" t="s">
        <v>3286</v>
      </c>
      <c r="G1566" s="16"/>
      <c r="I1566">
        <v>0.66</v>
      </c>
      <c r="M1566">
        <v>1</v>
      </c>
      <c r="N1566">
        <v>348</v>
      </c>
      <c r="O1566">
        <v>0</v>
      </c>
      <c r="P1566">
        <v>0.57999999999999996</v>
      </c>
      <c r="Q1566">
        <v>202.8</v>
      </c>
      <c r="R1566" t="s">
        <v>1406</v>
      </c>
      <c r="S1566">
        <v>0</v>
      </c>
      <c r="T1566">
        <v>0</v>
      </c>
      <c r="U1566">
        <v>0</v>
      </c>
      <c r="V1566">
        <v>0</v>
      </c>
      <c r="W1566">
        <v>400013</v>
      </c>
      <c r="X1566" t="s">
        <v>56</v>
      </c>
      <c r="Y1566" t="s">
        <v>57</v>
      </c>
      <c r="AE1566">
        <v>0</v>
      </c>
      <c r="AH1566">
        <v>0.66</v>
      </c>
      <c r="AP1566" t="s">
        <v>232</v>
      </c>
    </row>
    <row r="1567" spans="1:42">
      <c r="A1567" s="1" t="s">
        <v>46</v>
      </c>
      <c r="B1567" s="1" t="s">
        <v>3287</v>
      </c>
      <c r="C1567" s="1" t="s">
        <v>3287</v>
      </c>
      <c r="E1567" s="4" t="s">
        <v>3288</v>
      </c>
      <c r="G1567" s="16"/>
      <c r="I1567">
        <v>0.85</v>
      </c>
      <c r="M1567">
        <v>1</v>
      </c>
      <c r="N1567">
        <v>798.5</v>
      </c>
      <c r="O1567">
        <v>0</v>
      </c>
      <c r="P1567">
        <v>6.24</v>
      </c>
      <c r="Q1567">
        <v>4982.6400000000003</v>
      </c>
      <c r="R1567" t="s">
        <v>1406</v>
      </c>
      <c r="S1567">
        <v>0</v>
      </c>
      <c r="T1567" t="s">
        <v>209</v>
      </c>
      <c r="U1567">
        <v>0</v>
      </c>
      <c r="V1567">
        <v>0</v>
      </c>
      <c r="W1567">
        <v>400214</v>
      </c>
      <c r="X1567" t="s">
        <v>56</v>
      </c>
      <c r="Y1567" t="s">
        <v>57</v>
      </c>
      <c r="AE1567">
        <v>0</v>
      </c>
      <c r="AH1567">
        <v>0.85</v>
      </c>
      <c r="AP1567" t="s">
        <v>689</v>
      </c>
    </row>
    <row r="1568" spans="1:42">
      <c r="A1568" s="1" t="s">
        <v>46</v>
      </c>
      <c r="B1568" s="1" t="s">
        <v>3289</v>
      </c>
      <c r="C1568" s="1" t="s">
        <v>3289</v>
      </c>
      <c r="E1568" s="4" t="s">
        <v>3290</v>
      </c>
      <c r="G1568" s="16"/>
      <c r="I1568">
        <v>0.5</v>
      </c>
      <c r="M1568">
        <v>1</v>
      </c>
      <c r="N1568">
        <v>1686</v>
      </c>
      <c r="O1568">
        <v>0</v>
      </c>
      <c r="P1568">
        <v>0.54</v>
      </c>
      <c r="Q1568">
        <v>910.44</v>
      </c>
      <c r="R1568" t="s">
        <v>1406</v>
      </c>
      <c r="S1568">
        <v>0</v>
      </c>
      <c r="T1568">
        <v>0</v>
      </c>
      <c r="U1568">
        <v>0</v>
      </c>
      <c r="V1568">
        <v>0</v>
      </c>
      <c r="W1568">
        <v>400214</v>
      </c>
      <c r="X1568" t="s">
        <v>56</v>
      </c>
      <c r="Y1568" t="s">
        <v>57</v>
      </c>
      <c r="AE1568">
        <v>0</v>
      </c>
      <c r="AH1568">
        <v>0.5</v>
      </c>
      <c r="AP1568" t="s">
        <v>689</v>
      </c>
    </row>
    <row r="1569" spans="1:42">
      <c r="A1569" s="1" t="s">
        <v>46</v>
      </c>
      <c r="B1569" s="1" t="s">
        <v>3291</v>
      </c>
      <c r="C1569" s="1" t="s">
        <v>3291</v>
      </c>
      <c r="E1569" s="4" t="s">
        <v>3292</v>
      </c>
      <c r="G1569" s="16"/>
      <c r="I1569">
        <v>0.5</v>
      </c>
      <c r="M1569">
        <v>1</v>
      </c>
      <c r="N1569">
        <v>1194</v>
      </c>
      <c r="O1569">
        <v>0</v>
      </c>
      <c r="P1569">
        <v>0.54</v>
      </c>
      <c r="Q1569">
        <v>644.76</v>
      </c>
      <c r="R1569" t="s">
        <v>1406</v>
      </c>
      <c r="S1569">
        <v>0</v>
      </c>
      <c r="T1569" t="s">
        <v>209</v>
      </c>
      <c r="U1569">
        <v>0</v>
      </c>
      <c r="V1569">
        <v>0</v>
      </c>
      <c r="W1569">
        <v>400214</v>
      </c>
      <c r="X1569" t="s">
        <v>56</v>
      </c>
      <c r="Y1569" t="s">
        <v>57</v>
      </c>
      <c r="AE1569">
        <v>0</v>
      </c>
      <c r="AH1569">
        <v>0.5</v>
      </c>
      <c r="AP1569" t="s">
        <v>689</v>
      </c>
    </row>
    <row r="1570" spans="1:42">
      <c r="A1570" s="1" t="s">
        <v>46</v>
      </c>
      <c r="B1570" s="1" t="s">
        <v>3293</v>
      </c>
      <c r="C1570" s="1" t="s">
        <v>3293</v>
      </c>
      <c r="E1570" s="4" t="s">
        <v>3294</v>
      </c>
      <c r="G1570" s="16"/>
      <c r="I1570">
        <v>0.55000000000000004</v>
      </c>
      <c r="M1570">
        <v>1</v>
      </c>
      <c r="N1570">
        <v>1064</v>
      </c>
      <c r="O1570">
        <v>0</v>
      </c>
      <c r="P1570">
        <v>0.5</v>
      </c>
      <c r="Q1570">
        <v>534.66</v>
      </c>
      <c r="R1570" t="s">
        <v>1406</v>
      </c>
      <c r="S1570">
        <v>0</v>
      </c>
      <c r="T1570">
        <v>0</v>
      </c>
      <c r="U1570">
        <v>0</v>
      </c>
      <c r="V1570">
        <v>0</v>
      </c>
      <c r="W1570">
        <v>400013</v>
      </c>
      <c r="X1570" t="s">
        <v>56</v>
      </c>
      <c r="Y1570" t="s">
        <v>57</v>
      </c>
      <c r="AE1570">
        <v>0</v>
      </c>
      <c r="AH1570">
        <v>0.55000000000000004</v>
      </c>
      <c r="AP1570" t="s">
        <v>232</v>
      </c>
    </row>
    <row r="1571" spans="1:42">
      <c r="A1571" s="1" t="s">
        <v>46</v>
      </c>
      <c r="B1571" s="1" t="s">
        <v>3295</v>
      </c>
      <c r="C1571" s="1" t="s">
        <v>3295</v>
      </c>
      <c r="E1571" s="4" t="s">
        <v>3296</v>
      </c>
      <c r="G1571" s="16"/>
      <c r="I1571">
        <v>0.55000000000000004</v>
      </c>
      <c r="M1571">
        <v>1</v>
      </c>
      <c r="N1571">
        <v>-28</v>
      </c>
      <c r="O1571">
        <v>0</v>
      </c>
      <c r="P1571">
        <v>0.52</v>
      </c>
      <c r="Q1571">
        <v>-14.55</v>
      </c>
      <c r="R1571" t="s">
        <v>1406</v>
      </c>
      <c r="S1571">
        <v>0</v>
      </c>
      <c r="T1571">
        <v>0</v>
      </c>
      <c r="U1571">
        <v>0</v>
      </c>
      <c r="V1571">
        <v>0</v>
      </c>
      <c r="W1571">
        <v>400013</v>
      </c>
      <c r="AE1571">
        <v>0</v>
      </c>
      <c r="AH1571">
        <v>0.55000000000000004</v>
      </c>
      <c r="AP1571" t="s">
        <v>232</v>
      </c>
    </row>
    <row r="1572" spans="1:42">
      <c r="A1572" s="1" t="s">
        <v>46</v>
      </c>
      <c r="B1572" s="1" t="s">
        <v>3297</v>
      </c>
      <c r="C1572" s="1" t="s">
        <v>3297</v>
      </c>
      <c r="E1572" s="4" t="s">
        <v>3298</v>
      </c>
      <c r="G1572" s="16"/>
      <c r="M1572">
        <v>1</v>
      </c>
      <c r="N1572">
        <v>161</v>
      </c>
      <c r="O1572">
        <v>0</v>
      </c>
      <c r="P1572">
        <v>0.54</v>
      </c>
      <c r="Q1572">
        <v>86.94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400013</v>
      </c>
      <c r="AE1572">
        <v>0</v>
      </c>
      <c r="AP1572" t="s">
        <v>232</v>
      </c>
    </row>
    <row r="1573" spans="1:42">
      <c r="A1573" s="1" t="s">
        <v>46</v>
      </c>
      <c r="B1573" s="1" t="s">
        <v>3299</v>
      </c>
      <c r="C1573" s="1" t="s">
        <v>3299</v>
      </c>
      <c r="E1573" s="4" t="s">
        <v>3300</v>
      </c>
      <c r="G1573" s="16"/>
      <c r="I1573">
        <v>0.55000000000000004</v>
      </c>
      <c r="M1573">
        <v>1</v>
      </c>
      <c r="N1573">
        <v>107</v>
      </c>
      <c r="O1573">
        <v>0</v>
      </c>
      <c r="P1573">
        <v>4.75</v>
      </c>
      <c r="Q1573">
        <v>507.74</v>
      </c>
      <c r="R1573" t="s">
        <v>1406</v>
      </c>
      <c r="S1573">
        <v>0</v>
      </c>
      <c r="T1573" t="s">
        <v>209</v>
      </c>
      <c r="U1573">
        <v>0</v>
      </c>
      <c r="V1573">
        <v>0</v>
      </c>
      <c r="W1573">
        <v>400013</v>
      </c>
      <c r="X1573" t="s">
        <v>56</v>
      </c>
      <c r="Y1573" t="s">
        <v>57</v>
      </c>
      <c r="AE1573">
        <v>0</v>
      </c>
      <c r="AH1573">
        <v>0.55000000000000004</v>
      </c>
      <c r="AP1573" t="s">
        <v>232</v>
      </c>
    </row>
    <row r="1574" spans="1:42">
      <c r="A1574" s="1" t="s">
        <v>46</v>
      </c>
      <c r="B1574" s="1" t="s">
        <v>3301</v>
      </c>
      <c r="C1574" s="1" t="s">
        <v>3301</v>
      </c>
      <c r="E1574" s="4" t="s">
        <v>3302</v>
      </c>
      <c r="G1574" s="16"/>
      <c r="I1574">
        <v>0.45</v>
      </c>
      <c r="M1574">
        <v>1</v>
      </c>
      <c r="N1574">
        <v>-2</v>
      </c>
      <c r="O1574">
        <v>0</v>
      </c>
      <c r="R1574" t="s">
        <v>1406</v>
      </c>
      <c r="S1574">
        <v>0</v>
      </c>
      <c r="T1574">
        <v>0</v>
      </c>
      <c r="U1574">
        <v>0</v>
      </c>
      <c r="V1574">
        <v>0</v>
      </c>
      <c r="AE1574">
        <v>0</v>
      </c>
      <c r="AH1574">
        <v>0.45</v>
      </c>
    </row>
    <row r="1575" spans="1:42">
      <c r="A1575" s="1" t="s">
        <v>46</v>
      </c>
      <c r="B1575" s="1" t="s">
        <v>3303</v>
      </c>
      <c r="C1575" s="1" t="s">
        <v>3303</v>
      </c>
      <c r="E1575" s="4" t="s">
        <v>3304</v>
      </c>
      <c r="G1575" s="16"/>
      <c r="I1575">
        <v>0.45</v>
      </c>
      <c r="M1575">
        <v>1</v>
      </c>
      <c r="N1575">
        <v>-5</v>
      </c>
      <c r="O1575">
        <v>0</v>
      </c>
      <c r="R1575" t="s">
        <v>1406</v>
      </c>
      <c r="S1575">
        <v>0</v>
      </c>
      <c r="T1575">
        <v>0</v>
      </c>
      <c r="U1575">
        <v>0</v>
      </c>
      <c r="V1575">
        <v>0</v>
      </c>
      <c r="AE1575">
        <v>0</v>
      </c>
      <c r="AH1575">
        <v>0.45</v>
      </c>
    </row>
    <row r="1576" spans="1:42">
      <c r="A1576" s="1" t="s">
        <v>46</v>
      </c>
      <c r="B1576" s="1" t="s">
        <v>3305</v>
      </c>
      <c r="C1576" s="1" t="s">
        <v>3305</v>
      </c>
      <c r="E1576" s="4" t="s">
        <v>3306</v>
      </c>
      <c r="G1576" s="16"/>
      <c r="I1576">
        <v>4.51</v>
      </c>
      <c r="M1576">
        <v>1</v>
      </c>
      <c r="N1576">
        <v>-3</v>
      </c>
      <c r="O1576">
        <v>0</v>
      </c>
      <c r="P1576">
        <v>3.02</v>
      </c>
      <c r="Q1576">
        <v>-9.07</v>
      </c>
      <c r="R1576" t="s">
        <v>2191</v>
      </c>
      <c r="S1576">
        <v>0</v>
      </c>
      <c r="T1576" t="s">
        <v>52</v>
      </c>
      <c r="W1576">
        <v>400013</v>
      </c>
      <c r="AE1576">
        <v>0</v>
      </c>
      <c r="AH1576">
        <v>4.51</v>
      </c>
      <c r="AP1576" t="s">
        <v>232</v>
      </c>
    </row>
    <row r="1577" spans="1:42">
      <c r="A1577" s="1" t="s">
        <v>46</v>
      </c>
      <c r="B1577" s="1" t="s">
        <v>3307</v>
      </c>
      <c r="C1577" s="1" t="s">
        <v>3307</v>
      </c>
      <c r="E1577" s="4" t="s">
        <v>3308</v>
      </c>
      <c r="G1577" s="16"/>
      <c r="I1577">
        <v>5.83</v>
      </c>
      <c r="M1577">
        <v>1</v>
      </c>
      <c r="N1577">
        <v>-2</v>
      </c>
      <c r="O1577">
        <v>0</v>
      </c>
      <c r="R1577" t="s">
        <v>2191</v>
      </c>
      <c r="T1577" t="s">
        <v>52</v>
      </c>
      <c r="AE1577">
        <v>0</v>
      </c>
      <c r="AH1577">
        <v>5.83</v>
      </c>
    </row>
    <row r="1578" spans="1:42">
      <c r="A1578" s="1" t="s">
        <v>46</v>
      </c>
      <c r="B1578" s="1" t="s">
        <v>3309</v>
      </c>
      <c r="C1578" s="1" t="s">
        <v>3309</v>
      </c>
      <c r="E1578" s="4" t="s">
        <v>3310</v>
      </c>
      <c r="G1578" s="16">
        <v>0.2</v>
      </c>
      <c r="I1578">
        <v>11.33</v>
      </c>
      <c r="M1578">
        <v>1</v>
      </c>
      <c r="N1578">
        <v>-7</v>
      </c>
      <c r="O1578">
        <v>0</v>
      </c>
      <c r="P1578">
        <v>7</v>
      </c>
      <c r="Q1578">
        <v>-49</v>
      </c>
      <c r="R1578" t="s">
        <v>2191</v>
      </c>
      <c r="S1578">
        <v>0</v>
      </c>
      <c r="T1578" t="s">
        <v>52</v>
      </c>
      <c r="W1578">
        <v>400013</v>
      </c>
      <c r="AE1578">
        <v>0</v>
      </c>
      <c r="AH1578">
        <v>11.33</v>
      </c>
      <c r="AP1578" t="s">
        <v>232</v>
      </c>
    </row>
    <row r="1579" spans="1:42">
      <c r="A1579" s="1" t="s">
        <v>46</v>
      </c>
      <c r="B1579" s="1" t="s">
        <v>3311</v>
      </c>
      <c r="C1579" s="1" t="s">
        <v>3311</v>
      </c>
      <c r="E1579" s="4" t="s">
        <v>3312</v>
      </c>
      <c r="G1579" s="16">
        <v>0.2</v>
      </c>
      <c r="M1579">
        <v>1</v>
      </c>
      <c r="N1579">
        <v>15</v>
      </c>
      <c r="O1579">
        <v>0</v>
      </c>
      <c r="P1579">
        <v>4.12</v>
      </c>
      <c r="Q1579">
        <v>61.76</v>
      </c>
      <c r="R1579" t="s">
        <v>2191</v>
      </c>
      <c r="S1579">
        <v>0</v>
      </c>
      <c r="T1579" t="s">
        <v>52</v>
      </c>
      <c r="U1579">
        <v>0</v>
      </c>
      <c r="V1579">
        <v>0</v>
      </c>
      <c r="W1579">
        <v>400013</v>
      </c>
      <c r="AE1579">
        <v>0</v>
      </c>
      <c r="AP1579" t="s">
        <v>232</v>
      </c>
    </row>
    <row r="1580" spans="1:42">
      <c r="A1580" s="1" t="s">
        <v>46</v>
      </c>
      <c r="B1580" s="1" t="s">
        <v>3313</v>
      </c>
      <c r="C1580" s="1" t="s">
        <v>3313</v>
      </c>
      <c r="E1580" s="4" t="s">
        <v>3314</v>
      </c>
      <c r="G1580" s="16">
        <v>0.25</v>
      </c>
      <c r="I1580">
        <v>4.24</v>
      </c>
      <c r="M1580">
        <v>1</v>
      </c>
      <c r="N1580">
        <v>249</v>
      </c>
      <c r="O1580">
        <v>0</v>
      </c>
      <c r="P1580">
        <v>22.98</v>
      </c>
      <c r="Q1580">
        <v>5722.02</v>
      </c>
      <c r="R1580" t="s">
        <v>2191</v>
      </c>
      <c r="S1580">
        <v>0</v>
      </c>
      <c r="T1580" t="s">
        <v>209</v>
      </c>
      <c r="U1580">
        <v>0</v>
      </c>
      <c r="V1580">
        <v>0</v>
      </c>
      <c r="W1580">
        <v>400013</v>
      </c>
      <c r="X1580" t="s">
        <v>56</v>
      </c>
      <c r="Y1580" t="s">
        <v>57</v>
      </c>
      <c r="AE1580">
        <v>0</v>
      </c>
      <c r="AH1580">
        <v>4.24</v>
      </c>
      <c r="AP1580" t="s">
        <v>232</v>
      </c>
    </row>
    <row r="1581" spans="1:42">
      <c r="A1581" s="1" t="s">
        <v>46</v>
      </c>
      <c r="B1581" s="1" t="s">
        <v>3315</v>
      </c>
      <c r="C1581" s="1" t="s">
        <v>3315</v>
      </c>
      <c r="E1581" s="4" t="s">
        <v>3316</v>
      </c>
      <c r="G1581" s="16">
        <v>0.25</v>
      </c>
      <c r="I1581">
        <v>5.12</v>
      </c>
      <c r="M1581">
        <v>1</v>
      </c>
      <c r="N1581">
        <v>70</v>
      </c>
      <c r="O1581">
        <v>0</v>
      </c>
      <c r="P1581">
        <v>3.12</v>
      </c>
      <c r="Q1581">
        <v>218.4</v>
      </c>
      <c r="R1581" t="s">
        <v>2191</v>
      </c>
      <c r="S1581">
        <v>0</v>
      </c>
      <c r="T1581" t="s">
        <v>52</v>
      </c>
      <c r="U1581">
        <v>0</v>
      </c>
      <c r="V1581">
        <v>0</v>
      </c>
      <c r="W1581">
        <v>400013</v>
      </c>
      <c r="X1581" t="s">
        <v>56</v>
      </c>
      <c r="Y1581" t="s">
        <v>57</v>
      </c>
      <c r="AE1581">
        <v>0</v>
      </c>
      <c r="AH1581">
        <v>5.12</v>
      </c>
      <c r="AP1581" t="s">
        <v>232</v>
      </c>
    </row>
    <row r="1582" spans="1:42">
      <c r="A1582" s="1" t="s">
        <v>46</v>
      </c>
      <c r="B1582" s="1" t="s">
        <v>3317</v>
      </c>
      <c r="C1582" s="1" t="s">
        <v>3317</v>
      </c>
      <c r="E1582" s="4" t="s">
        <v>3318</v>
      </c>
      <c r="G1582" s="16"/>
      <c r="I1582">
        <v>3.08</v>
      </c>
      <c r="M1582">
        <v>1</v>
      </c>
      <c r="N1582">
        <v>-18</v>
      </c>
      <c r="O1582">
        <v>0</v>
      </c>
      <c r="P1582">
        <v>1.7</v>
      </c>
      <c r="Q1582">
        <v>-30.53</v>
      </c>
      <c r="R1582" t="s">
        <v>2191</v>
      </c>
      <c r="S1582">
        <v>0</v>
      </c>
      <c r="T1582" t="s">
        <v>52</v>
      </c>
      <c r="W1582">
        <v>400013</v>
      </c>
      <c r="AE1582">
        <v>0</v>
      </c>
      <c r="AH1582">
        <v>3.08</v>
      </c>
      <c r="AP1582" t="s">
        <v>232</v>
      </c>
    </row>
    <row r="1583" spans="1:42">
      <c r="A1583" s="1" t="s">
        <v>46</v>
      </c>
      <c r="B1583" s="1" t="s">
        <v>3319</v>
      </c>
      <c r="C1583" s="1" t="s">
        <v>3319</v>
      </c>
      <c r="E1583" s="4" t="s">
        <v>3320</v>
      </c>
      <c r="G1583" s="16">
        <v>0.5</v>
      </c>
      <c r="I1583">
        <v>3.36</v>
      </c>
      <c r="M1583">
        <v>1</v>
      </c>
      <c r="N1583">
        <v>15</v>
      </c>
      <c r="O1583">
        <v>0</v>
      </c>
      <c r="P1583">
        <v>2.37</v>
      </c>
      <c r="Q1583">
        <v>35.549999999999997</v>
      </c>
      <c r="R1583" t="s">
        <v>2191</v>
      </c>
      <c r="S1583">
        <v>0</v>
      </c>
      <c r="T1583" t="s">
        <v>52</v>
      </c>
      <c r="U1583">
        <v>0</v>
      </c>
      <c r="V1583">
        <v>0</v>
      </c>
      <c r="W1583">
        <v>400013</v>
      </c>
      <c r="AE1583">
        <v>0</v>
      </c>
      <c r="AH1583">
        <v>3.36</v>
      </c>
      <c r="AP1583" t="s">
        <v>232</v>
      </c>
    </row>
    <row r="1584" spans="1:42">
      <c r="A1584" s="1" t="s">
        <v>46</v>
      </c>
      <c r="B1584" s="1" t="s">
        <v>3321</v>
      </c>
      <c r="C1584" s="1" t="s">
        <v>3321</v>
      </c>
      <c r="E1584" s="4" t="s">
        <v>3322</v>
      </c>
      <c r="G1584" s="16"/>
      <c r="M1584">
        <v>1</v>
      </c>
      <c r="N1584">
        <v>10</v>
      </c>
      <c r="O1584">
        <v>0</v>
      </c>
      <c r="P1584">
        <v>1.5</v>
      </c>
      <c r="Q1584">
        <v>14.98</v>
      </c>
      <c r="R1584" t="s">
        <v>556</v>
      </c>
      <c r="S1584">
        <v>0</v>
      </c>
      <c r="T1584" t="s">
        <v>209</v>
      </c>
      <c r="U1584">
        <v>0</v>
      </c>
      <c r="V1584">
        <v>0</v>
      </c>
      <c r="W1584">
        <v>400013</v>
      </c>
      <c r="AE1584">
        <v>0</v>
      </c>
      <c r="AP1584" t="s">
        <v>232</v>
      </c>
    </row>
    <row r="1585" spans="1:42">
      <c r="A1585" s="1" t="s">
        <v>46</v>
      </c>
      <c r="B1585" s="1" t="s">
        <v>3323</v>
      </c>
      <c r="C1585" s="1" t="s">
        <v>3323</v>
      </c>
      <c r="E1585" s="4" t="s">
        <v>3324</v>
      </c>
      <c r="G1585" s="16">
        <v>0.5</v>
      </c>
      <c r="M1585">
        <v>1</v>
      </c>
      <c r="N1585">
        <v>-11</v>
      </c>
      <c r="O1585">
        <v>0</v>
      </c>
      <c r="P1585">
        <v>2.5</v>
      </c>
      <c r="Q1585">
        <v>-27.5</v>
      </c>
      <c r="R1585" t="s">
        <v>2191</v>
      </c>
      <c r="T1585" t="s">
        <v>52</v>
      </c>
      <c r="W1585">
        <v>400004</v>
      </c>
      <c r="AE1585">
        <v>0</v>
      </c>
      <c r="AP1585" t="s">
        <v>352</v>
      </c>
    </row>
    <row r="1586" spans="1:42">
      <c r="A1586" s="1" t="s">
        <v>46</v>
      </c>
      <c r="B1586" s="1" t="s">
        <v>3325</v>
      </c>
      <c r="C1586" s="1" t="s">
        <v>3325</v>
      </c>
      <c r="E1586" s="4" t="s">
        <v>3326</v>
      </c>
      <c r="G1586" s="16"/>
      <c r="I1586">
        <v>5.0599999999999996</v>
      </c>
      <c r="M1586">
        <v>1</v>
      </c>
      <c r="N1586">
        <v>52.55</v>
      </c>
      <c r="O1586">
        <v>0</v>
      </c>
      <c r="P1586">
        <v>27.22</v>
      </c>
      <c r="Q1586">
        <v>1430.28</v>
      </c>
      <c r="R1586" t="s">
        <v>2191</v>
      </c>
      <c r="S1586">
        <v>0</v>
      </c>
      <c r="T1586" t="s">
        <v>209</v>
      </c>
      <c r="U1586">
        <v>0</v>
      </c>
      <c r="V1586">
        <v>0</v>
      </c>
      <c r="W1586">
        <v>400013</v>
      </c>
      <c r="AE1586">
        <v>0</v>
      </c>
      <c r="AH1586">
        <v>5.0599999999999996</v>
      </c>
      <c r="AP1586" t="s">
        <v>232</v>
      </c>
    </row>
    <row r="1587" spans="1:42">
      <c r="A1587" s="1" t="s">
        <v>46</v>
      </c>
      <c r="B1587" s="1" t="s">
        <v>3327</v>
      </c>
      <c r="C1587" s="1" t="s">
        <v>3327</v>
      </c>
      <c r="E1587" s="4" t="s">
        <v>3328</v>
      </c>
      <c r="G1587" s="16"/>
      <c r="I1587">
        <v>3.63</v>
      </c>
      <c r="M1587">
        <v>1</v>
      </c>
      <c r="N1587">
        <v>5</v>
      </c>
      <c r="O1587">
        <v>0</v>
      </c>
      <c r="P1587">
        <v>2.85</v>
      </c>
      <c r="Q1587">
        <v>14.27</v>
      </c>
      <c r="R1587" t="s">
        <v>2191</v>
      </c>
      <c r="S1587">
        <v>0</v>
      </c>
      <c r="T1587" t="s">
        <v>52</v>
      </c>
      <c r="U1587">
        <v>0</v>
      </c>
      <c r="V1587">
        <v>0</v>
      </c>
      <c r="W1587">
        <v>400013</v>
      </c>
      <c r="AE1587">
        <v>0</v>
      </c>
      <c r="AH1587">
        <v>3.63</v>
      </c>
      <c r="AP1587" t="s">
        <v>232</v>
      </c>
    </row>
    <row r="1588" spans="1:42">
      <c r="A1588" s="1" t="s">
        <v>46</v>
      </c>
      <c r="B1588" s="1" t="s">
        <v>3329</v>
      </c>
      <c r="C1588" s="1" t="s">
        <v>3329</v>
      </c>
      <c r="E1588" s="4" t="s">
        <v>3330</v>
      </c>
      <c r="G1588" s="16"/>
      <c r="M1588">
        <v>1</v>
      </c>
      <c r="N1588">
        <v>110</v>
      </c>
      <c r="O1588">
        <v>0</v>
      </c>
      <c r="P1588">
        <v>1.29</v>
      </c>
      <c r="Q1588">
        <v>141.9</v>
      </c>
      <c r="R1588" t="s">
        <v>2191</v>
      </c>
      <c r="S1588">
        <v>0</v>
      </c>
      <c r="T1588" t="s">
        <v>52</v>
      </c>
      <c r="U1588">
        <v>0</v>
      </c>
      <c r="V1588">
        <v>0</v>
      </c>
      <c r="W1588">
        <v>400013</v>
      </c>
      <c r="X1588" t="s">
        <v>56</v>
      </c>
      <c r="Y1588" t="s">
        <v>57</v>
      </c>
      <c r="AE1588">
        <v>0</v>
      </c>
      <c r="AP1588" t="s">
        <v>232</v>
      </c>
    </row>
    <row r="1589" spans="1:42">
      <c r="A1589" s="1" t="s">
        <v>46</v>
      </c>
      <c r="B1589" s="1" t="s">
        <v>3331</v>
      </c>
      <c r="C1589" s="1" t="s">
        <v>3331</v>
      </c>
      <c r="E1589" s="4" t="s">
        <v>3332</v>
      </c>
      <c r="G1589" s="16"/>
      <c r="M1589">
        <v>1</v>
      </c>
      <c r="N1589">
        <v>33</v>
      </c>
      <c r="O1589">
        <v>0</v>
      </c>
      <c r="P1589">
        <v>1.29</v>
      </c>
      <c r="Q1589">
        <v>42.57</v>
      </c>
      <c r="R1589" t="s">
        <v>2191</v>
      </c>
      <c r="S1589">
        <v>0</v>
      </c>
      <c r="T1589" t="s">
        <v>52</v>
      </c>
      <c r="U1589">
        <v>0</v>
      </c>
      <c r="V1589">
        <v>0</v>
      </c>
      <c r="W1589">
        <v>400013</v>
      </c>
      <c r="X1589" t="s">
        <v>56</v>
      </c>
      <c r="Y1589" t="s">
        <v>57</v>
      </c>
      <c r="AE1589">
        <v>0</v>
      </c>
      <c r="AP1589" t="s">
        <v>232</v>
      </c>
    </row>
    <row r="1590" spans="1:42">
      <c r="A1590" s="1" t="s">
        <v>46</v>
      </c>
      <c r="B1590" s="1" t="s">
        <v>3333</v>
      </c>
      <c r="C1590" s="1" t="s">
        <v>3333</v>
      </c>
      <c r="E1590" s="4" t="s">
        <v>3334</v>
      </c>
      <c r="G1590" s="16"/>
      <c r="I1590">
        <v>7.98</v>
      </c>
      <c r="M1590">
        <v>1</v>
      </c>
      <c r="N1590">
        <v>37</v>
      </c>
      <c r="O1590">
        <v>0</v>
      </c>
      <c r="P1590">
        <v>40.380000000000003</v>
      </c>
      <c r="Q1590">
        <v>1494.11</v>
      </c>
      <c r="R1590" t="s">
        <v>2191</v>
      </c>
      <c r="S1590">
        <v>0</v>
      </c>
      <c r="T1590" t="s">
        <v>3335</v>
      </c>
      <c r="U1590">
        <v>0</v>
      </c>
      <c r="V1590">
        <v>0</v>
      </c>
      <c r="W1590">
        <v>400013</v>
      </c>
      <c r="X1590" t="s">
        <v>56</v>
      </c>
      <c r="Y1590" t="s">
        <v>57</v>
      </c>
      <c r="AE1590">
        <v>0</v>
      </c>
      <c r="AH1590">
        <v>7.98</v>
      </c>
      <c r="AP1590" t="s">
        <v>232</v>
      </c>
    </row>
    <row r="1591" spans="1:42">
      <c r="A1591" s="1" t="s">
        <v>46</v>
      </c>
      <c r="B1591" s="1" t="s">
        <v>3336</v>
      </c>
      <c r="C1591" s="1" t="s">
        <v>3336</v>
      </c>
      <c r="E1591" s="4" t="s">
        <v>3337</v>
      </c>
      <c r="G1591" s="16"/>
      <c r="M1591">
        <v>1</v>
      </c>
      <c r="N1591">
        <v>19</v>
      </c>
      <c r="O1591">
        <v>0</v>
      </c>
      <c r="P1591">
        <v>1.58</v>
      </c>
      <c r="Q1591">
        <v>30.05</v>
      </c>
      <c r="R1591">
        <v>0</v>
      </c>
      <c r="S1591">
        <v>0</v>
      </c>
      <c r="T1591" t="s">
        <v>3335</v>
      </c>
      <c r="U1591">
        <v>0</v>
      </c>
      <c r="V1591">
        <v>0</v>
      </c>
      <c r="W1591">
        <v>400013</v>
      </c>
      <c r="X1591" t="s">
        <v>56</v>
      </c>
      <c r="Y1591" t="s">
        <v>57</v>
      </c>
      <c r="AE1591">
        <v>0</v>
      </c>
      <c r="AP1591" t="s">
        <v>232</v>
      </c>
    </row>
    <row r="1592" spans="1:42">
      <c r="A1592" s="1" t="s">
        <v>46</v>
      </c>
      <c r="B1592" s="1" t="s">
        <v>3338</v>
      </c>
      <c r="C1592" s="1" t="s">
        <v>3338</v>
      </c>
      <c r="E1592" s="4" t="s">
        <v>3339</v>
      </c>
      <c r="G1592" s="16"/>
      <c r="I1592">
        <v>1.04</v>
      </c>
      <c r="M1592">
        <v>1</v>
      </c>
      <c r="N1592">
        <v>61</v>
      </c>
      <c r="O1592">
        <v>0</v>
      </c>
      <c r="P1592">
        <v>0.87</v>
      </c>
      <c r="Q1592">
        <v>53.3</v>
      </c>
      <c r="R1592" t="s">
        <v>1406</v>
      </c>
      <c r="S1592">
        <v>0</v>
      </c>
      <c r="T1592">
        <v>0</v>
      </c>
      <c r="U1592">
        <v>0</v>
      </c>
      <c r="V1592">
        <v>0</v>
      </c>
      <c r="W1592">
        <v>400013</v>
      </c>
      <c r="AE1592">
        <v>0</v>
      </c>
      <c r="AH1592">
        <v>1.04</v>
      </c>
      <c r="AP1592" t="s">
        <v>232</v>
      </c>
    </row>
    <row r="1593" spans="1:42">
      <c r="A1593" s="1" t="s">
        <v>46</v>
      </c>
      <c r="B1593" s="1" t="s">
        <v>3340</v>
      </c>
      <c r="C1593" s="1" t="s">
        <v>3340</v>
      </c>
      <c r="E1593" s="4" t="s">
        <v>3341</v>
      </c>
      <c r="G1593" s="16"/>
      <c r="I1593">
        <v>1.48</v>
      </c>
      <c r="M1593">
        <v>1</v>
      </c>
      <c r="N1593">
        <v>68</v>
      </c>
      <c r="O1593">
        <v>0</v>
      </c>
      <c r="P1593">
        <v>1.21</v>
      </c>
      <c r="Q1593">
        <v>82.06</v>
      </c>
      <c r="R1593" t="s">
        <v>1406</v>
      </c>
      <c r="S1593">
        <v>0</v>
      </c>
      <c r="T1593">
        <v>0</v>
      </c>
      <c r="U1593">
        <v>0</v>
      </c>
      <c r="V1593">
        <v>0</v>
      </c>
      <c r="W1593">
        <v>400013</v>
      </c>
      <c r="X1593" t="s">
        <v>56</v>
      </c>
      <c r="Y1593" t="s">
        <v>57</v>
      </c>
      <c r="AE1593">
        <v>0</v>
      </c>
      <c r="AH1593">
        <v>1.48</v>
      </c>
      <c r="AP1593" t="s">
        <v>232</v>
      </c>
    </row>
    <row r="1594" spans="1:42">
      <c r="A1594" s="1" t="s">
        <v>46</v>
      </c>
      <c r="B1594" s="1" t="s">
        <v>3342</v>
      </c>
      <c r="C1594" s="1" t="s">
        <v>3342</v>
      </c>
      <c r="E1594" s="4" t="s">
        <v>3343</v>
      </c>
      <c r="G1594" s="16"/>
      <c r="I1594">
        <v>2.04</v>
      </c>
      <c r="M1594">
        <v>1</v>
      </c>
      <c r="N1594">
        <v>-1</v>
      </c>
      <c r="O1594">
        <v>0</v>
      </c>
      <c r="P1594">
        <v>1.2</v>
      </c>
      <c r="Q1594">
        <v>-1.2</v>
      </c>
      <c r="R1594" t="s">
        <v>1406</v>
      </c>
      <c r="S1594">
        <v>0</v>
      </c>
      <c r="T1594">
        <v>0</v>
      </c>
      <c r="U1594">
        <v>0</v>
      </c>
      <c r="V1594">
        <v>0</v>
      </c>
      <c r="W1594">
        <v>400013</v>
      </c>
      <c r="AE1594">
        <v>0</v>
      </c>
      <c r="AH1594">
        <v>2.04</v>
      </c>
      <c r="AP1594" t="s">
        <v>232</v>
      </c>
    </row>
    <row r="1595" spans="1:42">
      <c r="A1595" s="1" t="s">
        <v>46</v>
      </c>
      <c r="B1595" s="1" t="s">
        <v>3344</v>
      </c>
      <c r="C1595" s="1" t="s">
        <v>3344</v>
      </c>
      <c r="E1595" s="4" t="s">
        <v>3345</v>
      </c>
      <c r="G1595" s="16"/>
      <c r="I1595">
        <v>2.58</v>
      </c>
      <c r="M1595">
        <v>1</v>
      </c>
      <c r="N1595">
        <v>33</v>
      </c>
      <c r="O1595">
        <v>0</v>
      </c>
      <c r="P1595">
        <v>2.25</v>
      </c>
      <c r="Q1595">
        <v>74.180000000000007</v>
      </c>
      <c r="R1595" t="s">
        <v>1406</v>
      </c>
      <c r="S1595">
        <v>0</v>
      </c>
      <c r="T1595">
        <v>0</v>
      </c>
      <c r="U1595">
        <v>0</v>
      </c>
      <c r="V1595">
        <v>0</v>
      </c>
      <c r="W1595">
        <v>400214</v>
      </c>
      <c r="X1595" t="s">
        <v>56</v>
      </c>
      <c r="Y1595" t="s">
        <v>57</v>
      </c>
      <c r="AE1595">
        <v>0</v>
      </c>
      <c r="AH1595">
        <v>2.58</v>
      </c>
      <c r="AP1595" t="s">
        <v>689</v>
      </c>
    </row>
    <row r="1596" spans="1:42">
      <c r="A1596" s="1" t="s">
        <v>46</v>
      </c>
      <c r="B1596" s="1" t="s">
        <v>3346</v>
      </c>
      <c r="C1596" s="1" t="s">
        <v>3346</v>
      </c>
      <c r="E1596" s="4" t="s">
        <v>3347</v>
      </c>
      <c r="G1596" s="16">
        <v>1.75</v>
      </c>
      <c r="H1596">
        <v>2.4500000000000002</v>
      </c>
      <c r="I1596">
        <v>1.75</v>
      </c>
      <c r="M1596">
        <v>1</v>
      </c>
      <c r="N1596">
        <v>17</v>
      </c>
      <c r="O1596">
        <v>0</v>
      </c>
      <c r="P1596">
        <v>10.49</v>
      </c>
      <c r="Q1596">
        <v>178.32</v>
      </c>
      <c r="R1596" t="s">
        <v>1406</v>
      </c>
      <c r="S1596">
        <v>0</v>
      </c>
      <c r="T1596" t="s">
        <v>209</v>
      </c>
      <c r="U1596">
        <v>0</v>
      </c>
      <c r="V1596">
        <v>0</v>
      </c>
      <c r="W1596">
        <v>400214</v>
      </c>
      <c r="X1596" t="s">
        <v>56</v>
      </c>
      <c r="Y1596" t="s">
        <v>57</v>
      </c>
      <c r="AE1596">
        <v>0</v>
      </c>
      <c r="AG1596">
        <v>2.4500000000000002</v>
      </c>
      <c r="AH1596">
        <v>1.75</v>
      </c>
      <c r="AP1596" t="s">
        <v>689</v>
      </c>
    </row>
    <row r="1597" spans="1:42">
      <c r="A1597" s="1" t="s">
        <v>46</v>
      </c>
      <c r="B1597" s="1" t="s">
        <v>3348</v>
      </c>
      <c r="C1597" s="1" t="s">
        <v>3348</v>
      </c>
      <c r="E1597" s="4" t="s">
        <v>3349</v>
      </c>
      <c r="G1597" s="16"/>
      <c r="I1597">
        <v>0.8</v>
      </c>
      <c r="M1597">
        <v>1</v>
      </c>
      <c r="N1597">
        <v>373</v>
      </c>
      <c r="O1597">
        <v>0</v>
      </c>
      <c r="P1597">
        <v>0.79</v>
      </c>
      <c r="Q1597">
        <v>293.74</v>
      </c>
      <c r="R1597" t="s">
        <v>1406</v>
      </c>
      <c r="S1597">
        <v>0</v>
      </c>
      <c r="T1597">
        <v>0</v>
      </c>
      <c r="U1597">
        <v>0</v>
      </c>
      <c r="V1597">
        <v>0</v>
      </c>
      <c r="W1597">
        <v>400013</v>
      </c>
      <c r="X1597" t="s">
        <v>56</v>
      </c>
      <c r="Y1597" t="s">
        <v>57</v>
      </c>
      <c r="AE1597">
        <v>0</v>
      </c>
      <c r="AH1597">
        <v>0.8</v>
      </c>
      <c r="AP1597" t="s">
        <v>232</v>
      </c>
    </row>
    <row r="1598" spans="1:42">
      <c r="A1598" s="1" t="s">
        <v>46</v>
      </c>
      <c r="B1598" s="1" t="s">
        <v>3350</v>
      </c>
      <c r="C1598" s="1" t="s">
        <v>3350</v>
      </c>
      <c r="E1598" s="4" t="s">
        <v>3351</v>
      </c>
      <c r="G1598" s="16"/>
      <c r="I1598">
        <v>0.8</v>
      </c>
      <c r="M1598">
        <v>1</v>
      </c>
      <c r="N1598">
        <v>1085</v>
      </c>
      <c r="O1598">
        <v>0</v>
      </c>
      <c r="P1598">
        <v>0.79</v>
      </c>
      <c r="Q1598">
        <v>854.44</v>
      </c>
      <c r="R1598" t="s">
        <v>1406</v>
      </c>
      <c r="S1598">
        <v>0</v>
      </c>
      <c r="T1598" t="s">
        <v>52</v>
      </c>
      <c r="U1598">
        <v>0</v>
      </c>
      <c r="V1598">
        <v>0</v>
      </c>
      <c r="W1598">
        <v>400013</v>
      </c>
      <c r="X1598" t="s">
        <v>56</v>
      </c>
      <c r="Y1598" t="s">
        <v>57</v>
      </c>
      <c r="AE1598">
        <v>0</v>
      </c>
      <c r="AH1598">
        <v>0.8</v>
      </c>
      <c r="AP1598" t="s">
        <v>232</v>
      </c>
    </row>
    <row r="1599" spans="1:42">
      <c r="A1599" s="1" t="s">
        <v>46</v>
      </c>
      <c r="B1599" s="1" t="s">
        <v>3352</v>
      </c>
      <c r="C1599" s="1" t="s">
        <v>3352</v>
      </c>
      <c r="E1599" s="4" t="s">
        <v>3353</v>
      </c>
      <c r="G1599" s="16"/>
      <c r="I1599">
        <v>1.35</v>
      </c>
      <c r="M1599">
        <v>1</v>
      </c>
      <c r="N1599">
        <v>75</v>
      </c>
      <c r="O1599">
        <v>0</v>
      </c>
      <c r="P1599">
        <v>1.25</v>
      </c>
      <c r="Q1599">
        <v>93.66</v>
      </c>
      <c r="R1599" t="s">
        <v>1406</v>
      </c>
      <c r="S1599">
        <v>0</v>
      </c>
      <c r="T1599">
        <v>0</v>
      </c>
      <c r="U1599">
        <v>0</v>
      </c>
      <c r="V1599">
        <v>0</v>
      </c>
      <c r="W1599">
        <v>400013</v>
      </c>
      <c r="X1599" t="s">
        <v>56</v>
      </c>
      <c r="Y1599" t="s">
        <v>57</v>
      </c>
      <c r="AE1599">
        <v>0</v>
      </c>
      <c r="AH1599">
        <v>1.35</v>
      </c>
      <c r="AP1599" t="s">
        <v>232</v>
      </c>
    </row>
    <row r="1600" spans="1:42">
      <c r="A1600" s="1" t="s">
        <v>46</v>
      </c>
      <c r="B1600" s="1" t="s">
        <v>3354</v>
      </c>
      <c r="C1600" s="1" t="s">
        <v>3354</v>
      </c>
      <c r="E1600" s="4" t="s">
        <v>3355</v>
      </c>
      <c r="G1600" s="16"/>
      <c r="I1600">
        <v>0.66</v>
      </c>
      <c r="M1600">
        <v>1</v>
      </c>
      <c r="N1600">
        <v>267</v>
      </c>
      <c r="O1600">
        <v>0</v>
      </c>
      <c r="P1600">
        <v>0.57999999999999996</v>
      </c>
      <c r="Q1600">
        <v>155.59</v>
      </c>
      <c r="R1600" t="s">
        <v>1406</v>
      </c>
      <c r="S1600">
        <v>0</v>
      </c>
      <c r="T1600">
        <v>0</v>
      </c>
      <c r="U1600">
        <v>0</v>
      </c>
      <c r="V1600">
        <v>0</v>
      </c>
      <c r="W1600">
        <v>400013</v>
      </c>
      <c r="X1600" t="s">
        <v>56</v>
      </c>
      <c r="Y1600" t="s">
        <v>57</v>
      </c>
      <c r="AE1600">
        <v>0</v>
      </c>
      <c r="AH1600">
        <v>0.66</v>
      </c>
      <c r="AP1600" t="s">
        <v>232</v>
      </c>
    </row>
    <row r="1601" spans="1:42">
      <c r="A1601" s="1" t="s">
        <v>46</v>
      </c>
      <c r="B1601" s="1" t="s">
        <v>3356</v>
      </c>
      <c r="C1601" s="1" t="s">
        <v>3356</v>
      </c>
      <c r="E1601" s="4" t="s">
        <v>3357</v>
      </c>
      <c r="G1601" s="16"/>
      <c r="I1601">
        <v>0.66</v>
      </c>
      <c r="M1601">
        <v>1</v>
      </c>
      <c r="N1601">
        <v>17</v>
      </c>
      <c r="O1601">
        <v>0</v>
      </c>
      <c r="P1601">
        <v>0.83</v>
      </c>
      <c r="Q1601">
        <v>14.15</v>
      </c>
      <c r="R1601" t="s">
        <v>1406</v>
      </c>
      <c r="S1601">
        <v>0</v>
      </c>
      <c r="T1601">
        <v>0</v>
      </c>
      <c r="U1601">
        <v>0</v>
      </c>
      <c r="V1601">
        <v>0</v>
      </c>
      <c r="W1601">
        <v>400013</v>
      </c>
      <c r="AE1601">
        <v>0</v>
      </c>
      <c r="AH1601">
        <v>0.66</v>
      </c>
      <c r="AP1601" t="s">
        <v>232</v>
      </c>
    </row>
    <row r="1602" spans="1:42">
      <c r="A1602" s="1" t="s">
        <v>46</v>
      </c>
      <c r="B1602" s="1" t="s">
        <v>3358</v>
      </c>
      <c r="C1602" s="1" t="s">
        <v>3358</v>
      </c>
      <c r="E1602" s="4" t="s">
        <v>3359</v>
      </c>
      <c r="G1602" s="16"/>
      <c r="I1602">
        <v>0.94</v>
      </c>
      <c r="M1602">
        <v>1</v>
      </c>
      <c r="N1602">
        <v>47</v>
      </c>
      <c r="O1602">
        <v>0</v>
      </c>
      <c r="P1602">
        <v>0.79</v>
      </c>
      <c r="Q1602">
        <v>37.01</v>
      </c>
      <c r="R1602" t="s">
        <v>1406</v>
      </c>
      <c r="S1602">
        <v>0</v>
      </c>
      <c r="T1602">
        <v>0</v>
      </c>
      <c r="U1602">
        <v>0</v>
      </c>
      <c r="V1602">
        <v>0</v>
      </c>
      <c r="W1602">
        <v>400013</v>
      </c>
      <c r="AE1602">
        <v>0</v>
      </c>
      <c r="AH1602">
        <v>0.94</v>
      </c>
      <c r="AP1602" t="s">
        <v>232</v>
      </c>
    </row>
    <row r="1603" spans="1:42">
      <c r="A1603" s="1" t="s">
        <v>46</v>
      </c>
      <c r="B1603" s="1" t="s">
        <v>3360</v>
      </c>
      <c r="C1603" s="1" t="s">
        <v>3360</v>
      </c>
      <c r="E1603" s="4" t="s">
        <v>3361</v>
      </c>
      <c r="G1603" s="16"/>
      <c r="I1603">
        <v>11.28</v>
      </c>
      <c r="M1603">
        <v>1</v>
      </c>
      <c r="N1603">
        <v>4</v>
      </c>
      <c r="O1603">
        <v>0</v>
      </c>
      <c r="P1603">
        <v>63.44</v>
      </c>
      <c r="Q1603">
        <v>253.74</v>
      </c>
      <c r="R1603" t="s">
        <v>2191</v>
      </c>
      <c r="S1603">
        <v>0</v>
      </c>
      <c r="T1603" t="s">
        <v>3335</v>
      </c>
      <c r="U1603">
        <v>0</v>
      </c>
      <c r="V1603">
        <v>0</v>
      </c>
      <c r="W1603">
        <v>400013</v>
      </c>
      <c r="AE1603">
        <v>0</v>
      </c>
      <c r="AH1603">
        <v>11.28</v>
      </c>
      <c r="AP1603" t="s">
        <v>232</v>
      </c>
    </row>
    <row r="1604" spans="1:42">
      <c r="A1604" s="1" t="s">
        <v>46</v>
      </c>
      <c r="B1604" s="1" t="s">
        <v>3362</v>
      </c>
      <c r="C1604" s="1" t="s">
        <v>3362</v>
      </c>
      <c r="E1604" s="4" t="s">
        <v>3363</v>
      </c>
      <c r="G1604" s="16"/>
      <c r="I1604">
        <v>19</v>
      </c>
      <c r="M1604">
        <v>1</v>
      </c>
      <c r="N1604">
        <v>3</v>
      </c>
      <c r="O1604">
        <v>0</v>
      </c>
      <c r="P1604">
        <v>86.66</v>
      </c>
      <c r="Q1604">
        <v>259.99</v>
      </c>
      <c r="R1604" t="s">
        <v>579</v>
      </c>
      <c r="S1604">
        <v>0</v>
      </c>
      <c r="T1604" t="s">
        <v>209</v>
      </c>
      <c r="U1604">
        <v>0</v>
      </c>
      <c r="V1604">
        <v>0</v>
      </c>
      <c r="W1604">
        <v>400013</v>
      </c>
      <c r="AE1604">
        <v>0</v>
      </c>
      <c r="AH1604">
        <v>19</v>
      </c>
      <c r="AP1604" t="s">
        <v>232</v>
      </c>
    </row>
    <row r="1605" spans="1:42">
      <c r="A1605" s="1" t="s">
        <v>46</v>
      </c>
      <c r="B1605" s="1" t="s">
        <v>3364</v>
      </c>
      <c r="C1605" s="1" t="s">
        <v>3364</v>
      </c>
      <c r="E1605" s="4" t="s">
        <v>3365</v>
      </c>
      <c r="G1605" s="16"/>
      <c r="I1605">
        <v>1.48</v>
      </c>
      <c r="M1605">
        <v>1</v>
      </c>
      <c r="N1605">
        <v>17</v>
      </c>
      <c r="O1605">
        <v>0</v>
      </c>
      <c r="P1605">
        <v>1.21</v>
      </c>
      <c r="Q1605">
        <v>20.51</v>
      </c>
      <c r="R1605" t="s">
        <v>1406</v>
      </c>
      <c r="S1605">
        <v>0</v>
      </c>
      <c r="T1605" t="s">
        <v>52</v>
      </c>
      <c r="U1605">
        <v>0</v>
      </c>
      <c r="V1605">
        <v>0</v>
      </c>
      <c r="W1605">
        <v>400013</v>
      </c>
      <c r="X1605" t="s">
        <v>56</v>
      </c>
      <c r="Y1605" t="s">
        <v>57</v>
      </c>
      <c r="AE1605">
        <v>0</v>
      </c>
      <c r="AH1605">
        <v>1.48</v>
      </c>
      <c r="AP1605" t="s">
        <v>232</v>
      </c>
    </row>
    <row r="1606" spans="1:42">
      <c r="A1606" s="1" t="s">
        <v>46</v>
      </c>
      <c r="B1606" s="1" t="s">
        <v>3366</v>
      </c>
      <c r="C1606" s="1" t="s">
        <v>3366</v>
      </c>
      <c r="E1606" s="4" t="s">
        <v>3367</v>
      </c>
      <c r="G1606" s="16"/>
      <c r="I1606">
        <v>1.76</v>
      </c>
      <c r="M1606">
        <v>1</v>
      </c>
      <c r="N1606">
        <v>19</v>
      </c>
      <c r="O1606">
        <v>0</v>
      </c>
      <c r="P1606">
        <v>1.42</v>
      </c>
      <c r="Q1606">
        <v>26.89</v>
      </c>
      <c r="R1606" t="s">
        <v>1406</v>
      </c>
      <c r="S1606">
        <v>0</v>
      </c>
      <c r="T1606">
        <v>0</v>
      </c>
      <c r="U1606">
        <v>0</v>
      </c>
      <c r="V1606">
        <v>0</v>
      </c>
      <c r="W1606">
        <v>400013</v>
      </c>
      <c r="AE1606">
        <v>0</v>
      </c>
      <c r="AH1606">
        <v>1.76</v>
      </c>
      <c r="AP1606" t="s">
        <v>232</v>
      </c>
    </row>
    <row r="1607" spans="1:42">
      <c r="A1607" s="1" t="s">
        <v>46</v>
      </c>
      <c r="B1607" s="1" t="s">
        <v>3368</v>
      </c>
      <c r="C1607" s="1" t="s">
        <v>3368</v>
      </c>
      <c r="E1607" s="4" t="s">
        <v>3369</v>
      </c>
      <c r="G1607" s="16"/>
      <c r="I1607">
        <v>2.14</v>
      </c>
      <c r="M1607">
        <v>1</v>
      </c>
      <c r="N1607">
        <v>5</v>
      </c>
      <c r="O1607">
        <v>0</v>
      </c>
      <c r="P1607">
        <v>1.7</v>
      </c>
      <c r="Q1607">
        <v>8.51</v>
      </c>
      <c r="R1607" t="s">
        <v>1406</v>
      </c>
      <c r="S1607">
        <v>0</v>
      </c>
      <c r="T1607">
        <v>0</v>
      </c>
      <c r="U1607">
        <v>0</v>
      </c>
      <c r="V1607">
        <v>0</v>
      </c>
      <c r="W1607">
        <v>400013</v>
      </c>
      <c r="AE1607">
        <v>0</v>
      </c>
      <c r="AH1607">
        <v>2.14</v>
      </c>
      <c r="AP1607" t="s">
        <v>232</v>
      </c>
    </row>
    <row r="1608" spans="1:42">
      <c r="A1608" s="1" t="s">
        <v>46</v>
      </c>
      <c r="B1608" s="1" t="s">
        <v>3370</v>
      </c>
      <c r="C1608" s="1" t="s">
        <v>3370</v>
      </c>
      <c r="E1608" s="4" t="s">
        <v>3371</v>
      </c>
      <c r="G1608" s="16"/>
      <c r="I1608">
        <v>2.92</v>
      </c>
      <c r="M1608">
        <v>1</v>
      </c>
      <c r="N1608">
        <v>-15</v>
      </c>
      <c r="O1608">
        <v>0</v>
      </c>
      <c r="P1608">
        <v>1.7</v>
      </c>
      <c r="Q1608">
        <v>-25.47</v>
      </c>
      <c r="R1608" t="s">
        <v>1406</v>
      </c>
      <c r="S1608">
        <v>0</v>
      </c>
      <c r="T1608">
        <v>0</v>
      </c>
      <c r="U1608">
        <v>0</v>
      </c>
      <c r="V1608">
        <v>0</v>
      </c>
      <c r="W1608">
        <v>400013</v>
      </c>
      <c r="AE1608">
        <v>0</v>
      </c>
      <c r="AH1608">
        <v>2.92</v>
      </c>
      <c r="AP1608" t="s">
        <v>232</v>
      </c>
    </row>
    <row r="1609" spans="1:42">
      <c r="A1609" s="1" t="s">
        <v>46</v>
      </c>
      <c r="B1609" s="1" t="s">
        <v>3372</v>
      </c>
      <c r="C1609" s="1" t="s">
        <v>3372</v>
      </c>
      <c r="E1609" s="4" t="s">
        <v>3373</v>
      </c>
      <c r="G1609" s="16"/>
      <c r="H1609">
        <v>3.05</v>
      </c>
      <c r="I1609">
        <v>2.1</v>
      </c>
      <c r="M1609">
        <v>1</v>
      </c>
      <c r="N1609">
        <v>14</v>
      </c>
      <c r="O1609">
        <v>0</v>
      </c>
      <c r="P1609">
        <v>12.49</v>
      </c>
      <c r="Q1609">
        <v>174.82</v>
      </c>
      <c r="R1609" t="s">
        <v>1406</v>
      </c>
      <c r="S1609">
        <v>0</v>
      </c>
      <c r="T1609" t="s">
        <v>209</v>
      </c>
      <c r="U1609">
        <v>0</v>
      </c>
      <c r="V1609">
        <v>0</v>
      </c>
      <c r="W1609">
        <v>400013</v>
      </c>
      <c r="AE1609">
        <v>0</v>
      </c>
      <c r="AG1609">
        <v>3.05</v>
      </c>
      <c r="AH1609">
        <v>2.1</v>
      </c>
      <c r="AP1609" t="s">
        <v>232</v>
      </c>
    </row>
    <row r="1610" spans="1:42">
      <c r="A1610" s="1" t="s">
        <v>46</v>
      </c>
      <c r="B1610" s="1" t="s">
        <v>3374</v>
      </c>
      <c r="C1610" s="1" t="s">
        <v>3374</v>
      </c>
      <c r="E1610" s="4" t="s">
        <v>3375</v>
      </c>
      <c r="G1610" s="16"/>
      <c r="I1610">
        <v>1.1000000000000001</v>
      </c>
      <c r="M1610">
        <v>1</v>
      </c>
      <c r="N1610">
        <v>8</v>
      </c>
      <c r="O1610">
        <v>0</v>
      </c>
      <c r="P1610">
        <v>1.04</v>
      </c>
      <c r="Q1610">
        <v>8.32</v>
      </c>
      <c r="R1610" t="s">
        <v>1406</v>
      </c>
      <c r="S1610">
        <v>0</v>
      </c>
      <c r="T1610" t="s">
        <v>52</v>
      </c>
      <c r="U1610">
        <v>0</v>
      </c>
      <c r="V1610">
        <v>0</v>
      </c>
      <c r="W1610">
        <v>400013</v>
      </c>
      <c r="X1610" t="s">
        <v>56</v>
      </c>
      <c r="Y1610" t="s">
        <v>57</v>
      </c>
      <c r="AE1610">
        <v>0</v>
      </c>
      <c r="AH1610">
        <v>1.1000000000000001</v>
      </c>
      <c r="AP1610" t="s">
        <v>232</v>
      </c>
    </row>
    <row r="1611" spans="1:42">
      <c r="A1611" s="1" t="s">
        <v>46</v>
      </c>
      <c r="B1611" s="1" t="s">
        <v>3376</v>
      </c>
      <c r="C1611" s="1" t="s">
        <v>3376</v>
      </c>
      <c r="E1611" s="4" t="s">
        <v>3377</v>
      </c>
      <c r="G1611" s="16"/>
      <c r="I1611">
        <v>1.1000000000000001</v>
      </c>
      <c r="M1611">
        <v>1</v>
      </c>
      <c r="N1611">
        <v>89</v>
      </c>
      <c r="O1611">
        <v>0</v>
      </c>
      <c r="P1611">
        <v>1.04</v>
      </c>
      <c r="Q1611">
        <v>92.62</v>
      </c>
      <c r="R1611" t="s">
        <v>1406</v>
      </c>
      <c r="S1611">
        <v>0</v>
      </c>
      <c r="T1611">
        <v>0</v>
      </c>
      <c r="U1611">
        <v>0</v>
      </c>
      <c r="V1611">
        <v>0</v>
      </c>
      <c r="W1611">
        <v>400013</v>
      </c>
      <c r="X1611" t="s">
        <v>56</v>
      </c>
      <c r="Y1611" t="s">
        <v>57</v>
      </c>
      <c r="AE1611">
        <v>0</v>
      </c>
      <c r="AH1611">
        <v>1.1000000000000001</v>
      </c>
      <c r="AP1611" t="s">
        <v>232</v>
      </c>
    </row>
    <row r="1612" spans="1:42">
      <c r="A1612" s="1" t="s">
        <v>46</v>
      </c>
      <c r="B1612" s="1" t="s">
        <v>3378</v>
      </c>
      <c r="C1612" s="1" t="s">
        <v>3378</v>
      </c>
      <c r="E1612" s="4" t="s">
        <v>3379</v>
      </c>
      <c r="G1612" s="16"/>
      <c r="I1612">
        <v>0.94</v>
      </c>
      <c r="M1612">
        <v>1</v>
      </c>
      <c r="N1612">
        <v>14</v>
      </c>
      <c r="O1612">
        <v>0</v>
      </c>
      <c r="P1612">
        <v>0.79</v>
      </c>
      <c r="Q1612">
        <v>11.02</v>
      </c>
      <c r="R1612" t="s">
        <v>1406</v>
      </c>
      <c r="S1612">
        <v>0</v>
      </c>
      <c r="T1612">
        <v>0</v>
      </c>
      <c r="U1612">
        <v>0</v>
      </c>
      <c r="V1612">
        <v>0</v>
      </c>
      <c r="W1612">
        <v>400013</v>
      </c>
      <c r="X1612" t="s">
        <v>56</v>
      </c>
      <c r="Y1612" t="s">
        <v>57</v>
      </c>
      <c r="AE1612">
        <v>0</v>
      </c>
      <c r="AH1612">
        <v>0.94</v>
      </c>
      <c r="AP1612" t="s">
        <v>232</v>
      </c>
    </row>
    <row r="1613" spans="1:42">
      <c r="A1613" s="1" t="s">
        <v>46</v>
      </c>
      <c r="B1613" s="1" t="s">
        <v>3380</v>
      </c>
      <c r="C1613" s="1" t="s">
        <v>3380</v>
      </c>
      <c r="E1613" s="4" t="s">
        <v>3381</v>
      </c>
      <c r="G1613" s="16"/>
      <c r="I1613">
        <v>0.94</v>
      </c>
      <c r="M1613">
        <v>1</v>
      </c>
      <c r="N1613">
        <v>-12</v>
      </c>
      <c r="O1613">
        <v>0</v>
      </c>
      <c r="P1613">
        <v>1.1599999999999999</v>
      </c>
      <c r="Q1613">
        <v>-13.95</v>
      </c>
      <c r="R1613" t="s">
        <v>1406</v>
      </c>
      <c r="S1613">
        <v>0</v>
      </c>
      <c r="T1613">
        <v>0</v>
      </c>
      <c r="U1613">
        <v>0</v>
      </c>
      <c r="V1613">
        <v>0</v>
      </c>
      <c r="W1613">
        <v>400013</v>
      </c>
      <c r="AE1613">
        <v>0</v>
      </c>
      <c r="AH1613">
        <v>0.94</v>
      </c>
      <c r="AP1613" t="s">
        <v>232</v>
      </c>
    </row>
    <row r="1614" spans="1:42">
      <c r="A1614" s="1" t="s">
        <v>46</v>
      </c>
      <c r="B1614" s="1" t="s">
        <v>3382</v>
      </c>
      <c r="C1614" s="1" t="s">
        <v>3382</v>
      </c>
      <c r="E1614" s="4" t="s">
        <v>3383</v>
      </c>
      <c r="G1614" s="16"/>
      <c r="M1614">
        <v>1</v>
      </c>
      <c r="N1614">
        <v>8</v>
      </c>
      <c r="O1614">
        <v>0</v>
      </c>
      <c r="P1614">
        <v>3.5</v>
      </c>
      <c r="Q1614">
        <v>27.96</v>
      </c>
      <c r="R1614" t="s">
        <v>1406</v>
      </c>
      <c r="S1614">
        <v>0</v>
      </c>
      <c r="T1614">
        <v>0</v>
      </c>
      <c r="U1614">
        <v>0</v>
      </c>
      <c r="V1614">
        <v>0</v>
      </c>
      <c r="W1614">
        <v>400013</v>
      </c>
      <c r="AE1614">
        <v>0</v>
      </c>
      <c r="AP1614" t="s">
        <v>232</v>
      </c>
    </row>
    <row r="1615" spans="1:42">
      <c r="A1615" s="1" t="s">
        <v>46</v>
      </c>
      <c r="B1615" s="1" t="s">
        <v>3384</v>
      </c>
      <c r="C1615" s="1" t="s">
        <v>3384</v>
      </c>
      <c r="E1615" s="4" t="s">
        <v>3385</v>
      </c>
      <c r="G1615" s="16"/>
      <c r="M1615">
        <v>1</v>
      </c>
      <c r="N1615">
        <v>50</v>
      </c>
      <c r="O1615">
        <v>0</v>
      </c>
      <c r="P1615">
        <v>1.1599999999999999</v>
      </c>
      <c r="Q1615">
        <v>58.13</v>
      </c>
      <c r="W1615">
        <v>400013</v>
      </c>
      <c r="AE1615">
        <v>0</v>
      </c>
      <c r="AP1615" t="s">
        <v>232</v>
      </c>
    </row>
    <row r="1616" spans="1:42">
      <c r="A1616" s="1" t="s">
        <v>46</v>
      </c>
      <c r="B1616" s="1" t="s">
        <v>3386</v>
      </c>
      <c r="C1616" s="1" t="s">
        <v>3386</v>
      </c>
      <c r="E1616" s="4" t="s">
        <v>3387</v>
      </c>
      <c r="G1616" s="16"/>
      <c r="M1616">
        <v>1</v>
      </c>
      <c r="N1616">
        <v>66</v>
      </c>
      <c r="O1616">
        <v>0</v>
      </c>
      <c r="P1616">
        <v>0.54</v>
      </c>
      <c r="Q1616">
        <v>35.64</v>
      </c>
      <c r="R1616" t="s">
        <v>1406</v>
      </c>
      <c r="S1616">
        <v>0</v>
      </c>
      <c r="T1616">
        <v>0</v>
      </c>
      <c r="U1616">
        <v>0</v>
      </c>
      <c r="V1616">
        <v>0</v>
      </c>
      <c r="W1616">
        <v>400013</v>
      </c>
      <c r="X1616" t="s">
        <v>56</v>
      </c>
      <c r="Y1616" t="s">
        <v>57</v>
      </c>
      <c r="AE1616">
        <v>0</v>
      </c>
      <c r="AP1616" t="s">
        <v>232</v>
      </c>
    </row>
    <row r="1617" spans="1:42">
      <c r="A1617" s="1" t="s">
        <v>46</v>
      </c>
      <c r="B1617" s="1" t="s">
        <v>3388</v>
      </c>
      <c r="C1617" s="1" t="s">
        <v>3388</v>
      </c>
      <c r="E1617" s="4" t="s">
        <v>3389</v>
      </c>
      <c r="G1617" s="16"/>
      <c r="I1617">
        <v>0.6</v>
      </c>
      <c r="M1617">
        <v>1</v>
      </c>
      <c r="N1617">
        <v>423</v>
      </c>
      <c r="O1617">
        <v>0</v>
      </c>
      <c r="P1617">
        <v>0.54</v>
      </c>
      <c r="Q1617">
        <v>228.42</v>
      </c>
      <c r="R1617" t="s">
        <v>1406</v>
      </c>
      <c r="S1617">
        <v>0</v>
      </c>
      <c r="T1617">
        <v>0</v>
      </c>
      <c r="U1617">
        <v>0</v>
      </c>
      <c r="V1617">
        <v>0</v>
      </c>
      <c r="W1617">
        <v>400013</v>
      </c>
      <c r="X1617" t="s">
        <v>56</v>
      </c>
      <c r="Y1617" t="s">
        <v>57</v>
      </c>
      <c r="AE1617">
        <v>0</v>
      </c>
      <c r="AH1617">
        <v>0.6</v>
      </c>
      <c r="AP1617" t="s">
        <v>232</v>
      </c>
    </row>
    <row r="1618" spans="1:42">
      <c r="A1618" s="1" t="s">
        <v>46</v>
      </c>
      <c r="B1618" s="1" t="s">
        <v>3390</v>
      </c>
      <c r="C1618" s="1" t="s">
        <v>3390</v>
      </c>
      <c r="E1618" s="4" t="s">
        <v>3391</v>
      </c>
      <c r="G1618" s="16">
        <v>1</v>
      </c>
      <c r="I1618">
        <v>0.7</v>
      </c>
      <c r="M1618">
        <v>1</v>
      </c>
      <c r="N1618">
        <v>986.6</v>
      </c>
      <c r="O1618">
        <v>0</v>
      </c>
      <c r="P1618">
        <v>5.49</v>
      </c>
      <c r="Q1618">
        <v>5416.43</v>
      </c>
      <c r="R1618" t="s">
        <v>1406</v>
      </c>
      <c r="S1618">
        <v>0</v>
      </c>
      <c r="T1618" t="s">
        <v>209</v>
      </c>
      <c r="U1618">
        <v>0</v>
      </c>
      <c r="V1618">
        <v>0</v>
      </c>
      <c r="W1618">
        <v>400214</v>
      </c>
      <c r="X1618" t="s">
        <v>56</v>
      </c>
      <c r="Y1618" t="s">
        <v>57</v>
      </c>
      <c r="AE1618">
        <v>0</v>
      </c>
      <c r="AH1618">
        <v>0.7</v>
      </c>
      <c r="AP1618" t="s">
        <v>689</v>
      </c>
    </row>
    <row r="1619" spans="1:42">
      <c r="A1619" s="1" t="s">
        <v>46</v>
      </c>
      <c r="B1619" s="1" t="s">
        <v>3392</v>
      </c>
      <c r="C1619" s="1" t="s">
        <v>3392</v>
      </c>
      <c r="E1619" s="4" t="s">
        <v>3393</v>
      </c>
      <c r="G1619" s="16"/>
      <c r="I1619">
        <v>0.45</v>
      </c>
      <c r="M1619">
        <v>1</v>
      </c>
      <c r="N1619">
        <v>2305</v>
      </c>
      <c r="O1619">
        <v>0</v>
      </c>
      <c r="P1619">
        <v>0.5</v>
      </c>
      <c r="Q1619">
        <v>1151.3499999999999</v>
      </c>
      <c r="R1619" t="s">
        <v>1406</v>
      </c>
      <c r="S1619">
        <v>0</v>
      </c>
      <c r="T1619">
        <v>0</v>
      </c>
      <c r="U1619">
        <v>0</v>
      </c>
      <c r="V1619">
        <v>0</v>
      </c>
      <c r="W1619">
        <v>400013</v>
      </c>
      <c r="X1619" t="s">
        <v>56</v>
      </c>
      <c r="Y1619" t="s">
        <v>57</v>
      </c>
      <c r="AE1619">
        <v>0</v>
      </c>
      <c r="AH1619">
        <v>0.45</v>
      </c>
      <c r="AP1619" t="s">
        <v>232</v>
      </c>
    </row>
    <row r="1620" spans="1:42">
      <c r="A1620" s="1" t="s">
        <v>46</v>
      </c>
      <c r="B1620" s="1" t="s">
        <v>3394</v>
      </c>
      <c r="C1620" s="1" t="s">
        <v>3394</v>
      </c>
      <c r="E1620" s="4" t="s">
        <v>3395</v>
      </c>
      <c r="G1620" s="16">
        <v>1.5</v>
      </c>
      <c r="I1620">
        <v>0.55000000000000004</v>
      </c>
      <c r="M1620">
        <v>1</v>
      </c>
      <c r="N1620">
        <v>1744</v>
      </c>
      <c r="O1620">
        <v>0</v>
      </c>
      <c r="P1620">
        <v>0.5</v>
      </c>
      <c r="Q1620">
        <v>871.13</v>
      </c>
      <c r="R1620" t="s">
        <v>1406</v>
      </c>
      <c r="S1620">
        <v>0</v>
      </c>
      <c r="T1620">
        <v>0</v>
      </c>
      <c r="U1620">
        <v>0</v>
      </c>
      <c r="V1620">
        <v>0</v>
      </c>
      <c r="W1620">
        <v>400214</v>
      </c>
      <c r="X1620" t="s">
        <v>56</v>
      </c>
      <c r="Y1620" t="s">
        <v>57</v>
      </c>
      <c r="AE1620">
        <v>0</v>
      </c>
      <c r="AH1620">
        <v>0.55000000000000004</v>
      </c>
      <c r="AP1620" t="s">
        <v>689</v>
      </c>
    </row>
    <row r="1621" spans="1:42">
      <c r="A1621" s="1" t="s">
        <v>46</v>
      </c>
      <c r="B1621" s="1" t="s">
        <v>3396</v>
      </c>
      <c r="C1621" s="1" t="s">
        <v>3396</v>
      </c>
      <c r="E1621" s="4" t="s">
        <v>3397</v>
      </c>
      <c r="G1621" s="16">
        <v>3</v>
      </c>
      <c r="I1621">
        <v>0.5</v>
      </c>
      <c r="M1621">
        <v>1</v>
      </c>
      <c r="N1621">
        <v>313</v>
      </c>
      <c r="O1621">
        <v>0</v>
      </c>
      <c r="P1621">
        <v>0.46</v>
      </c>
      <c r="Q1621">
        <v>143.19999999999999</v>
      </c>
      <c r="R1621" t="s">
        <v>1406</v>
      </c>
      <c r="S1621">
        <v>0</v>
      </c>
      <c r="T1621">
        <v>0</v>
      </c>
      <c r="U1621">
        <v>0</v>
      </c>
      <c r="V1621">
        <v>0</v>
      </c>
      <c r="W1621">
        <v>400013</v>
      </c>
      <c r="X1621" t="s">
        <v>56</v>
      </c>
      <c r="Y1621" t="s">
        <v>57</v>
      </c>
      <c r="AE1621">
        <v>0</v>
      </c>
      <c r="AH1621">
        <v>0.5</v>
      </c>
      <c r="AP1621" t="s">
        <v>232</v>
      </c>
    </row>
    <row r="1622" spans="1:42">
      <c r="A1622" s="1" t="s">
        <v>46</v>
      </c>
      <c r="B1622" s="1" t="s">
        <v>3398</v>
      </c>
      <c r="C1622" s="1" t="s">
        <v>3398</v>
      </c>
      <c r="E1622" s="4" t="s">
        <v>3399</v>
      </c>
      <c r="G1622" s="16">
        <v>8</v>
      </c>
      <c r="I1622">
        <v>0.5</v>
      </c>
      <c r="M1622">
        <v>1</v>
      </c>
      <c r="N1622">
        <v>-5</v>
      </c>
      <c r="O1622">
        <v>0</v>
      </c>
      <c r="P1622">
        <v>0.56000000000000005</v>
      </c>
      <c r="Q1622">
        <v>-2.81</v>
      </c>
      <c r="R1622" t="s">
        <v>1406</v>
      </c>
      <c r="S1622">
        <v>0</v>
      </c>
      <c r="T1622">
        <v>0</v>
      </c>
      <c r="U1622">
        <v>0</v>
      </c>
      <c r="V1622">
        <v>0</v>
      </c>
      <c r="W1622">
        <v>400013</v>
      </c>
      <c r="AE1622">
        <v>0</v>
      </c>
      <c r="AH1622">
        <v>0.5</v>
      </c>
      <c r="AP1622" t="s">
        <v>232</v>
      </c>
    </row>
    <row r="1623" spans="1:42">
      <c r="A1623" s="1" t="s">
        <v>46</v>
      </c>
      <c r="B1623" s="1" t="s">
        <v>3400</v>
      </c>
      <c r="C1623" s="1" t="s">
        <v>3400</v>
      </c>
      <c r="E1623" s="4" t="s">
        <v>3401</v>
      </c>
      <c r="G1623" s="16"/>
      <c r="I1623">
        <v>2.2000000000000002</v>
      </c>
      <c r="M1623">
        <v>1</v>
      </c>
      <c r="N1623">
        <v>36</v>
      </c>
      <c r="O1623">
        <v>0</v>
      </c>
      <c r="P1623">
        <v>1.75</v>
      </c>
      <c r="Q1623">
        <v>62.91</v>
      </c>
      <c r="R1623" t="s">
        <v>1406</v>
      </c>
      <c r="S1623">
        <v>0</v>
      </c>
      <c r="T1623" t="s">
        <v>52</v>
      </c>
      <c r="U1623">
        <v>0</v>
      </c>
      <c r="V1623">
        <v>0</v>
      </c>
      <c r="W1623">
        <v>400013</v>
      </c>
      <c r="X1623" t="s">
        <v>56</v>
      </c>
      <c r="Y1623" t="s">
        <v>57</v>
      </c>
      <c r="AE1623">
        <v>0</v>
      </c>
      <c r="AH1623">
        <v>2.2000000000000002</v>
      </c>
      <c r="AP1623" t="s">
        <v>232</v>
      </c>
    </row>
    <row r="1624" spans="1:42">
      <c r="A1624" s="1" t="s">
        <v>46</v>
      </c>
      <c r="B1624" s="1" t="s">
        <v>3402</v>
      </c>
      <c r="C1624" s="1" t="s">
        <v>3402</v>
      </c>
      <c r="E1624" s="4" t="s">
        <v>3403</v>
      </c>
      <c r="G1624" s="16"/>
      <c r="I1624">
        <v>2.5299999999999998</v>
      </c>
      <c r="M1624">
        <v>1</v>
      </c>
      <c r="N1624">
        <v>105</v>
      </c>
      <c r="O1624">
        <v>0</v>
      </c>
      <c r="P1624">
        <v>1.96</v>
      </c>
      <c r="Q1624">
        <v>205.38</v>
      </c>
      <c r="R1624" t="s">
        <v>1406</v>
      </c>
      <c r="S1624">
        <v>0</v>
      </c>
      <c r="T1624">
        <v>0</v>
      </c>
      <c r="U1624">
        <v>0</v>
      </c>
      <c r="V1624">
        <v>0</v>
      </c>
      <c r="W1624">
        <v>400214</v>
      </c>
      <c r="X1624" t="s">
        <v>56</v>
      </c>
      <c r="Y1624" t="s">
        <v>57</v>
      </c>
      <c r="AE1624">
        <v>0</v>
      </c>
      <c r="AH1624">
        <v>2.5299999999999998</v>
      </c>
      <c r="AP1624" t="s">
        <v>689</v>
      </c>
    </row>
    <row r="1625" spans="1:42">
      <c r="A1625" s="1" t="s">
        <v>46</v>
      </c>
      <c r="B1625" s="1" t="s">
        <v>3404</v>
      </c>
      <c r="C1625" s="1" t="s">
        <v>3404</v>
      </c>
      <c r="E1625" s="4" t="s">
        <v>3405</v>
      </c>
      <c r="G1625" s="16"/>
      <c r="I1625">
        <v>3.63</v>
      </c>
      <c r="M1625">
        <v>1</v>
      </c>
      <c r="N1625">
        <v>51</v>
      </c>
      <c r="O1625">
        <v>0</v>
      </c>
      <c r="P1625">
        <v>2.74</v>
      </c>
      <c r="Q1625">
        <v>140</v>
      </c>
      <c r="R1625" t="s">
        <v>1406</v>
      </c>
      <c r="S1625">
        <v>0</v>
      </c>
      <c r="T1625">
        <v>0</v>
      </c>
      <c r="U1625">
        <v>0</v>
      </c>
      <c r="V1625">
        <v>0</v>
      </c>
      <c r="W1625">
        <v>400013</v>
      </c>
      <c r="X1625" t="s">
        <v>56</v>
      </c>
      <c r="Y1625" t="s">
        <v>57</v>
      </c>
      <c r="AE1625">
        <v>0</v>
      </c>
      <c r="AH1625">
        <v>3.63</v>
      </c>
      <c r="AP1625" t="s">
        <v>232</v>
      </c>
    </row>
    <row r="1626" spans="1:42">
      <c r="A1626" s="1" t="s">
        <v>46</v>
      </c>
      <c r="B1626" s="1" t="s">
        <v>3406</v>
      </c>
      <c r="C1626" s="1" t="s">
        <v>3406</v>
      </c>
      <c r="E1626" s="4" t="s">
        <v>3407</v>
      </c>
      <c r="G1626" s="16"/>
      <c r="I1626">
        <v>3.41</v>
      </c>
      <c r="M1626">
        <v>1</v>
      </c>
      <c r="N1626">
        <v>15</v>
      </c>
      <c r="O1626">
        <v>0</v>
      </c>
      <c r="P1626">
        <v>2.62</v>
      </c>
      <c r="Q1626">
        <v>39.26</v>
      </c>
      <c r="R1626" t="s">
        <v>1406</v>
      </c>
      <c r="S1626">
        <v>0</v>
      </c>
      <c r="T1626">
        <v>0</v>
      </c>
      <c r="U1626">
        <v>0</v>
      </c>
      <c r="V1626">
        <v>0</v>
      </c>
      <c r="W1626">
        <v>400013</v>
      </c>
      <c r="AE1626">
        <v>0</v>
      </c>
      <c r="AH1626">
        <v>3.41</v>
      </c>
      <c r="AP1626" t="s">
        <v>232</v>
      </c>
    </row>
    <row r="1627" spans="1:42">
      <c r="A1627" s="1" t="s">
        <v>46</v>
      </c>
      <c r="B1627" s="1" t="s">
        <v>3408</v>
      </c>
      <c r="C1627" s="1" t="s">
        <v>3408</v>
      </c>
      <c r="E1627" s="4" t="s">
        <v>3409</v>
      </c>
      <c r="G1627" s="16"/>
      <c r="I1627">
        <v>3.08</v>
      </c>
      <c r="M1627">
        <v>1</v>
      </c>
      <c r="N1627">
        <v>8</v>
      </c>
      <c r="O1627">
        <v>0</v>
      </c>
      <c r="P1627">
        <v>2.37</v>
      </c>
      <c r="Q1627">
        <v>18.96</v>
      </c>
      <c r="R1627" t="s">
        <v>1406</v>
      </c>
      <c r="S1627">
        <v>0</v>
      </c>
      <c r="T1627">
        <v>0</v>
      </c>
      <c r="U1627">
        <v>0</v>
      </c>
      <c r="V1627">
        <v>0</v>
      </c>
      <c r="W1627">
        <v>400013</v>
      </c>
      <c r="AE1627">
        <v>0</v>
      </c>
      <c r="AH1627">
        <v>3.08</v>
      </c>
      <c r="AP1627" t="s">
        <v>232</v>
      </c>
    </row>
    <row r="1628" spans="1:42">
      <c r="A1628" s="1" t="s">
        <v>46</v>
      </c>
      <c r="B1628" s="1" t="s">
        <v>3410</v>
      </c>
      <c r="C1628" s="1" t="s">
        <v>3410</v>
      </c>
      <c r="E1628" s="4" t="s">
        <v>3411</v>
      </c>
      <c r="G1628" s="16"/>
      <c r="M1628">
        <v>1</v>
      </c>
      <c r="N1628">
        <v>14</v>
      </c>
      <c r="O1628">
        <v>0</v>
      </c>
      <c r="P1628">
        <v>3.83</v>
      </c>
      <c r="Q1628">
        <v>53.61</v>
      </c>
      <c r="R1628" t="s">
        <v>1406</v>
      </c>
      <c r="S1628">
        <v>0</v>
      </c>
      <c r="T1628" t="s">
        <v>52</v>
      </c>
      <c r="U1628">
        <v>0</v>
      </c>
      <c r="V1628">
        <v>0</v>
      </c>
      <c r="W1628">
        <v>400013</v>
      </c>
      <c r="AE1628">
        <v>0</v>
      </c>
      <c r="AP1628" t="s">
        <v>232</v>
      </c>
    </row>
    <row r="1629" spans="1:42">
      <c r="A1629" s="1" t="s">
        <v>46</v>
      </c>
      <c r="B1629" s="1" t="s">
        <v>3412</v>
      </c>
      <c r="C1629" s="1" t="s">
        <v>3412</v>
      </c>
      <c r="E1629" s="4" t="s">
        <v>3413</v>
      </c>
      <c r="G1629" s="16"/>
      <c r="H1629">
        <v>3.75</v>
      </c>
      <c r="I1629">
        <v>2.4500000000000002</v>
      </c>
      <c r="M1629">
        <v>1</v>
      </c>
      <c r="N1629">
        <v>9.5</v>
      </c>
      <c r="O1629">
        <v>0</v>
      </c>
      <c r="P1629">
        <v>16.73</v>
      </c>
      <c r="Q1629">
        <v>158.96</v>
      </c>
      <c r="R1629" t="s">
        <v>1406</v>
      </c>
      <c r="S1629">
        <v>0</v>
      </c>
      <c r="T1629" t="s">
        <v>209</v>
      </c>
      <c r="U1629">
        <v>0</v>
      </c>
      <c r="V1629">
        <v>0</v>
      </c>
      <c r="W1629">
        <v>400214</v>
      </c>
      <c r="X1629" t="s">
        <v>56</v>
      </c>
      <c r="Y1629" t="s">
        <v>57</v>
      </c>
      <c r="AE1629">
        <v>0</v>
      </c>
      <c r="AG1629">
        <v>3.75</v>
      </c>
      <c r="AH1629">
        <v>2.4500000000000002</v>
      </c>
      <c r="AP1629" t="s">
        <v>689</v>
      </c>
    </row>
    <row r="1630" spans="1:42">
      <c r="A1630" s="1" t="s">
        <v>46</v>
      </c>
      <c r="B1630" s="1" t="s">
        <v>3414</v>
      </c>
      <c r="C1630" s="1" t="s">
        <v>3414</v>
      </c>
      <c r="E1630" s="4" t="s">
        <v>3415</v>
      </c>
      <c r="G1630" s="16"/>
      <c r="I1630">
        <v>1.6</v>
      </c>
      <c r="M1630">
        <v>1</v>
      </c>
      <c r="N1630">
        <v>129</v>
      </c>
      <c r="O1630">
        <v>0</v>
      </c>
      <c r="P1630">
        <v>1.46</v>
      </c>
      <c r="Q1630">
        <v>187.7</v>
      </c>
      <c r="R1630" t="s">
        <v>1406</v>
      </c>
      <c r="S1630">
        <v>0</v>
      </c>
      <c r="T1630">
        <v>0</v>
      </c>
      <c r="U1630">
        <v>0</v>
      </c>
      <c r="V1630">
        <v>0</v>
      </c>
      <c r="W1630">
        <v>400013</v>
      </c>
      <c r="X1630" t="s">
        <v>56</v>
      </c>
      <c r="Y1630" t="s">
        <v>57</v>
      </c>
      <c r="AE1630">
        <v>0</v>
      </c>
      <c r="AH1630">
        <v>1.6</v>
      </c>
      <c r="AP1630" t="s">
        <v>232</v>
      </c>
    </row>
    <row r="1631" spans="1:42">
      <c r="A1631" s="1" t="s">
        <v>46</v>
      </c>
      <c r="B1631" s="1" t="s">
        <v>3416</v>
      </c>
      <c r="C1631" s="1" t="s">
        <v>3416</v>
      </c>
      <c r="E1631" s="4" t="s">
        <v>3417</v>
      </c>
      <c r="G1631" s="16"/>
      <c r="I1631">
        <v>1.6</v>
      </c>
      <c r="M1631">
        <v>1</v>
      </c>
      <c r="N1631">
        <v>454</v>
      </c>
      <c r="O1631">
        <v>0</v>
      </c>
      <c r="P1631">
        <v>1.46</v>
      </c>
      <c r="Q1631">
        <v>660.57</v>
      </c>
      <c r="R1631" t="s">
        <v>1406</v>
      </c>
      <c r="S1631">
        <v>0</v>
      </c>
      <c r="T1631" t="s">
        <v>52</v>
      </c>
      <c r="U1631">
        <v>0</v>
      </c>
      <c r="V1631">
        <v>0</v>
      </c>
      <c r="W1631">
        <v>400214</v>
      </c>
      <c r="X1631" t="s">
        <v>56</v>
      </c>
      <c r="Y1631" t="s">
        <v>57</v>
      </c>
      <c r="AE1631">
        <v>0</v>
      </c>
      <c r="AH1631">
        <v>1.6</v>
      </c>
      <c r="AP1631" t="s">
        <v>689</v>
      </c>
    </row>
    <row r="1632" spans="1:42">
      <c r="A1632" s="1" t="s">
        <v>46</v>
      </c>
      <c r="B1632" s="1" t="s">
        <v>3418</v>
      </c>
      <c r="C1632" s="1" t="s">
        <v>3418</v>
      </c>
      <c r="E1632" s="4" t="s">
        <v>3419</v>
      </c>
      <c r="G1632" s="16"/>
      <c r="I1632">
        <v>4.29</v>
      </c>
      <c r="M1632">
        <v>1</v>
      </c>
      <c r="N1632">
        <v>21</v>
      </c>
      <c r="O1632">
        <v>0</v>
      </c>
      <c r="P1632">
        <v>3.2</v>
      </c>
      <c r="Q1632">
        <v>67.25</v>
      </c>
      <c r="R1632" t="s">
        <v>1406</v>
      </c>
      <c r="S1632">
        <v>0</v>
      </c>
      <c r="T1632" t="s">
        <v>52</v>
      </c>
      <c r="U1632">
        <v>0</v>
      </c>
      <c r="V1632">
        <v>0</v>
      </c>
      <c r="W1632">
        <v>400013</v>
      </c>
      <c r="X1632" t="s">
        <v>56</v>
      </c>
      <c r="Y1632" t="s">
        <v>57</v>
      </c>
      <c r="AE1632">
        <v>0</v>
      </c>
      <c r="AH1632">
        <v>4.29</v>
      </c>
      <c r="AP1632" t="s">
        <v>232</v>
      </c>
    </row>
    <row r="1633" spans="1:42">
      <c r="A1633" s="1" t="s">
        <v>46</v>
      </c>
      <c r="B1633" s="1" t="s">
        <v>3420</v>
      </c>
      <c r="C1633" s="1" t="s">
        <v>3420</v>
      </c>
      <c r="E1633" s="4" t="s">
        <v>3421</v>
      </c>
      <c r="G1633" s="16"/>
      <c r="I1633">
        <v>0.99</v>
      </c>
      <c r="M1633">
        <v>1</v>
      </c>
      <c r="N1633">
        <v>227</v>
      </c>
      <c r="O1633">
        <v>0</v>
      </c>
      <c r="P1633">
        <v>0.83</v>
      </c>
      <c r="Q1633">
        <v>188.98</v>
      </c>
      <c r="R1633" t="s">
        <v>1406</v>
      </c>
      <c r="S1633">
        <v>0</v>
      </c>
      <c r="T1633">
        <v>0</v>
      </c>
      <c r="U1633">
        <v>0</v>
      </c>
      <c r="V1633">
        <v>0</v>
      </c>
      <c r="W1633">
        <v>400214</v>
      </c>
      <c r="X1633" t="s">
        <v>56</v>
      </c>
      <c r="Y1633" t="s">
        <v>57</v>
      </c>
      <c r="AE1633">
        <v>0</v>
      </c>
      <c r="AH1633">
        <v>0.99</v>
      </c>
      <c r="AP1633" t="s">
        <v>689</v>
      </c>
    </row>
    <row r="1634" spans="1:42">
      <c r="A1634" s="1" t="s">
        <v>46</v>
      </c>
      <c r="B1634" s="1" t="s">
        <v>3422</v>
      </c>
      <c r="C1634" s="1" t="s">
        <v>3422</v>
      </c>
      <c r="E1634" s="4" t="s">
        <v>3423</v>
      </c>
      <c r="G1634" s="16"/>
      <c r="I1634">
        <v>0.99</v>
      </c>
      <c r="M1634">
        <v>1</v>
      </c>
      <c r="N1634">
        <v>57</v>
      </c>
      <c r="O1634">
        <v>0</v>
      </c>
      <c r="P1634">
        <v>1.1299999999999999</v>
      </c>
      <c r="Q1634">
        <v>64.150000000000006</v>
      </c>
      <c r="R1634" t="s">
        <v>1406</v>
      </c>
      <c r="S1634">
        <v>0</v>
      </c>
      <c r="T1634">
        <v>0</v>
      </c>
      <c r="U1634">
        <v>0</v>
      </c>
      <c r="V1634">
        <v>0</v>
      </c>
      <c r="W1634">
        <v>400013</v>
      </c>
      <c r="AE1634">
        <v>0</v>
      </c>
      <c r="AH1634">
        <v>0.99</v>
      </c>
      <c r="AP1634" t="s">
        <v>232</v>
      </c>
    </row>
    <row r="1635" spans="1:42">
      <c r="A1635" s="1" t="s">
        <v>46</v>
      </c>
      <c r="B1635" s="1" t="s">
        <v>3424</v>
      </c>
      <c r="C1635" s="1" t="s">
        <v>3424</v>
      </c>
      <c r="E1635" s="4" t="s">
        <v>3425</v>
      </c>
      <c r="G1635" s="16"/>
      <c r="I1635">
        <v>4.46</v>
      </c>
      <c r="M1635">
        <v>1</v>
      </c>
      <c r="N1635">
        <v>41</v>
      </c>
      <c r="O1635">
        <v>0</v>
      </c>
      <c r="P1635">
        <v>2.0699999999999998</v>
      </c>
      <c r="Q1635">
        <v>85.07</v>
      </c>
      <c r="R1635" t="s">
        <v>1406</v>
      </c>
      <c r="S1635">
        <v>0</v>
      </c>
      <c r="T1635">
        <v>0</v>
      </c>
      <c r="U1635">
        <v>0</v>
      </c>
      <c r="V1635">
        <v>0</v>
      </c>
      <c r="W1635">
        <v>400013</v>
      </c>
      <c r="AE1635">
        <v>0</v>
      </c>
      <c r="AH1635">
        <v>4.46</v>
      </c>
      <c r="AP1635" t="s">
        <v>232</v>
      </c>
    </row>
    <row r="1636" spans="1:42">
      <c r="A1636" s="1" t="s">
        <v>46</v>
      </c>
      <c r="B1636" s="1" t="s">
        <v>3426</v>
      </c>
      <c r="C1636" s="1" t="s">
        <v>3426</v>
      </c>
      <c r="E1636" s="4" t="s">
        <v>3427</v>
      </c>
      <c r="G1636" s="16"/>
      <c r="I1636">
        <v>4.57</v>
      </c>
      <c r="M1636">
        <v>1</v>
      </c>
      <c r="N1636">
        <v>15</v>
      </c>
      <c r="O1636">
        <v>0</v>
      </c>
      <c r="P1636">
        <v>1.1200000000000001</v>
      </c>
      <c r="Q1636">
        <v>16.850000000000001</v>
      </c>
      <c r="R1636" t="s">
        <v>1406</v>
      </c>
      <c r="S1636">
        <v>0</v>
      </c>
      <c r="T1636">
        <v>0</v>
      </c>
      <c r="U1636">
        <v>0</v>
      </c>
      <c r="V1636">
        <v>0</v>
      </c>
      <c r="W1636">
        <v>400013</v>
      </c>
      <c r="AE1636">
        <v>0</v>
      </c>
      <c r="AH1636">
        <v>4.57</v>
      </c>
      <c r="AP1636" t="s">
        <v>232</v>
      </c>
    </row>
    <row r="1637" spans="1:42">
      <c r="A1637" s="1" t="s">
        <v>46</v>
      </c>
      <c r="B1637" s="1" t="s">
        <v>3428</v>
      </c>
      <c r="C1637" s="1" t="s">
        <v>3428</v>
      </c>
      <c r="E1637" s="4" t="s">
        <v>3429</v>
      </c>
      <c r="G1637" s="16">
        <v>30</v>
      </c>
      <c r="I1637">
        <v>4.18</v>
      </c>
      <c r="M1637">
        <v>1</v>
      </c>
      <c r="N1637">
        <v>5</v>
      </c>
      <c r="O1637">
        <v>0</v>
      </c>
      <c r="P1637">
        <v>3.25</v>
      </c>
      <c r="Q1637">
        <v>16.23</v>
      </c>
      <c r="R1637" t="s">
        <v>1406</v>
      </c>
      <c r="S1637">
        <v>0</v>
      </c>
      <c r="T1637">
        <v>0</v>
      </c>
      <c r="U1637">
        <v>0</v>
      </c>
      <c r="V1637">
        <v>0</v>
      </c>
      <c r="W1637">
        <v>400013</v>
      </c>
      <c r="X1637" t="s">
        <v>56</v>
      </c>
      <c r="Y1637" t="s">
        <v>57</v>
      </c>
      <c r="AE1637">
        <v>0</v>
      </c>
      <c r="AH1637">
        <v>4.18</v>
      </c>
      <c r="AP1637" t="s">
        <v>232</v>
      </c>
    </row>
    <row r="1638" spans="1:42">
      <c r="A1638" s="1" t="s">
        <v>46</v>
      </c>
      <c r="B1638" s="1" t="s">
        <v>3430</v>
      </c>
      <c r="C1638" s="1" t="s">
        <v>3430</v>
      </c>
      <c r="E1638" s="4" t="s">
        <v>3431</v>
      </c>
      <c r="G1638" s="16"/>
      <c r="I1638">
        <v>4.57</v>
      </c>
      <c r="M1638">
        <v>1</v>
      </c>
      <c r="N1638">
        <v>12</v>
      </c>
      <c r="O1638">
        <v>0</v>
      </c>
      <c r="P1638">
        <v>3.5</v>
      </c>
      <c r="Q1638">
        <v>41.94</v>
      </c>
      <c r="R1638" t="s">
        <v>1406</v>
      </c>
      <c r="S1638">
        <v>0</v>
      </c>
      <c r="T1638">
        <v>0</v>
      </c>
      <c r="U1638">
        <v>0</v>
      </c>
      <c r="V1638">
        <v>0</v>
      </c>
      <c r="W1638">
        <v>400013</v>
      </c>
      <c r="X1638" t="s">
        <v>56</v>
      </c>
      <c r="Y1638" t="s">
        <v>57</v>
      </c>
      <c r="AE1638">
        <v>0</v>
      </c>
      <c r="AH1638">
        <v>4.57</v>
      </c>
      <c r="AP1638" t="s">
        <v>232</v>
      </c>
    </row>
    <row r="1639" spans="1:42">
      <c r="A1639" s="1" t="s">
        <v>46</v>
      </c>
      <c r="B1639" s="1" t="s">
        <v>3432</v>
      </c>
      <c r="C1639" s="1" t="s">
        <v>3432</v>
      </c>
      <c r="E1639" s="4" t="s">
        <v>3433</v>
      </c>
      <c r="G1639" s="16"/>
      <c r="I1639">
        <v>3.58</v>
      </c>
      <c r="M1639">
        <v>1</v>
      </c>
      <c r="N1639">
        <v>-1</v>
      </c>
      <c r="O1639">
        <v>0</v>
      </c>
      <c r="P1639">
        <v>2.9</v>
      </c>
      <c r="Q1639">
        <v>-2.9</v>
      </c>
      <c r="R1639" t="s">
        <v>1406</v>
      </c>
      <c r="S1639">
        <v>0</v>
      </c>
      <c r="T1639">
        <v>0</v>
      </c>
      <c r="U1639">
        <v>0</v>
      </c>
      <c r="V1639">
        <v>0</v>
      </c>
      <c r="W1639">
        <v>400013</v>
      </c>
      <c r="AE1639">
        <v>0</v>
      </c>
      <c r="AH1639">
        <v>3.58</v>
      </c>
      <c r="AP1639" t="s">
        <v>232</v>
      </c>
    </row>
    <row r="1640" spans="1:42">
      <c r="A1640" s="1" t="s">
        <v>46</v>
      </c>
      <c r="B1640" s="1" t="s">
        <v>3434</v>
      </c>
      <c r="C1640" s="1" t="s">
        <v>3434</v>
      </c>
      <c r="E1640" s="4" t="s">
        <v>3435</v>
      </c>
      <c r="G1640" s="16"/>
      <c r="H1640">
        <v>5.2</v>
      </c>
      <c r="I1640">
        <v>4.05</v>
      </c>
      <c r="M1640">
        <v>1</v>
      </c>
      <c r="N1640">
        <v>14.5</v>
      </c>
      <c r="O1640">
        <v>0</v>
      </c>
      <c r="P1640">
        <v>25.47</v>
      </c>
      <c r="Q1640">
        <v>369.38</v>
      </c>
      <c r="R1640" t="s">
        <v>1406</v>
      </c>
      <c r="S1640">
        <v>0</v>
      </c>
      <c r="T1640" t="s">
        <v>209</v>
      </c>
      <c r="U1640">
        <v>0</v>
      </c>
      <c r="V1640">
        <v>0</v>
      </c>
      <c r="W1640">
        <v>400013</v>
      </c>
      <c r="X1640" t="s">
        <v>56</v>
      </c>
      <c r="Y1640" t="s">
        <v>57</v>
      </c>
      <c r="AE1640">
        <v>0</v>
      </c>
      <c r="AG1640">
        <v>5.2</v>
      </c>
      <c r="AH1640">
        <v>4.05</v>
      </c>
      <c r="AP1640" t="s">
        <v>232</v>
      </c>
    </row>
    <row r="1641" spans="1:42">
      <c r="A1641" s="1" t="s">
        <v>46</v>
      </c>
      <c r="B1641" s="1" t="s">
        <v>3436</v>
      </c>
      <c r="C1641" s="1" t="s">
        <v>3436</v>
      </c>
      <c r="E1641" s="4" t="s">
        <v>3437</v>
      </c>
      <c r="G1641" s="16"/>
      <c r="I1641">
        <v>2.35</v>
      </c>
      <c r="M1641">
        <v>1</v>
      </c>
      <c r="N1641">
        <v>-4</v>
      </c>
      <c r="O1641">
        <v>0</v>
      </c>
      <c r="P1641">
        <v>2.12</v>
      </c>
      <c r="Q1641">
        <v>-8.49</v>
      </c>
      <c r="R1641" t="s">
        <v>1406</v>
      </c>
      <c r="S1641">
        <v>0</v>
      </c>
      <c r="T1641">
        <v>0</v>
      </c>
      <c r="U1641">
        <v>0</v>
      </c>
      <c r="V1641">
        <v>0</v>
      </c>
      <c r="W1641">
        <v>400013</v>
      </c>
      <c r="X1641" t="s">
        <v>56</v>
      </c>
      <c r="Y1641" t="s">
        <v>57</v>
      </c>
      <c r="AE1641">
        <v>0</v>
      </c>
      <c r="AH1641">
        <v>2.35</v>
      </c>
      <c r="AP1641" t="s">
        <v>232</v>
      </c>
    </row>
    <row r="1642" spans="1:42">
      <c r="A1642" s="1" t="s">
        <v>46</v>
      </c>
      <c r="B1642" s="1" t="s">
        <v>3438</v>
      </c>
      <c r="C1642" s="1" t="s">
        <v>3438</v>
      </c>
      <c r="E1642" s="4" t="s">
        <v>3439</v>
      </c>
      <c r="G1642" s="16">
        <v>10</v>
      </c>
      <c r="I1642">
        <v>2.35</v>
      </c>
      <c r="M1642">
        <v>1</v>
      </c>
      <c r="N1642">
        <v>42</v>
      </c>
      <c r="O1642">
        <v>0</v>
      </c>
      <c r="P1642">
        <v>2.12</v>
      </c>
      <c r="Q1642">
        <v>89.14</v>
      </c>
      <c r="R1642" t="s">
        <v>1406</v>
      </c>
      <c r="S1642">
        <v>0</v>
      </c>
      <c r="T1642">
        <v>0</v>
      </c>
      <c r="U1642">
        <v>0</v>
      </c>
      <c r="V1642">
        <v>0</v>
      </c>
      <c r="W1642">
        <v>400013</v>
      </c>
      <c r="X1642" t="s">
        <v>56</v>
      </c>
      <c r="Y1642" t="s">
        <v>57</v>
      </c>
      <c r="AE1642">
        <v>0</v>
      </c>
      <c r="AH1642">
        <v>2.35</v>
      </c>
      <c r="AP1642" t="s">
        <v>232</v>
      </c>
    </row>
    <row r="1643" spans="1:42">
      <c r="A1643" s="1" t="s">
        <v>46</v>
      </c>
      <c r="B1643" s="1" t="s">
        <v>3440</v>
      </c>
      <c r="C1643" s="1" t="s">
        <v>3440</v>
      </c>
      <c r="E1643" s="4" t="s">
        <v>3441</v>
      </c>
      <c r="G1643" s="16">
        <v>4</v>
      </c>
      <c r="I1643">
        <v>1.38</v>
      </c>
      <c r="M1643">
        <v>1</v>
      </c>
      <c r="N1643">
        <v>26</v>
      </c>
      <c r="O1643">
        <v>0</v>
      </c>
      <c r="P1643">
        <v>1.1599999999999999</v>
      </c>
      <c r="Q1643">
        <v>30.22</v>
      </c>
      <c r="R1643" t="s">
        <v>1406</v>
      </c>
      <c r="S1643">
        <v>0</v>
      </c>
      <c r="T1643">
        <v>0</v>
      </c>
      <c r="U1643">
        <v>0</v>
      </c>
      <c r="V1643">
        <v>0</v>
      </c>
      <c r="W1643">
        <v>400013</v>
      </c>
      <c r="X1643" t="s">
        <v>56</v>
      </c>
      <c r="Y1643" t="s">
        <v>57</v>
      </c>
      <c r="AE1643">
        <v>0</v>
      </c>
      <c r="AH1643">
        <v>1.38</v>
      </c>
      <c r="AP1643" t="s">
        <v>232</v>
      </c>
    </row>
    <row r="1644" spans="1:42">
      <c r="A1644" s="1" t="s">
        <v>46</v>
      </c>
      <c r="B1644" s="1" t="s">
        <v>3442</v>
      </c>
      <c r="C1644" s="1" t="s">
        <v>3442</v>
      </c>
      <c r="E1644" s="4" t="s">
        <v>3443</v>
      </c>
      <c r="G1644" s="16">
        <v>4.5</v>
      </c>
      <c r="I1644">
        <v>1.38</v>
      </c>
      <c r="M1644">
        <v>1</v>
      </c>
      <c r="N1644">
        <v>8</v>
      </c>
      <c r="O1644">
        <v>0</v>
      </c>
      <c r="P1644">
        <v>1.21</v>
      </c>
      <c r="Q1644">
        <v>9.67</v>
      </c>
      <c r="R1644" t="s">
        <v>1406</v>
      </c>
      <c r="S1644">
        <v>0</v>
      </c>
      <c r="T1644">
        <v>0</v>
      </c>
      <c r="U1644">
        <v>0</v>
      </c>
      <c r="V1644">
        <v>0</v>
      </c>
      <c r="W1644">
        <v>400013</v>
      </c>
      <c r="AE1644">
        <v>0</v>
      </c>
      <c r="AH1644">
        <v>1.38</v>
      </c>
      <c r="AP1644" t="s">
        <v>232</v>
      </c>
    </row>
    <row r="1645" spans="1:42">
      <c r="A1645" s="1" t="s">
        <v>46</v>
      </c>
      <c r="B1645" s="1" t="s">
        <v>3444</v>
      </c>
      <c r="C1645" s="1" t="s">
        <v>3444</v>
      </c>
      <c r="E1645" s="4" t="s">
        <v>3445</v>
      </c>
      <c r="G1645" s="16">
        <v>5</v>
      </c>
      <c r="M1645">
        <v>1</v>
      </c>
      <c r="N1645">
        <v>282</v>
      </c>
      <c r="O1645">
        <v>0</v>
      </c>
      <c r="P1645">
        <v>3.41</v>
      </c>
      <c r="Q1645">
        <v>962.32</v>
      </c>
      <c r="R1645" t="s">
        <v>1406</v>
      </c>
      <c r="S1645">
        <v>0</v>
      </c>
      <c r="T1645">
        <v>0</v>
      </c>
      <c r="U1645">
        <v>0</v>
      </c>
      <c r="V1645">
        <v>0</v>
      </c>
      <c r="W1645">
        <v>400013</v>
      </c>
      <c r="X1645" t="s">
        <v>56</v>
      </c>
      <c r="Y1645" t="s">
        <v>57</v>
      </c>
      <c r="AE1645">
        <v>0</v>
      </c>
      <c r="AP1645" t="s">
        <v>232</v>
      </c>
    </row>
    <row r="1646" spans="1:42">
      <c r="A1646" s="1" t="s">
        <v>46</v>
      </c>
      <c r="B1646" s="1" t="s">
        <v>3446</v>
      </c>
      <c r="C1646" s="1" t="s">
        <v>3446</v>
      </c>
      <c r="E1646" s="4" t="s">
        <v>3447</v>
      </c>
      <c r="G1646" s="16">
        <v>5</v>
      </c>
      <c r="I1646">
        <v>2.7</v>
      </c>
      <c r="M1646">
        <v>1</v>
      </c>
      <c r="N1646">
        <v>145</v>
      </c>
      <c r="O1646">
        <v>0</v>
      </c>
      <c r="P1646">
        <v>2.12</v>
      </c>
      <c r="Q1646">
        <v>307.76</v>
      </c>
      <c r="R1646" t="s">
        <v>1406</v>
      </c>
      <c r="S1646">
        <v>0</v>
      </c>
      <c r="T1646">
        <v>0</v>
      </c>
      <c r="U1646">
        <v>0</v>
      </c>
      <c r="V1646">
        <v>0</v>
      </c>
      <c r="W1646">
        <v>400013</v>
      </c>
      <c r="X1646" t="s">
        <v>56</v>
      </c>
      <c r="Y1646" t="s">
        <v>57</v>
      </c>
      <c r="AE1646">
        <v>0</v>
      </c>
      <c r="AH1646">
        <v>2.7</v>
      </c>
      <c r="AP1646" t="s">
        <v>232</v>
      </c>
    </row>
    <row r="1647" spans="1:42">
      <c r="A1647" s="1" t="s">
        <v>46</v>
      </c>
      <c r="B1647" s="1" t="s">
        <v>3448</v>
      </c>
      <c r="C1647" s="1" t="s">
        <v>3448</v>
      </c>
      <c r="E1647" s="4" t="s">
        <v>3449</v>
      </c>
      <c r="G1647" s="16">
        <v>5</v>
      </c>
      <c r="M1647">
        <v>1</v>
      </c>
      <c r="N1647">
        <v>13</v>
      </c>
      <c r="O1647">
        <v>0</v>
      </c>
      <c r="P1647">
        <v>1.58</v>
      </c>
      <c r="Q1647">
        <v>20.56</v>
      </c>
      <c r="R1647" t="s">
        <v>2191</v>
      </c>
      <c r="S1647">
        <v>0</v>
      </c>
      <c r="T1647" t="s">
        <v>52</v>
      </c>
      <c r="U1647">
        <v>0</v>
      </c>
      <c r="V1647">
        <v>0</v>
      </c>
      <c r="W1647">
        <v>400013</v>
      </c>
      <c r="X1647" t="s">
        <v>56</v>
      </c>
      <c r="Y1647" t="s">
        <v>57</v>
      </c>
      <c r="AE1647">
        <v>0</v>
      </c>
      <c r="AP1647" t="s">
        <v>232</v>
      </c>
    </row>
    <row r="1648" spans="1:42">
      <c r="A1648" s="1" t="s">
        <v>46</v>
      </c>
      <c r="B1648" s="1" t="s">
        <v>3450</v>
      </c>
      <c r="C1648" s="1" t="s">
        <v>3450</v>
      </c>
      <c r="E1648" s="4" t="s">
        <v>3451</v>
      </c>
      <c r="G1648" s="16">
        <v>5</v>
      </c>
      <c r="M1648">
        <v>1</v>
      </c>
      <c r="N1648">
        <v>337</v>
      </c>
      <c r="O1648">
        <v>0</v>
      </c>
      <c r="P1648">
        <v>9.49</v>
      </c>
      <c r="Q1648">
        <v>3197.29</v>
      </c>
      <c r="R1648" t="s">
        <v>2191</v>
      </c>
      <c r="S1648">
        <v>0</v>
      </c>
      <c r="T1648" t="s">
        <v>209</v>
      </c>
      <c r="U1648">
        <v>0</v>
      </c>
      <c r="V1648">
        <v>0</v>
      </c>
      <c r="W1648">
        <v>400013</v>
      </c>
      <c r="X1648" t="s">
        <v>56</v>
      </c>
      <c r="Y1648" t="s">
        <v>57</v>
      </c>
      <c r="AE1648">
        <v>0</v>
      </c>
      <c r="AP1648" t="s">
        <v>232</v>
      </c>
    </row>
    <row r="1649" spans="1:42">
      <c r="A1649" s="1" t="s">
        <v>46</v>
      </c>
      <c r="B1649" s="1" t="s">
        <v>3452</v>
      </c>
      <c r="C1649" s="1" t="s">
        <v>3452</v>
      </c>
      <c r="E1649" s="4" t="s">
        <v>3453</v>
      </c>
      <c r="G1649" s="16">
        <v>5</v>
      </c>
      <c r="M1649">
        <v>1</v>
      </c>
      <c r="N1649">
        <v>-6</v>
      </c>
      <c r="O1649">
        <v>0</v>
      </c>
      <c r="P1649">
        <v>0.57999999999999996</v>
      </c>
      <c r="Q1649">
        <v>-3.46</v>
      </c>
      <c r="R1649" t="s">
        <v>2191</v>
      </c>
      <c r="S1649">
        <v>0</v>
      </c>
      <c r="T1649" t="s">
        <v>52</v>
      </c>
      <c r="W1649">
        <v>400076</v>
      </c>
      <c r="AE1649">
        <v>0</v>
      </c>
      <c r="AP1649" t="s">
        <v>3454</v>
      </c>
    </row>
    <row r="1650" spans="1:42">
      <c r="A1650" s="1" t="s">
        <v>46</v>
      </c>
      <c r="B1650" s="1" t="s">
        <v>3455</v>
      </c>
      <c r="C1650" s="1" t="s">
        <v>3455</v>
      </c>
      <c r="E1650" s="4" t="s">
        <v>3456</v>
      </c>
      <c r="G1650" s="16">
        <v>5</v>
      </c>
      <c r="M1650">
        <v>1</v>
      </c>
      <c r="N1650">
        <v>-11</v>
      </c>
      <c r="O1650">
        <v>0</v>
      </c>
      <c r="P1650">
        <v>0.56000000000000005</v>
      </c>
      <c r="Q1650">
        <v>-6.18</v>
      </c>
      <c r="R1650" t="s">
        <v>2191</v>
      </c>
      <c r="S1650">
        <v>0</v>
      </c>
      <c r="T1650" t="s">
        <v>52</v>
      </c>
      <c r="U1650">
        <v>0</v>
      </c>
      <c r="V1650">
        <v>0</v>
      </c>
      <c r="W1650">
        <v>400013</v>
      </c>
      <c r="AE1650">
        <v>0</v>
      </c>
      <c r="AP1650" t="s">
        <v>232</v>
      </c>
    </row>
    <row r="1651" spans="1:42">
      <c r="A1651" s="1" t="s">
        <v>46</v>
      </c>
      <c r="B1651" s="1" t="s">
        <v>3457</v>
      </c>
      <c r="C1651" s="1" t="s">
        <v>3457</v>
      </c>
      <c r="E1651" s="4" t="s">
        <v>3458</v>
      </c>
      <c r="G1651" s="16">
        <v>4</v>
      </c>
      <c r="M1651">
        <v>1</v>
      </c>
      <c r="N1651">
        <v>40</v>
      </c>
      <c r="O1651">
        <v>0</v>
      </c>
      <c r="P1651">
        <v>4.75</v>
      </c>
      <c r="Q1651">
        <v>189.81</v>
      </c>
      <c r="R1651" t="s">
        <v>2191</v>
      </c>
      <c r="S1651">
        <v>0</v>
      </c>
      <c r="T1651" t="s">
        <v>209</v>
      </c>
      <c r="U1651">
        <v>0</v>
      </c>
      <c r="V1651">
        <v>0</v>
      </c>
      <c r="W1651">
        <v>400013</v>
      </c>
      <c r="X1651" t="s">
        <v>56</v>
      </c>
      <c r="Y1651" t="s">
        <v>57</v>
      </c>
      <c r="AE1651">
        <v>0</v>
      </c>
      <c r="AP1651" t="s">
        <v>232</v>
      </c>
    </row>
    <row r="1652" spans="1:42">
      <c r="A1652" s="1" t="s">
        <v>46</v>
      </c>
      <c r="B1652" s="1" t="s">
        <v>3459</v>
      </c>
      <c r="C1652" s="1" t="s">
        <v>3459</v>
      </c>
      <c r="E1652" s="4" t="s">
        <v>3460</v>
      </c>
      <c r="G1652" s="16">
        <v>8</v>
      </c>
      <c r="H1652">
        <v>6.7</v>
      </c>
      <c r="I1652">
        <v>5</v>
      </c>
      <c r="M1652">
        <v>1</v>
      </c>
      <c r="N1652">
        <v>4</v>
      </c>
      <c r="O1652">
        <v>0</v>
      </c>
      <c r="P1652">
        <v>20.98</v>
      </c>
      <c r="Q1652">
        <v>83.91</v>
      </c>
      <c r="R1652" t="s">
        <v>1406</v>
      </c>
      <c r="S1652">
        <v>0</v>
      </c>
      <c r="T1652" t="s">
        <v>209</v>
      </c>
      <c r="U1652">
        <v>0</v>
      </c>
      <c r="V1652">
        <v>0</v>
      </c>
      <c r="W1652">
        <v>400013</v>
      </c>
      <c r="X1652" t="s">
        <v>56</v>
      </c>
      <c r="Y1652" t="s">
        <v>57</v>
      </c>
      <c r="AE1652">
        <v>0</v>
      </c>
      <c r="AG1652">
        <v>6.7</v>
      </c>
      <c r="AH1652">
        <v>5</v>
      </c>
      <c r="AP1652" t="s">
        <v>232</v>
      </c>
    </row>
    <row r="1653" spans="1:42">
      <c r="A1653" s="1" t="s">
        <v>46</v>
      </c>
      <c r="B1653" s="1" t="s">
        <v>3461</v>
      </c>
      <c r="C1653" s="1" t="s">
        <v>3461</v>
      </c>
      <c r="E1653" s="4" t="s">
        <v>3462</v>
      </c>
      <c r="G1653" s="16">
        <v>4</v>
      </c>
      <c r="I1653">
        <v>3.8</v>
      </c>
      <c r="M1653">
        <v>1</v>
      </c>
      <c r="N1653">
        <v>-1</v>
      </c>
      <c r="O1653">
        <v>0</v>
      </c>
      <c r="P1653">
        <v>2.5299999999999998</v>
      </c>
      <c r="Q1653">
        <v>-2.5299999999999998</v>
      </c>
      <c r="R1653" t="s">
        <v>1406</v>
      </c>
      <c r="S1653">
        <v>0</v>
      </c>
      <c r="T1653">
        <v>0</v>
      </c>
      <c r="U1653">
        <v>0</v>
      </c>
      <c r="V1653">
        <v>0</v>
      </c>
      <c r="W1653">
        <v>400013</v>
      </c>
      <c r="AE1653">
        <v>0</v>
      </c>
      <c r="AH1653">
        <v>3.8</v>
      </c>
      <c r="AP1653" t="s">
        <v>232</v>
      </c>
    </row>
    <row r="1654" spans="1:42">
      <c r="A1654" s="1" t="s">
        <v>46</v>
      </c>
      <c r="B1654" s="1" t="s">
        <v>3463</v>
      </c>
      <c r="C1654" s="1" t="s">
        <v>3463</v>
      </c>
      <c r="E1654" s="4" t="s">
        <v>3464</v>
      </c>
      <c r="G1654" s="16">
        <v>4.5</v>
      </c>
      <c r="I1654">
        <v>3.8</v>
      </c>
      <c r="M1654">
        <v>1</v>
      </c>
      <c r="N1654">
        <v>11</v>
      </c>
      <c r="O1654">
        <v>0</v>
      </c>
      <c r="P1654">
        <v>3.55</v>
      </c>
      <c r="Q1654">
        <v>39.04</v>
      </c>
      <c r="R1654" t="s">
        <v>1406</v>
      </c>
      <c r="S1654">
        <v>0</v>
      </c>
      <c r="T1654">
        <v>0</v>
      </c>
      <c r="U1654">
        <v>0</v>
      </c>
      <c r="V1654">
        <v>0</v>
      </c>
      <c r="W1654">
        <v>400013</v>
      </c>
      <c r="AE1654">
        <v>0</v>
      </c>
      <c r="AH1654">
        <v>3.8</v>
      </c>
      <c r="AP1654" t="s">
        <v>232</v>
      </c>
    </row>
    <row r="1655" spans="1:42">
      <c r="A1655" s="1" t="s">
        <v>46</v>
      </c>
      <c r="B1655" s="1" t="s">
        <v>3465</v>
      </c>
      <c r="C1655" s="1" t="s">
        <v>3465</v>
      </c>
      <c r="E1655" s="4" t="s">
        <v>3466</v>
      </c>
      <c r="G1655" s="16"/>
      <c r="I1655">
        <v>1.7</v>
      </c>
      <c r="M1655">
        <v>1</v>
      </c>
      <c r="N1655">
        <v>10</v>
      </c>
      <c r="O1655">
        <v>0</v>
      </c>
      <c r="P1655">
        <v>1.47</v>
      </c>
      <c r="Q1655">
        <v>14.72</v>
      </c>
      <c r="R1655" t="s">
        <v>1406</v>
      </c>
      <c r="S1655">
        <v>0</v>
      </c>
      <c r="T1655">
        <v>0</v>
      </c>
      <c r="U1655">
        <v>0</v>
      </c>
      <c r="V1655">
        <v>0</v>
      </c>
      <c r="W1655">
        <v>400013</v>
      </c>
      <c r="AE1655">
        <v>0</v>
      </c>
      <c r="AH1655">
        <v>1.7</v>
      </c>
      <c r="AP1655" t="s">
        <v>232</v>
      </c>
    </row>
    <row r="1656" spans="1:42">
      <c r="A1656" s="1" t="s">
        <v>46</v>
      </c>
      <c r="B1656" s="1" t="s">
        <v>3467</v>
      </c>
      <c r="C1656" s="1" t="s">
        <v>3467</v>
      </c>
      <c r="E1656" s="4" t="s">
        <v>3468</v>
      </c>
      <c r="G1656" s="16"/>
      <c r="I1656">
        <v>1.7</v>
      </c>
      <c r="M1656">
        <v>1</v>
      </c>
      <c r="N1656">
        <v>5</v>
      </c>
      <c r="O1656">
        <v>0</v>
      </c>
      <c r="P1656">
        <v>1.47</v>
      </c>
      <c r="Q1656">
        <v>7.33</v>
      </c>
      <c r="R1656" t="s">
        <v>1406</v>
      </c>
      <c r="S1656">
        <v>0</v>
      </c>
      <c r="T1656">
        <v>0</v>
      </c>
      <c r="U1656">
        <v>0</v>
      </c>
      <c r="V1656">
        <v>0</v>
      </c>
      <c r="W1656">
        <v>400013</v>
      </c>
      <c r="AE1656">
        <v>0</v>
      </c>
      <c r="AH1656">
        <v>1.7</v>
      </c>
      <c r="AP1656" t="s">
        <v>232</v>
      </c>
    </row>
    <row r="1657" spans="1:42">
      <c r="A1657" s="1" t="s">
        <v>46</v>
      </c>
      <c r="B1657" s="1" t="s">
        <v>3469</v>
      </c>
      <c r="C1657" s="1" t="s">
        <v>3469</v>
      </c>
      <c r="E1657" s="4" t="s">
        <v>3470</v>
      </c>
      <c r="G1657" s="16"/>
      <c r="M1657">
        <v>1</v>
      </c>
      <c r="N1657">
        <v>-6</v>
      </c>
      <c r="O1657">
        <v>0</v>
      </c>
      <c r="P1657">
        <v>0.37</v>
      </c>
      <c r="Q1657">
        <v>-2.2000000000000002</v>
      </c>
      <c r="R1657" t="s">
        <v>2191</v>
      </c>
      <c r="S1657">
        <v>0</v>
      </c>
      <c r="T1657" t="s">
        <v>52</v>
      </c>
      <c r="W1657">
        <v>400013</v>
      </c>
      <c r="AE1657">
        <v>0</v>
      </c>
      <c r="AP1657" t="s">
        <v>232</v>
      </c>
    </row>
    <row r="1658" spans="1:42">
      <c r="A1658" s="1" t="s">
        <v>46</v>
      </c>
      <c r="B1658" s="1" t="s">
        <v>3471</v>
      </c>
      <c r="C1658" s="1" t="s">
        <v>3471</v>
      </c>
      <c r="E1658" s="4" t="s">
        <v>3472</v>
      </c>
      <c r="G1658" s="16"/>
      <c r="I1658">
        <v>3.41</v>
      </c>
      <c r="M1658">
        <v>1</v>
      </c>
      <c r="N1658">
        <v>-1</v>
      </c>
      <c r="O1658">
        <v>0</v>
      </c>
      <c r="P1658">
        <v>1.7</v>
      </c>
      <c r="Q1658">
        <v>-1.7</v>
      </c>
      <c r="R1658" t="s">
        <v>2191</v>
      </c>
      <c r="S1658">
        <v>0</v>
      </c>
      <c r="T1658" t="s">
        <v>52</v>
      </c>
      <c r="W1658">
        <v>400013</v>
      </c>
      <c r="AE1658">
        <v>0</v>
      </c>
      <c r="AH1658">
        <v>3.41</v>
      </c>
      <c r="AP1658" t="s">
        <v>232</v>
      </c>
    </row>
    <row r="1659" spans="1:42">
      <c r="A1659" s="1" t="s">
        <v>46</v>
      </c>
      <c r="B1659" s="1" t="s">
        <v>3473</v>
      </c>
      <c r="C1659" s="1" t="s">
        <v>3473</v>
      </c>
      <c r="E1659" s="4" t="s">
        <v>3474</v>
      </c>
      <c r="G1659" s="16"/>
      <c r="I1659">
        <v>3.02</v>
      </c>
      <c r="M1659">
        <v>1</v>
      </c>
      <c r="N1659">
        <v>-1</v>
      </c>
      <c r="O1659">
        <v>0</v>
      </c>
      <c r="P1659">
        <v>6.01</v>
      </c>
      <c r="Q1659">
        <v>-6.01</v>
      </c>
      <c r="R1659" t="s">
        <v>2191</v>
      </c>
      <c r="S1659">
        <v>0</v>
      </c>
      <c r="T1659" t="s">
        <v>52</v>
      </c>
      <c r="W1659">
        <v>400013</v>
      </c>
      <c r="AE1659">
        <v>0</v>
      </c>
      <c r="AH1659">
        <v>3.02</v>
      </c>
      <c r="AP1659" t="s">
        <v>232</v>
      </c>
    </row>
    <row r="1660" spans="1:42">
      <c r="A1660" s="1" t="s">
        <v>46</v>
      </c>
      <c r="B1660" s="1" t="s">
        <v>3475</v>
      </c>
      <c r="C1660" s="1" t="s">
        <v>3475</v>
      </c>
      <c r="E1660" s="4" t="s">
        <v>3476</v>
      </c>
      <c r="G1660" s="16"/>
      <c r="M1660">
        <v>1</v>
      </c>
      <c r="N1660">
        <v>5</v>
      </c>
      <c r="O1660">
        <v>0</v>
      </c>
      <c r="P1660">
        <v>2.58</v>
      </c>
      <c r="Q1660">
        <v>12.9</v>
      </c>
      <c r="R1660" t="s">
        <v>1406</v>
      </c>
      <c r="S1660">
        <v>0</v>
      </c>
      <c r="T1660">
        <v>0</v>
      </c>
      <c r="U1660">
        <v>0</v>
      </c>
      <c r="V1660">
        <v>0</v>
      </c>
      <c r="W1660">
        <v>400013</v>
      </c>
      <c r="AE1660">
        <v>0</v>
      </c>
      <c r="AP1660" t="s">
        <v>232</v>
      </c>
    </row>
    <row r="1661" spans="1:42">
      <c r="A1661" s="1" t="s">
        <v>46</v>
      </c>
      <c r="B1661" s="1" t="s">
        <v>3477</v>
      </c>
      <c r="C1661" s="1" t="s">
        <v>3477</v>
      </c>
      <c r="E1661" s="4" t="s">
        <v>3478</v>
      </c>
      <c r="G1661" s="16"/>
      <c r="I1661">
        <v>3.14</v>
      </c>
      <c r="M1661">
        <v>1</v>
      </c>
      <c r="N1661">
        <v>80</v>
      </c>
      <c r="O1661">
        <v>0</v>
      </c>
      <c r="P1661">
        <v>16.73</v>
      </c>
      <c r="Q1661">
        <v>1338.6</v>
      </c>
      <c r="R1661" t="s">
        <v>2191</v>
      </c>
      <c r="S1661">
        <v>0</v>
      </c>
      <c r="T1661" t="s">
        <v>209</v>
      </c>
      <c r="U1661">
        <v>0</v>
      </c>
      <c r="V1661">
        <v>0</v>
      </c>
      <c r="W1661">
        <v>400013</v>
      </c>
      <c r="X1661" t="s">
        <v>56</v>
      </c>
      <c r="Y1661" t="s">
        <v>57</v>
      </c>
      <c r="AE1661">
        <v>0</v>
      </c>
      <c r="AH1661">
        <v>3.14</v>
      </c>
      <c r="AP1661" t="s">
        <v>232</v>
      </c>
    </row>
    <row r="1662" spans="1:42">
      <c r="A1662" s="1" t="s">
        <v>46</v>
      </c>
      <c r="B1662" s="1" t="s">
        <v>3479</v>
      </c>
      <c r="C1662" s="1" t="s">
        <v>3479</v>
      </c>
      <c r="E1662" s="4" t="s">
        <v>3480</v>
      </c>
      <c r="G1662" s="16"/>
      <c r="I1662">
        <v>2.75</v>
      </c>
      <c r="M1662">
        <v>1</v>
      </c>
      <c r="N1662">
        <v>10</v>
      </c>
      <c r="O1662">
        <v>0</v>
      </c>
      <c r="P1662">
        <v>2.08</v>
      </c>
      <c r="Q1662">
        <v>20.78</v>
      </c>
      <c r="R1662" t="s">
        <v>2191</v>
      </c>
      <c r="S1662">
        <v>0</v>
      </c>
      <c r="T1662" t="s">
        <v>52</v>
      </c>
      <c r="U1662">
        <v>0</v>
      </c>
      <c r="V1662">
        <v>0</v>
      </c>
      <c r="W1662">
        <v>400013</v>
      </c>
      <c r="AE1662">
        <v>0</v>
      </c>
      <c r="AH1662">
        <v>2.75</v>
      </c>
      <c r="AP1662" t="s">
        <v>232</v>
      </c>
    </row>
    <row r="1663" spans="1:42">
      <c r="A1663" s="1" t="s">
        <v>46</v>
      </c>
      <c r="B1663" s="1" t="s">
        <v>3481</v>
      </c>
      <c r="C1663" s="1" t="s">
        <v>3481</v>
      </c>
      <c r="E1663" s="4" t="s">
        <v>3482</v>
      </c>
      <c r="G1663" s="16"/>
      <c r="M1663">
        <v>1</v>
      </c>
      <c r="N1663">
        <v>128</v>
      </c>
      <c r="O1663">
        <v>0</v>
      </c>
      <c r="P1663">
        <v>0.92</v>
      </c>
      <c r="Q1663">
        <v>117.12</v>
      </c>
      <c r="R1663" t="s">
        <v>556</v>
      </c>
      <c r="S1663">
        <v>0</v>
      </c>
      <c r="T1663" t="s">
        <v>52</v>
      </c>
      <c r="U1663">
        <v>0</v>
      </c>
      <c r="V1663">
        <v>0</v>
      </c>
      <c r="W1663">
        <v>400013</v>
      </c>
      <c r="X1663" t="s">
        <v>56</v>
      </c>
      <c r="Y1663" t="s">
        <v>57</v>
      </c>
      <c r="AE1663">
        <v>0</v>
      </c>
      <c r="AP1663" t="s">
        <v>232</v>
      </c>
    </row>
    <row r="1664" spans="1:42">
      <c r="A1664" s="1" t="s">
        <v>46</v>
      </c>
      <c r="B1664" s="1" t="s">
        <v>3483</v>
      </c>
      <c r="C1664" s="1" t="s">
        <v>3483</v>
      </c>
      <c r="E1664" s="4" t="s">
        <v>3484</v>
      </c>
      <c r="G1664" s="16"/>
      <c r="I1664">
        <v>11.6</v>
      </c>
      <c r="M1664">
        <v>1</v>
      </c>
      <c r="N1664">
        <v>1</v>
      </c>
      <c r="O1664">
        <v>0</v>
      </c>
      <c r="P1664">
        <v>7.66</v>
      </c>
      <c r="Q1664">
        <v>7.66</v>
      </c>
      <c r="R1664" t="s">
        <v>1406</v>
      </c>
      <c r="S1664">
        <v>0</v>
      </c>
      <c r="T1664">
        <v>0</v>
      </c>
      <c r="U1664">
        <v>0</v>
      </c>
      <c r="V1664">
        <v>0</v>
      </c>
      <c r="W1664">
        <v>400013</v>
      </c>
      <c r="AE1664">
        <v>0</v>
      </c>
      <c r="AH1664">
        <v>11.6</v>
      </c>
      <c r="AP1664" t="s">
        <v>232</v>
      </c>
    </row>
    <row r="1665" spans="1:42">
      <c r="A1665" s="1" t="s">
        <v>46</v>
      </c>
      <c r="B1665" s="1" t="s">
        <v>3485</v>
      </c>
      <c r="C1665" s="1" t="s">
        <v>3485</v>
      </c>
      <c r="E1665" s="4" t="s">
        <v>3486</v>
      </c>
      <c r="G1665" s="16"/>
      <c r="I1665">
        <v>6.85</v>
      </c>
      <c r="M1665">
        <v>1</v>
      </c>
      <c r="N1665">
        <v>10</v>
      </c>
      <c r="O1665">
        <v>0</v>
      </c>
      <c r="P1665">
        <v>43.38</v>
      </c>
      <c r="Q1665">
        <v>433.76</v>
      </c>
      <c r="R1665" t="s">
        <v>1406</v>
      </c>
      <c r="S1665">
        <v>0</v>
      </c>
      <c r="T1665" t="s">
        <v>209</v>
      </c>
      <c r="U1665">
        <v>0</v>
      </c>
      <c r="V1665">
        <v>0</v>
      </c>
      <c r="W1665">
        <v>400013</v>
      </c>
      <c r="AE1665">
        <v>0</v>
      </c>
      <c r="AH1665">
        <v>6.85</v>
      </c>
      <c r="AP1665" t="s">
        <v>232</v>
      </c>
    </row>
    <row r="1666" spans="1:42">
      <c r="A1666" s="1" t="s">
        <v>46</v>
      </c>
      <c r="B1666" s="1" t="s">
        <v>3487</v>
      </c>
      <c r="C1666" s="1" t="s">
        <v>3487</v>
      </c>
      <c r="E1666" s="4" t="s">
        <v>3488</v>
      </c>
      <c r="G1666" s="16"/>
      <c r="I1666">
        <v>11</v>
      </c>
      <c r="M1666">
        <v>1</v>
      </c>
      <c r="N1666">
        <v>3</v>
      </c>
      <c r="O1666">
        <v>0</v>
      </c>
      <c r="P1666">
        <v>8.5299999999999994</v>
      </c>
      <c r="Q1666">
        <v>25.6</v>
      </c>
      <c r="R1666" t="s">
        <v>1406</v>
      </c>
      <c r="S1666">
        <v>0</v>
      </c>
      <c r="T1666">
        <v>0</v>
      </c>
      <c r="U1666">
        <v>0</v>
      </c>
      <c r="V1666">
        <v>0</v>
      </c>
      <c r="W1666">
        <v>400013</v>
      </c>
      <c r="AE1666">
        <v>0</v>
      </c>
      <c r="AH1666">
        <v>11</v>
      </c>
      <c r="AP1666" t="s">
        <v>232</v>
      </c>
    </row>
    <row r="1667" spans="1:42">
      <c r="A1667" s="1" t="s">
        <v>46</v>
      </c>
      <c r="B1667" s="1" t="s">
        <v>3489</v>
      </c>
      <c r="C1667" s="1" t="s">
        <v>3489</v>
      </c>
      <c r="E1667" s="4" t="s">
        <v>3490</v>
      </c>
      <c r="G1667" s="16"/>
      <c r="I1667">
        <v>3.41</v>
      </c>
      <c r="M1667">
        <v>1</v>
      </c>
      <c r="N1667">
        <v>1</v>
      </c>
      <c r="O1667">
        <v>0</v>
      </c>
      <c r="P1667">
        <v>2.78</v>
      </c>
      <c r="Q1667">
        <v>2.78</v>
      </c>
      <c r="R1667" t="s">
        <v>1406</v>
      </c>
      <c r="S1667">
        <v>0</v>
      </c>
      <c r="T1667">
        <v>0</v>
      </c>
      <c r="U1667">
        <v>0</v>
      </c>
      <c r="V1667">
        <v>0</v>
      </c>
      <c r="W1667">
        <v>400013</v>
      </c>
      <c r="AE1667">
        <v>0</v>
      </c>
      <c r="AH1667">
        <v>3.41</v>
      </c>
      <c r="AP1667" t="s">
        <v>232</v>
      </c>
    </row>
    <row r="1668" spans="1:42">
      <c r="A1668" s="1" t="s">
        <v>46</v>
      </c>
      <c r="B1668" s="1" t="s">
        <v>3491</v>
      </c>
      <c r="C1668" s="1" t="s">
        <v>3491</v>
      </c>
      <c r="E1668" s="4" t="s">
        <v>3492</v>
      </c>
      <c r="G1668" s="16"/>
      <c r="I1668">
        <v>5.0599999999999996</v>
      </c>
      <c r="M1668">
        <v>1</v>
      </c>
      <c r="N1668">
        <v>152</v>
      </c>
      <c r="O1668">
        <v>0</v>
      </c>
      <c r="P1668">
        <v>4</v>
      </c>
      <c r="Q1668">
        <v>607.39</v>
      </c>
      <c r="R1668" t="s">
        <v>1406</v>
      </c>
      <c r="S1668">
        <v>0</v>
      </c>
      <c r="T1668" t="s">
        <v>52</v>
      </c>
      <c r="U1668">
        <v>0</v>
      </c>
      <c r="V1668">
        <v>0</v>
      </c>
      <c r="W1668">
        <v>400214</v>
      </c>
      <c r="X1668" t="s">
        <v>56</v>
      </c>
      <c r="Y1668" t="s">
        <v>57</v>
      </c>
      <c r="AE1668">
        <v>0</v>
      </c>
      <c r="AH1668">
        <v>5.0599999999999996</v>
      </c>
      <c r="AP1668" t="s">
        <v>689</v>
      </c>
    </row>
    <row r="1669" spans="1:42">
      <c r="A1669" s="1" t="s">
        <v>46</v>
      </c>
      <c r="B1669" s="1" t="s">
        <v>3493</v>
      </c>
      <c r="C1669" s="1" t="s">
        <v>3493</v>
      </c>
      <c r="E1669" s="4" t="s">
        <v>3494</v>
      </c>
      <c r="G1669" s="16"/>
      <c r="M1669">
        <v>1</v>
      </c>
      <c r="N1669">
        <v>13</v>
      </c>
      <c r="O1669">
        <v>0</v>
      </c>
      <c r="P1669">
        <v>3.83</v>
      </c>
      <c r="Q1669">
        <v>49.78</v>
      </c>
      <c r="R1669" t="s">
        <v>579</v>
      </c>
      <c r="S1669">
        <v>0</v>
      </c>
      <c r="T1669" t="s">
        <v>52</v>
      </c>
      <c r="U1669">
        <v>0</v>
      </c>
      <c r="V1669">
        <v>0</v>
      </c>
      <c r="W1669">
        <v>400013</v>
      </c>
      <c r="X1669" t="s">
        <v>56</v>
      </c>
      <c r="Y1669" t="s">
        <v>57</v>
      </c>
      <c r="AE1669">
        <v>0</v>
      </c>
      <c r="AP1669" t="s">
        <v>232</v>
      </c>
    </row>
    <row r="1670" spans="1:42">
      <c r="A1670" s="1" t="s">
        <v>46</v>
      </c>
      <c r="B1670" s="1" t="s">
        <v>3495</v>
      </c>
      <c r="C1670" s="1" t="s">
        <v>3495</v>
      </c>
      <c r="E1670" s="4" t="s">
        <v>3496</v>
      </c>
      <c r="G1670" s="16"/>
      <c r="M1670">
        <v>1</v>
      </c>
      <c r="N1670">
        <v>24</v>
      </c>
      <c r="O1670">
        <v>0</v>
      </c>
      <c r="P1670">
        <v>1.75</v>
      </c>
      <c r="Q1670">
        <v>41.94</v>
      </c>
      <c r="R1670" t="s">
        <v>1406</v>
      </c>
      <c r="S1670">
        <v>0</v>
      </c>
      <c r="T1670">
        <v>0</v>
      </c>
      <c r="U1670">
        <v>0</v>
      </c>
      <c r="V1670">
        <v>0</v>
      </c>
      <c r="W1670">
        <v>400013</v>
      </c>
      <c r="X1670" t="s">
        <v>56</v>
      </c>
      <c r="Y1670" t="s">
        <v>57</v>
      </c>
      <c r="AE1670">
        <v>0</v>
      </c>
      <c r="AP1670" t="s">
        <v>232</v>
      </c>
    </row>
    <row r="1671" spans="1:42">
      <c r="A1671" s="1" t="s">
        <v>46</v>
      </c>
      <c r="B1671" s="1" t="s">
        <v>3497</v>
      </c>
      <c r="C1671" s="1" t="s">
        <v>3497</v>
      </c>
      <c r="E1671" s="4" t="s">
        <v>3498</v>
      </c>
      <c r="G1671" s="16"/>
      <c r="M1671">
        <v>1</v>
      </c>
      <c r="N1671">
        <v>31</v>
      </c>
      <c r="O1671">
        <v>0</v>
      </c>
      <c r="P1671">
        <v>2.25</v>
      </c>
      <c r="Q1671">
        <v>69.680000000000007</v>
      </c>
      <c r="W1671">
        <v>400013</v>
      </c>
      <c r="AE1671">
        <v>0</v>
      </c>
      <c r="AP1671" t="s">
        <v>232</v>
      </c>
    </row>
    <row r="1672" spans="1:42">
      <c r="A1672" s="1" t="s">
        <v>46</v>
      </c>
      <c r="B1672" s="1" t="s">
        <v>3499</v>
      </c>
      <c r="C1672" s="1" t="s">
        <v>3499</v>
      </c>
      <c r="E1672" s="4" t="s">
        <v>3500</v>
      </c>
      <c r="G1672" s="16"/>
      <c r="M1672">
        <v>1</v>
      </c>
      <c r="N1672">
        <v>4</v>
      </c>
      <c r="O1672">
        <v>0</v>
      </c>
      <c r="P1672">
        <v>2.25</v>
      </c>
      <c r="Q1672">
        <v>8.99</v>
      </c>
      <c r="R1672" t="s">
        <v>1406</v>
      </c>
      <c r="S1672">
        <v>0</v>
      </c>
      <c r="T1672" t="s">
        <v>52</v>
      </c>
      <c r="U1672">
        <v>0</v>
      </c>
      <c r="V1672">
        <v>0</v>
      </c>
      <c r="W1672">
        <v>400013</v>
      </c>
      <c r="X1672" t="s">
        <v>56</v>
      </c>
      <c r="Y1672" t="s">
        <v>57</v>
      </c>
      <c r="AE1672">
        <v>0</v>
      </c>
      <c r="AP1672" t="s">
        <v>232</v>
      </c>
    </row>
    <row r="1673" spans="1:42">
      <c r="A1673" s="1" t="s">
        <v>46</v>
      </c>
      <c r="B1673" s="1" t="s">
        <v>3501</v>
      </c>
      <c r="C1673" s="1" t="s">
        <v>3501</v>
      </c>
      <c r="E1673" s="4" t="s">
        <v>3502</v>
      </c>
      <c r="G1673" s="16">
        <v>1</v>
      </c>
      <c r="M1673">
        <v>1</v>
      </c>
      <c r="N1673">
        <v>58</v>
      </c>
      <c r="O1673">
        <v>0</v>
      </c>
      <c r="P1673">
        <v>3.5</v>
      </c>
      <c r="Q1673">
        <v>202.71</v>
      </c>
      <c r="R1673" t="s">
        <v>1406</v>
      </c>
      <c r="S1673">
        <v>0</v>
      </c>
      <c r="T1673">
        <v>0</v>
      </c>
      <c r="U1673">
        <v>0</v>
      </c>
      <c r="V1673">
        <v>0</v>
      </c>
      <c r="W1673">
        <v>400013</v>
      </c>
      <c r="X1673" t="s">
        <v>56</v>
      </c>
      <c r="Y1673" t="s">
        <v>57</v>
      </c>
      <c r="AE1673">
        <v>0</v>
      </c>
      <c r="AP1673" t="s">
        <v>232</v>
      </c>
    </row>
    <row r="1674" spans="1:42">
      <c r="A1674" s="1" t="s">
        <v>46</v>
      </c>
      <c r="B1674" s="1" t="s">
        <v>3503</v>
      </c>
      <c r="C1674" s="1" t="s">
        <v>3503</v>
      </c>
      <c r="E1674" s="4" t="s">
        <v>3504</v>
      </c>
      <c r="G1674" s="16">
        <v>2.5</v>
      </c>
      <c r="M1674">
        <v>1</v>
      </c>
      <c r="N1674">
        <v>-38</v>
      </c>
      <c r="O1674">
        <v>0</v>
      </c>
      <c r="P1674">
        <v>0.57999999999999996</v>
      </c>
      <c r="Q1674">
        <v>-22.14</v>
      </c>
      <c r="R1674" t="s">
        <v>556</v>
      </c>
      <c r="S1674">
        <v>0</v>
      </c>
      <c r="T1674" t="s">
        <v>52</v>
      </c>
      <c r="U1674">
        <v>0</v>
      </c>
      <c r="V1674">
        <v>0</v>
      </c>
      <c r="W1674">
        <v>400013</v>
      </c>
      <c r="AE1674">
        <v>0</v>
      </c>
      <c r="AP1674" t="s">
        <v>232</v>
      </c>
    </row>
    <row r="1675" spans="1:42">
      <c r="A1675" s="1" t="s">
        <v>46</v>
      </c>
      <c r="B1675" s="1" t="s">
        <v>3505</v>
      </c>
      <c r="C1675" s="1" t="s">
        <v>3505</v>
      </c>
      <c r="E1675" s="4" t="s">
        <v>3506</v>
      </c>
      <c r="G1675" s="16">
        <v>1.5</v>
      </c>
      <c r="M1675">
        <v>1</v>
      </c>
      <c r="N1675">
        <v>159</v>
      </c>
      <c r="O1675">
        <v>0</v>
      </c>
      <c r="P1675">
        <v>1.08</v>
      </c>
      <c r="Q1675">
        <v>171.72</v>
      </c>
      <c r="R1675" t="s">
        <v>1406</v>
      </c>
      <c r="S1675">
        <v>0</v>
      </c>
      <c r="T1675">
        <v>0</v>
      </c>
      <c r="U1675">
        <v>0</v>
      </c>
      <c r="V1675">
        <v>0</v>
      </c>
      <c r="W1675">
        <v>400214</v>
      </c>
      <c r="X1675" t="s">
        <v>56</v>
      </c>
      <c r="Y1675" t="s">
        <v>57</v>
      </c>
      <c r="AE1675">
        <v>0</v>
      </c>
      <c r="AP1675" t="s">
        <v>689</v>
      </c>
    </row>
    <row r="1676" spans="1:42">
      <c r="A1676" s="1" t="s">
        <v>46</v>
      </c>
      <c r="B1676" s="1" t="s">
        <v>3507</v>
      </c>
      <c r="C1676" s="1" t="s">
        <v>3507</v>
      </c>
      <c r="E1676" s="4" t="s">
        <v>3508</v>
      </c>
      <c r="G1676" s="16">
        <v>0.5</v>
      </c>
      <c r="M1676">
        <v>1</v>
      </c>
      <c r="N1676">
        <v>30</v>
      </c>
      <c r="O1676">
        <v>0</v>
      </c>
      <c r="P1676">
        <v>0.46</v>
      </c>
      <c r="Q1676">
        <v>13.73</v>
      </c>
      <c r="W1676">
        <v>400013</v>
      </c>
      <c r="AE1676">
        <v>0</v>
      </c>
      <c r="AP1676" t="s">
        <v>232</v>
      </c>
    </row>
    <row r="1677" spans="1:42">
      <c r="A1677" s="1" t="s">
        <v>46</v>
      </c>
      <c r="B1677" s="1" t="s">
        <v>3509</v>
      </c>
      <c r="C1677" s="1" t="s">
        <v>3509</v>
      </c>
      <c r="E1677" s="4" t="s">
        <v>3510</v>
      </c>
      <c r="G1677" s="16">
        <v>0.5</v>
      </c>
      <c r="M1677">
        <v>1</v>
      </c>
      <c r="N1677">
        <v>9</v>
      </c>
      <c r="O1677">
        <v>0</v>
      </c>
      <c r="P1677">
        <v>1.58</v>
      </c>
      <c r="Q1677">
        <v>14.24</v>
      </c>
      <c r="R1677" t="s">
        <v>574</v>
      </c>
      <c r="S1677">
        <v>0</v>
      </c>
      <c r="T1677" t="s">
        <v>52</v>
      </c>
      <c r="U1677">
        <v>0</v>
      </c>
      <c r="V1677">
        <v>0</v>
      </c>
      <c r="W1677">
        <v>400013</v>
      </c>
      <c r="AE1677">
        <v>0</v>
      </c>
      <c r="AP1677" t="s">
        <v>232</v>
      </c>
    </row>
    <row r="1678" spans="1:42">
      <c r="A1678" s="1" t="s">
        <v>46</v>
      </c>
      <c r="B1678" s="1" t="s">
        <v>3511</v>
      </c>
      <c r="C1678" s="1" t="s">
        <v>3511</v>
      </c>
      <c r="E1678" s="4" t="s">
        <v>3512</v>
      </c>
      <c r="G1678" s="16">
        <v>45</v>
      </c>
      <c r="M1678">
        <v>1</v>
      </c>
      <c r="N1678">
        <v>30</v>
      </c>
      <c r="O1678">
        <v>0</v>
      </c>
      <c r="P1678">
        <v>0.74</v>
      </c>
      <c r="Q1678">
        <v>22.28</v>
      </c>
      <c r="R1678" t="s">
        <v>1406</v>
      </c>
      <c r="S1678">
        <v>0</v>
      </c>
      <c r="T1678">
        <v>0</v>
      </c>
      <c r="U1678">
        <v>0</v>
      </c>
      <c r="V1678">
        <v>0</v>
      </c>
      <c r="W1678">
        <v>400013</v>
      </c>
      <c r="AE1678">
        <v>0</v>
      </c>
      <c r="AP1678" t="s">
        <v>232</v>
      </c>
    </row>
    <row r="1679" spans="1:42">
      <c r="A1679" s="1" t="s">
        <v>46</v>
      </c>
      <c r="B1679" s="1" t="s">
        <v>3513</v>
      </c>
      <c r="C1679" s="1" t="s">
        <v>3513</v>
      </c>
      <c r="E1679" s="4" t="s">
        <v>3514</v>
      </c>
      <c r="G1679" s="16"/>
      <c r="M1679">
        <v>1</v>
      </c>
      <c r="N1679">
        <v>39</v>
      </c>
      <c r="O1679">
        <v>0</v>
      </c>
      <c r="P1679">
        <v>1.29</v>
      </c>
      <c r="Q1679">
        <v>50.31</v>
      </c>
      <c r="R1679" t="s">
        <v>1406</v>
      </c>
      <c r="S1679">
        <v>0</v>
      </c>
      <c r="T1679">
        <v>0</v>
      </c>
      <c r="U1679">
        <v>0</v>
      </c>
      <c r="V1679">
        <v>0</v>
      </c>
      <c r="W1679">
        <v>400013</v>
      </c>
      <c r="AE1679">
        <v>0</v>
      </c>
      <c r="AP1679" t="s">
        <v>232</v>
      </c>
    </row>
    <row r="1680" spans="1:42">
      <c r="A1680" s="1" t="s">
        <v>46</v>
      </c>
      <c r="B1680" s="1" t="s">
        <v>3515</v>
      </c>
      <c r="C1680" s="1" t="s">
        <v>3515</v>
      </c>
      <c r="E1680" s="4" t="s">
        <v>3516</v>
      </c>
      <c r="G1680" s="16">
        <v>35</v>
      </c>
      <c r="M1680">
        <v>1</v>
      </c>
      <c r="N1680">
        <v>9</v>
      </c>
      <c r="O1680">
        <v>0</v>
      </c>
      <c r="P1680">
        <v>1.64</v>
      </c>
      <c r="Q1680">
        <v>14.8</v>
      </c>
      <c r="R1680" t="s">
        <v>1406</v>
      </c>
      <c r="S1680">
        <v>0</v>
      </c>
      <c r="T1680">
        <v>0</v>
      </c>
      <c r="U1680">
        <v>0</v>
      </c>
      <c r="V1680">
        <v>0</v>
      </c>
      <c r="W1680">
        <v>400013</v>
      </c>
      <c r="AE1680">
        <v>0</v>
      </c>
      <c r="AP1680" t="s">
        <v>232</v>
      </c>
    </row>
    <row r="1681" spans="1:42">
      <c r="A1681" s="1" t="s">
        <v>46</v>
      </c>
      <c r="B1681" s="1" t="s">
        <v>3517</v>
      </c>
      <c r="C1681" s="1" t="s">
        <v>3517</v>
      </c>
      <c r="E1681" s="4" t="s">
        <v>3518</v>
      </c>
      <c r="G1681" s="16"/>
      <c r="M1681">
        <v>1</v>
      </c>
      <c r="N1681">
        <v>48</v>
      </c>
      <c r="O1681">
        <v>0</v>
      </c>
      <c r="P1681">
        <v>0.57999999999999996</v>
      </c>
      <c r="Q1681">
        <v>27.97</v>
      </c>
      <c r="R1681" t="s">
        <v>556</v>
      </c>
      <c r="S1681">
        <v>0</v>
      </c>
      <c r="T1681" t="s">
        <v>52</v>
      </c>
      <c r="U1681">
        <v>0</v>
      </c>
      <c r="V1681">
        <v>0</v>
      </c>
      <c r="W1681">
        <v>400013</v>
      </c>
      <c r="X1681" t="s">
        <v>56</v>
      </c>
      <c r="Y1681" t="s">
        <v>57</v>
      </c>
      <c r="AE1681">
        <v>0</v>
      </c>
      <c r="AP1681" t="s">
        <v>232</v>
      </c>
    </row>
    <row r="1682" spans="1:42">
      <c r="A1682" s="1" t="s">
        <v>46</v>
      </c>
      <c r="B1682" s="1" t="s">
        <v>3519</v>
      </c>
      <c r="C1682" s="1" t="s">
        <v>3519</v>
      </c>
      <c r="E1682" s="4" t="s">
        <v>3520</v>
      </c>
      <c r="G1682" s="16"/>
      <c r="M1682">
        <v>1</v>
      </c>
      <c r="N1682">
        <v>83</v>
      </c>
      <c r="O1682">
        <v>0</v>
      </c>
      <c r="P1682">
        <v>0.5</v>
      </c>
      <c r="Q1682">
        <v>41.46</v>
      </c>
      <c r="R1682" t="s">
        <v>1406</v>
      </c>
      <c r="S1682">
        <v>0</v>
      </c>
      <c r="T1682">
        <v>0</v>
      </c>
      <c r="U1682">
        <v>0</v>
      </c>
      <c r="V1682">
        <v>0</v>
      </c>
      <c r="W1682">
        <v>400013</v>
      </c>
      <c r="AE1682">
        <v>0</v>
      </c>
      <c r="AP1682" t="s">
        <v>232</v>
      </c>
    </row>
    <row r="1683" spans="1:42">
      <c r="A1683" s="1" t="s">
        <v>46</v>
      </c>
      <c r="B1683" s="1" t="s">
        <v>3521</v>
      </c>
      <c r="C1683" s="1" t="s">
        <v>3521</v>
      </c>
      <c r="E1683" s="4" t="s">
        <v>3522</v>
      </c>
      <c r="G1683" s="16"/>
      <c r="M1683">
        <v>1</v>
      </c>
      <c r="N1683">
        <v>8</v>
      </c>
      <c r="O1683">
        <v>0</v>
      </c>
      <c r="P1683">
        <v>0.83</v>
      </c>
      <c r="Q1683">
        <v>6.66</v>
      </c>
      <c r="R1683" t="s">
        <v>1406</v>
      </c>
      <c r="S1683">
        <v>0</v>
      </c>
      <c r="T1683">
        <v>0</v>
      </c>
      <c r="U1683">
        <v>0</v>
      </c>
      <c r="V1683">
        <v>0</v>
      </c>
      <c r="W1683">
        <v>400013</v>
      </c>
      <c r="AE1683">
        <v>0</v>
      </c>
      <c r="AP1683" t="s">
        <v>232</v>
      </c>
    </row>
    <row r="1684" spans="1:42">
      <c r="A1684" s="1" t="s">
        <v>46</v>
      </c>
      <c r="B1684" s="1" t="s">
        <v>3523</v>
      </c>
      <c r="C1684" s="1" t="s">
        <v>3523</v>
      </c>
      <c r="E1684" s="4" t="s">
        <v>3524</v>
      </c>
      <c r="G1684" s="16"/>
      <c r="M1684">
        <v>1</v>
      </c>
      <c r="N1684">
        <v>3</v>
      </c>
      <c r="O1684">
        <v>0</v>
      </c>
      <c r="P1684">
        <v>199.58</v>
      </c>
      <c r="Q1684">
        <v>598.74</v>
      </c>
      <c r="R1684" t="s">
        <v>1147</v>
      </c>
      <c r="S1684">
        <v>0</v>
      </c>
      <c r="T1684" t="s">
        <v>52</v>
      </c>
      <c r="U1684">
        <v>0</v>
      </c>
      <c r="V1684">
        <v>0</v>
      </c>
      <c r="W1684">
        <v>400046</v>
      </c>
      <c r="AE1684">
        <v>0</v>
      </c>
      <c r="AP1684" t="s">
        <v>407</v>
      </c>
    </row>
    <row r="1685" spans="1:42">
      <c r="A1685" s="1" t="s">
        <v>46</v>
      </c>
      <c r="B1685" s="1" t="s">
        <v>3525</v>
      </c>
      <c r="C1685" s="1" t="s">
        <v>3525</v>
      </c>
      <c r="E1685" s="4" t="s">
        <v>3526</v>
      </c>
      <c r="G1685" s="16"/>
      <c r="M1685">
        <v>1</v>
      </c>
      <c r="N1685">
        <v>8</v>
      </c>
      <c r="O1685">
        <v>0</v>
      </c>
      <c r="P1685">
        <v>14</v>
      </c>
      <c r="Q1685">
        <v>111.99</v>
      </c>
      <c r="R1685">
        <v>0</v>
      </c>
      <c r="S1685">
        <v>0</v>
      </c>
      <c r="T1685" t="s">
        <v>17</v>
      </c>
      <c r="U1685">
        <v>0</v>
      </c>
      <c r="V1685">
        <v>0</v>
      </c>
      <c r="W1685">
        <v>400046</v>
      </c>
      <c r="X1685" t="s">
        <v>56</v>
      </c>
      <c r="Y1685" t="s">
        <v>57</v>
      </c>
      <c r="AE1685">
        <v>0</v>
      </c>
      <c r="AP1685" t="s">
        <v>407</v>
      </c>
    </row>
    <row r="1686" spans="1:42">
      <c r="A1686" s="1" t="s">
        <v>46</v>
      </c>
      <c r="B1686" s="1" t="s">
        <v>3527</v>
      </c>
      <c r="C1686" s="1" t="s">
        <v>3527</v>
      </c>
      <c r="E1686" s="4" t="s">
        <v>3528</v>
      </c>
      <c r="G1686" s="16"/>
      <c r="M1686">
        <v>1</v>
      </c>
      <c r="N1686">
        <v>16</v>
      </c>
      <c r="O1686">
        <v>0</v>
      </c>
      <c r="P1686">
        <v>42.71</v>
      </c>
      <c r="Q1686">
        <v>683.31</v>
      </c>
      <c r="R1686" t="s">
        <v>1147</v>
      </c>
      <c r="S1686">
        <v>0</v>
      </c>
      <c r="T1686" t="s">
        <v>52</v>
      </c>
      <c r="W1686">
        <v>400046</v>
      </c>
      <c r="AE1686">
        <v>0</v>
      </c>
      <c r="AP1686" t="s">
        <v>407</v>
      </c>
    </row>
    <row r="1687" spans="1:42">
      <c r="A1687" s="1" t="s">
        <v>46</v>
      </c>
      <c r="B1687" s="1" t="s">
        <v>3529</v>
      </c>
      <c r="C1687" s="1" t="s">
        <v>3529</v>
      </c>
      <c r="E1687" s="4" t="s">
        <v>3530</v>
      </c>
      <c r="G1687" s="16"/>
      <c r="M1687">
        <v>1</v>
      </c>
      <c r="N1687">
        <v>10</v>
      </c>
      <c r="O1687">
        <v>0</v>
      </c>
      <c r="P1687">
        <v>168.99</v>
      </c>
      <c r="Q1687">
        <v>1689.9</v>
      </c>
      <c r="R1687" t="s">
        <v>1147</v>
      </c>
      <c r="S1687">
        <v>0</v>
      </c>
      <c r="T1687" t="s">
        <v>52</v>
      </c>
      <c r="U1687">
        <v>0</v>
      </c>
      <c r="V1687">
        <v>0</v>
      </c>
      <c r="W1687">
        <v>400046</v>
      </c>
      <c r="AE1687">
        <v>0</v>
      </c>
      <c r="AP1687" t="s">
        <v>407</v>
      </c>
    </row>
    <row r="1688" spans="1:42">
      <c r="A1688" s="1" t="s">
        <v>46</v>
      </c>
      <c r="B1688" s="1" t="s">
        <v>3531</v>
      </c>
      <c r="C1688" s="1" t="s">
        <v>3531</v>
      </c>
      <c r="E1688" s="4" t="s">
        <v>3532</v>
      </c>
      <c r="G1688" s="16"/>
      <c r="M1688">
        <v>1</v>
      </c>
      <c r="N1688">
        <v>22</v>
      </c>
      <c r="O1688">
        <v>0</v>
      </c>
      <c r="P1688">
        <v>14.76</v>
      </c>
      <c r="Q1688">
        <v>324.72000000000003</v>
      </c>
      <c r="W1688">
        <v>400046</v>
      </c>
      <c r="AE1688">
        <v>0</v>
      </c>
      <c r="AP1688" t="s">
        <v>407</v>
      </c>
    </row>
    <row r="1689" spans="1:42">
      <c r="A1689" s="1" t="s">
        <v>46</v>
      </c>
      <c r="B1689" s="1" t="s">
        <v>3533</v>
      </c>
      <c r="C1689" s="1" t="s">
        <v>3533</v>
      </c>
      <c r="E1689" s="4" t="s">
        <v>3534</v>
      </c>
      <c r="G1689" s="16"/>
      <c r="M1689">
        <v>1</v>
      </c>
      <c r="N1689">
        <v>1</v>
      </c>
      <c r="O1689">
        <v>0</v>
      </c>
      <c r="P1689">
        <v>273.62</v>
      </c>
      <c r="Q1689">
        <v>273.62</v>
      </c>
      <c r="W1689">
        <v>400046</v>
      </c>
      <c r="AE1689">
        <v>0</v>
      </c>
      <c r="AP1689" t="s">
        <v>407</v>
      </c>
    </row>
    <row r="1690" spans="1:42">
      <c r="A1690" s="1" t="s">
        <v>46</v>
      </c>
      <c r="B1690" s="1" t="s">
        <v>3535</v>
      </c>
      <c r="C1690" s="1" t="s">
        <v>3535</v>
      </c>
      <c r="E1690" s="4" t="s">
        <v>3536</v>
      </c>
      <c r="G1690" s="16"/>
      <c r="M1690">
        <v>1</v>
      </c>
      <c r="N1690">
        <v>36</v>
      </c>
      <c r="O1690">
        <v>0</v>
      </c>
      <c r="P1690">
        <v>156.93</v>
      </c>
      <c r="Q1690">
        <v>5649.48</v>
      </c>
      <c r="R1690" t="s">
        <v>1147</v>
      </c>
      <c r="S1690">
        <v>0</v>
      </c>
      <c r="T1690" t="s">
        <v>52</v>
      </c>
      <c r="U1690" t="s">
        <v>52</v>
      </c>
      <c r="V1690">
        <v>0</v>
      </c>
      <c r="W1690">
        <v>400046</v>
      </c>
      <c r="X1690" t="s">
        <v>56</v>
      </c>
      <c r="Y1690" t="s">
        <v>57</v>
      </c>
      <c r="AE1690">
        <v>0</v>
      </c>
      <c r="AP1690" t="s">
        <v>407</v>
      </c>
    </row>
    <row r="1691" spans="1:42">
      <c r="A1691" s="1" t="s">
        <v>46</v>
      </c>
      <c r="B1691" s="1" t="s">
        <v>3537</v>
      </c>
      <c r="C1691" s="1" t="s">
        <v>3537</v>
      </c>
      <c r="E1691" s="4" t="s">
        <v>3538</v>
      </c>
      <c r="G1691" s="16"/>
      <c r="M1691">
        <v>1</v>
      </c>
      <c r="N1691">
        <v>1</v>
      </c>
      <c r="O1691">
        <v>0</v>
      </c>
      <c r="P1691">
        <v>20</v>
      </c>
      <c r="Q1691">
        <v>20</v>
      </c>
      <c r="R1691" t="s">
        <v>1147</v>
      </c>
      <c r="S1691">
        <v>0</v>
      </c>
      <c r="T1691" t="s">
        <v>52</v>
      </c>
      <c r="U1691">
        <v>0</v>
      </c>
      <c r="V1691">
        <v>0</v>
      </c>
      <c r="W1691">
        <v>400046</v>
      </c>
      <c r="AE1691">
        <v>0</v>
      </c>
      <c r="AP1691" t="s">
        <v>407</v>
      </c>
    </row>
    <row r="1692" spans="1:42">
      <c r="A1692" s="1" t="s">
        <v>46</v>
      </c>
      <c r="B1692" s="1" t="s">
        <v>3539</v>
      </c>
      <c r="C1692" s="1" t="s">
        <v>3539</v>
      </c>
      <c r="E1692" s="4" t="s">
        <v>3540</v>
      </c>
      <c r="G1692" s="16"/>
      <c r="M1692">
        <v>1</v>
      </c>
      <c r="N1692">
        <v>2</v>
      </c>
      <c r="O1692">
        <v>0</v>
      </c>
      <c r="P1692">
        <v>215.34</v>
      </c>
      <c r="Q1692">
        <v>430.68</v>
      </c>
      <c r="R1692" t="s">
        <v>1147</v>
      </c>
      <c r="S1692">
        <v>0</v>
      </c>
      <c r="T1692" t="s">
        <v>52</v>
      </c>
      <c r="W1692">
        <v>400046</v>
      </c>
      <c r="AE1692">
        <v>0</v>
      </c>
      <c r="AP1692" t="s">
        <v>407</v>
      </c>
    </row>
    <row r="1693" spans="1:42">
      <c r="A1693" s="1" t="s">
        <v>46</v>
      </c>
      <c r="B1693" s="1" t="s">
        <v>3541</v>
      </c>
      <c r="C1693" s="1" t="s">
        <v>3541</v>
      </c>
      <c r="E1693" s="4" t="s">
        <v>3542</v>
      </c>
      <c r="G1693" s="16"/>
      <c r="M1693">
        <v>1</v>
      </c>
      <c r="N1693">
        <v>8</v>
      </c>
      <c r="O1693">
        <v>0</v>
      </c>
      <c r="P1693">
        <v>210.85</v>
      </c>
      <c r="Q1693">
        <v>1686.8</v>
      </c>
      <c r="R1693" t="s">
        <v>1147</v>
      </c>
      <c r="S1693">
        <v>0</v>
      </c>
      <c r="T1693" t="s">
        <v>52</v>
      </c>
      <c r="U1693">
        <v>0</v>
      </c>
      <c r="V1693">
        <v>0</v>
      </c>
      <c r="W1693">
        <v>400046</v>
      </c>
      <c r="AE1693">
        <v>0</v>
      </c>
      <c r="AP1693" t="s">
        <v>407</v>
      </c>
    </row>
    <row r="1694" spans="1:42">
      <c r="A1694" s="1" t="s">
        <v>46</v>
      </c>
      <c r="B1694" s="1" t="s">
        <v>3543</v>
      </c>
      <c r="C1694" s="1" t="s">
        <v>3543</v>
      </c>
      <c r="E1694" s="4" t="s">
        <v>3544</v>
      </c>
      <c r="G1694" s="16"/>
      <c r="M1694">
        <v>1</v>
      </c>
      <c r="N1694">
        <v>41</v>
      </c>
      <c r="O1694">
        <v>0</v>
      </c>
      <c r="P1694">
        <v>87.72</v>
      </c>
      <c r="Q1694">
        <v>3596.52</v>
      </c>
      <c r="R1694" t="s">
        <v>1147</v>
      </c>
      <c r="S1694">
        <v>0</v>
      </c>
      <c r="T1694" t="s">
        <v>52</v>
      </c>
      <c r="U1694">
        <v>0</v>
      </c>
      <c r="V1694">
        <v>0</v>
      </c>
      <c r="W1694">
        <v>400046</v>
      </c>
      <c r="AE1694">
        <v>0</v>
      </c>
      <c r="AP1694" t="s">
        <v>407</v>
      </c>
    </row>
    <row r="1695" spans="1:42">
      <c r="A1695" s="1" t="s">
        <v>46</v>
      </c>
      <c r="B1695" s="1" t="s">
        <v>3545</v>
      </c>
      <c r="C1695" s="1" t="s">
        <v>3545</v>
      </c>
      <c r="E1695" s="4" t="s">
        <v>3546</v>
      </c>
      <c r="G1695" s="16"/>
      <c r="M1695">
        <v>1</v>
      </c>
      <c r="N1695">
        <v>26</v>
      </c>
      <c r="O1695">
        <v>0</v>
      </c>
      <c r="P1695">
        <v>98.18</v>
      </c>
      <c r="Q1695">
        <v>2552.6799999999998</v>
      </c>
      <c r="R1695" t="s">
        <v>1147</v>
      </c>
      <c r="S1695">
        <v>0</v>
      </c>
      <c r="T1695" t="s">
        <v>52</v>
      </c>
      <c r="U1695" t="s">
        <v>52</v>
      </c>
      <c r="V1695">
        <v>0</v>
      </c>
      <c r="W1695">
        <v>400046</v>
      </c>
      <c r="X1695" t="s">
        <v>56</v>
      </c>
      <c r="Y1695" t="s">
        <v>57</v>
      </c>
      <c r="AE1695">
        <v>0</v>
      </c>
      <c r="AP1695" t="s">
        <v>407</v>
      </c>
    </row>
    <row r="1696" spans="1:42">
      <c r="A1696" s="1" t="s">
        <v>46</v>
      </c>
      <c r="B1696" s="1" t="s">
        <v>3547</v>
      </c>
      <c r="C1696" s="1" t="s">
        <v>3547</v>
      </c>
      <c r="E1696" s="4" t="s">
        <v>3548</v>
      </c>
      <c r="G1696" s="16"/>
      <c r="M1696">
        <v>1</v>
      </c>
      <c r="N1696">
        <v>1</v>
      </c>
      <c r="O1696">
        <v>0</v>
      </c>
      <c r="P1696">
        <v>116.88</v>
      </c>
      <c r="Q1696">
        <v>116.88</v>
      </c>
      <c r="W1696">
        <v>400046</v>
      </c>
      <c r="AE1696">
        <v>0</v>
      </c>
      <c r="AP1696" t="s">
        <v>407</v>
      </c>
    </row>
    <row r="1697" spans="1:42">
      <c r="A1697" s="1" t="s">
        <v>46</v>
      </c>
      <c r="B1697" s="1" t="s">
        <v>3549</v>
      </c>
      <c r="C1697" s="1" t="s">
        <v>3549</v>
      </c>
      <c r="E1697" s="4" t="s">
        <v>3550</v>
      </c>
      <c r="G1697" s="16"/>
      <c r="M1697">
        <v>1</v>
      </c>
      <c r="N1697">
        <v>1</v>
      </c>
      <c r="O1697">
        <v>0</v>
      </c>
      <c r="P1697">
        <v>329.95</v>
      </c>
      <c r="Q1697">
        <v>329.95</v>
      </c>
      <c r="R1697" t="s">
        <v>1147</v>
      </c>
      <c r="S1697">
        <v>0</v>
      </c>
      <c r="T1697" t="s">
        <v>52</v>
      </c>
      <c r="U1697" t="s">
        <v>1147</v>
      </c>
      <c r="V1697">
        <v>0</v>
      </c>
      <c r="W1697">
        <v>400046</v>
      </c>
      <c r="AE1697">
        <v>0</v>
      </c>
      <c r="AP1697" t="s">
        <v>407</v>
      </c>
    </row>
    <row r="1698" spans="1:42">
      <c r="A1698" s="1" t="s">
        <v>46</v>
      </c>
      <c r="B1698" s="1" t="s">
        <v>3551</v>
      </c>
      <c r="C1698" s="1" t="s">
        <v>3551</v>
      </c>
      <c r="E1698" s="4" t="s">
        <v>3552</v>
      </c>
      <c r="G1698" s="16"/>
      <c r="M1698">
        <v>1</v>
      </c>
      <c r="N1698">
        <v>2</v>
      </c>
      <c r="O1698">
        <v>0</v>
      </c>
      <c r="P1698">
        <v>76.45</v>
      </c>
      <c r="Q1698">
        <v>152.9</v>
      </c>
      <c r="R1698" t="s">
        <v>1147</v>
      </c>
      <c r="S1698">
        <v>0</v>
      </c>
      <c r="T1698" t="s">
        <v>52</v>
      </c>
      <c r="U1698">
        <v>0</v>
      </c>
      <c r="V1698">
        <v>0</v>
      </c>
      <c r="W1698">
        <v>400046</v>
      </c>
      <c r="AE1698">
        <v>0</v>
      </c>
      <c r="AP1698" t="s">
        <v>407</v>
      </c>
    </row>
    <row r="1699" spans="1:42">
      <c r="A1699" s="1" t="s">
        <v>46</v>
      </c>
      <c r="B1699" s="1" t="s">
        <v>3553</v>
      </c>
      <c r="C1699" s="1" t="s">
        <v>3553</v>
      </c>
      <c r="E1699" s="4" t="s">
        <v>3554</v>
      </c>
      <c r="G1699" s="16"/>
      <c r="M1699">
        <v>1</v>
      </c>
      <c r="N1699">
        <v>22</v>
      </c>
      <c r="O1699">
        <v>0</v>
      </c>
      <c r="P1699">
        <v>137.61000000000001</v>
      </c>
      <c r="Q1699">
        <v>3027.42</v>
      </c>
      <c r="R1699" t="s">
        <v>1147</v>
      </c>
      <c r="S1699">
        <v>0</v>
      </c>
      <c r="T1699" t="s">
        <v>52</v>
      </c>
      <c r="U1699">
        <v>0</v>
      </c>
      <c r="V1699">
        <v>0</v>
      </c>
      <c r="W1699">
        <v>400046</v>
      </c>
      <c r="X1699" t="s">
        <v>56</v>
      </c>
      <c r="Y1699" t="s">
        <v>57</v>
      </c>
      <c r="AE1699">
        <v>0</v>
      </c>
      <c r="AP1699" t="s">
        <v>407</v>
      </c>
    </row>
    <row r="1700" spans="1:42">
      <c r="A1700" s="1" t="s">
        <v>46</v>
      </c>
      <c r="B1700" s="1" t="s">
        <v>3555</v>
      </c>
      <c r="C1700" s="1" t="s">
        <v>3555</v>
      </c>
      <c r="E1700" s="4" t="s">
        <v>3556</v>
      </c>
      <c r="G1700" s="16"/>
      <c r="M1700">
        <v>1</v>
      </c>
      <c r="N1700">
        <v>312</v>
      </c>
      <c r="O1700">
        <v>0</v>
      </c>
      <c r="P1700">
        <v>21.73</v>
      </c>
      <c r="Q1700">
        <v>6779.76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400046</v>
      </c>
      <c r="AE1700">
        <v>0</v>
      </c>
      <c r="AP1700" t="s">
        <v>407</v>
      </c>
    </row>
    <row r="1701" spans="1:42">
      <c r="A1701" s="1" t="s">
        <v>46</v>
      </c>
      <c r="B1701" s="1" t="s">
        <v>3557</v>
      </c>
      <c r="C1701" s="1" t="s">
        <v>3557</v>
      </c>
      <c r="E1701" s="4" t="s">
        <v>3558</v>
      </c>
      <c r="G1701" s="16"/>
      <c r="M1701">
        <v>1</v>
      </c>
      <c r="N1701">
        <v>4</v>
      </c>
      <c r="O1701">
        <v>0</v>
      </c>
      <c r="P1701">
        <v>173.02</v>
      </c>
      <c r="Q1701">
        <v>692.08</v>
      </c>
      <c r="R1701" t="s">
        <v>1147</v>
      </c>
      <c r="S1701">
        <v>0</v>
      </c>
      <c r="T1701" t="s">
        <v>52</v>
      </c>
      <c r="U1701">
        <v>0</v>
      </c>
      <c r="V1701">
        <v>0</v>
      </c>
      <c r="W1701">
        <v>400046</v>
      </c>
      <c r="X1701" t="s">
        <v>56</v>
      </c>
      <c r="Y1701" t="s">
        <v>57</v>
      </c>
      <c r="AE1701">
        <v>0</v>
      </c>
      <c r="AP1701" t="s">
        <v>407</v>
      </c>
    </row>
    <row r="1702" spans="1:42">
      <c r="A1702" s="1" t="s">
        <v>46</v>
      </c>
      <c r="B1702" s="1" t="s">
        <v>3559</v>
      </c>
      <c r="C1702" s="1" t="s">
        <v>3559</v>
      </c>
      <c r="E1702" s="4" t="s">
        <v>3560</v>
      </c>
      <c r="G1702" s="16"/>
      <c r="M1702">
        <v>1</v>
      </c>
      <c r="N1702">
        <v>-1</v>
      </c>
      <c r="O1702">
        <v>0</v>
      </c>
      <c r="P1702">
        <v>201.52</v>
      </c>
      <c r="Q1702">
        <v>-201.52</v>
      </c>
      <c r="R1702" t="s">
        <v>1147</v>
      </c>
      <c r="S1702">
        <v>0</v>
      </c>
      <c r="T1702" t="s">
        <v>52</v>
      </c>
      <c r="U1702">
        <v>0</v>
      </c>
      <c r="V1702">
        <v>0</v>
      </c>
      <c r="W1702">
        <v>400046</v>
      </c>
      <c r="X1702" t="s">
        <v>56</v>
      </c>
      <c r="Y1702" t="s">
        <v>57</v>
      </c>
      <c r="AE1702">
        <v>0</v>
      </c>
      <c r="AP1702" t="s">
        <v>407</v>
      </c>
    </row>
    <row r="1703" spans="1:42">
      <c r="A1703" s="1" t="s">
        <v>46</v>
      </c>
      <c r="B1703" s="1" t="s">
        <v>3561</v>
      </c>
      <c r="C1703" s="1" t="s">
        <v>3561</v>
      </c>
      <c r="E1703" s="4" t="s">
        <v>3562</v>
      </c>
      <c r="G1703" s="16"/>
      <c r="M1703">
        <v>1</v>
      </c>
      <c r="N1703">
        <v>3</v>
      </c>
      <c r="O1703">
        <v>0</v>
      </c>
      <c r="P1703">
        <v>156.93</v>
      </c>
      <c r="Q1703">
        <v>470.79</v>
      </c>
      <c r="W1703">
        <v>400046</v>
      </c>
      <c r="AE1703">
        <v>0</v>
      </c>
      <c r="AP1703" t="s">
        <v>407</v>
      </c>
    </row>
    <row r="1704" spans="1:42">
      <c r="A1704" s="1" t="s">
        <v>46</v>
      </c>
      <c r="B1704" s="1" t="s">
        <v>3563</v>
      </c>
      <c r="C1704" s="1" t="s">
        <v>3563</v>
      </c>
      <c r="E1704" s="4" t="s">
        <v>3564</v>
      </c>
      <c r="G1704" s="16"/>
      <c r="M1704">
        <v>1</v>
      </c>
      <c r="N1704">
        <v>2</v>
      </c>
      <c r="O1704">
        <v>0</v>
      </c>
      <c r="P1704">
        <v>197.4</v>
      </c>
      <c r="Q1704">
        <v>394.8</v>
      </c>
      <c r="W1704">
        <v>400046</v>
      </c>
      <c r="AE1704">
        <v>0</v>
      </c>
      <c r="AP1704" t="s">
        <v>407</v>
      </c>
    </row>
    <row r="1705" spans="1:42">
      <c r="A1705" s="1" t="s">
        <v>46</v>
      </c>
      <c r="B1705" s="1" t="s">
        <v>3565</v>
      </c>
      <c r="C1705" s="1" t="s">
        <v>3565</v>
      </c>
      <c r="E1705" s="4" t="s">
        <v>3566</v>
      </c>
      <c r="G1705" s="16"/>
      <c r="M1705">
        <v>1</v>
      </c>
      <c r="N1705">
        <v>1</v>
      </c>
      <c r="O1705">
        <v>0</v>
      </c>
      <c r="P1705">
        <v>563.33000000000004</v>
      </c>
      <c r="Q1705">
        <v>563.33000000000004</v>
      </c>
      <c r="W1705">
        <v>400046</v>
      </c>
      <c r="AE1705">
        <v>0</v>
      </c>
      <c r="AP1705" t="s">
        <v>407</v>
      </c>
    </row>
    <row r="1706" spans="1:42">
      <c r="A1706" s="1" t="s">
        <v>46</v>
      </c>
      <c r="B1706" s="1" t="s">
        <v>3567</v>
      </c>
      <c r="C1706" s="1" t="s">
        <v>3567</v>
      </c>
      <c r="E1706" s="4" t="s">
        <v>3568</v>
      </c>
      <c r="G1706" s="16"/>
      <c r="M1706">
        <v>1</v>
      </c>
      <c r="N1706">
        <v>1</v>
      </c>
      <c r="O1706">
        <v>0</v>
      </c>
      <c r="P1706">
        <v>643.79999999999995</v>
      </c>
      <c r="Q1706">
        <v>643.79999999999995</v>
      </c>
      <c r="W1706">
        <v>400046</v>
      </c>
      <c r="AE1706">
        <v>0</v>
      </c>
      <c r="AP1706" t="s">
        <v>407</v>
      </c>
    </row>
    <row r="1707" spans="1:42">
      <c r="A1707" s="1" t="s">
        <v>46</v>
      </c>
      <c r="B1707" s="1" t="s">
        <v>3569</v>
      </c>
      <c r="C1707" s="1" t="s">
        <v>3569</v>
      </c>
      <c r="E1707" s="4" t="s">
        <v>3570</v>
      </c>
      <c r="G1707" s="16"/>
      <c r="M1707">
        <v>1</v>
      </c>
      <c r="N1707">
        <v>35</v>
      </c>
      <c r="O1707">
        <v>0</v>
      </c>
      <c r="P1707">
        <v>62.94</v>
      </c>
      <c r="Q1707">
        <v>2202.8000000000002</v>
      </c>
      <c r="R1707" t="s">
        <v>1147</v>
      </c>
      <c r="S1707">
        <v>0</v>
      </c>
      <c r="T1707" t="s">
        <v>52</v>
      </c>
      <c r="U1707">
        <v>0</v>
      </c>
      <c r="V1707">
        <v>0</v>
      </c>
      <c r="W1707">
        <v>400046</v>
      </c>
      <c r="AE1707">
        <v>0</v>
      </c>
      <c r="AP1707" t="s">
        <v>407</v>
      </c>
    </row>
    <row r="1708" spans="1:42">
      <c r="A1708" s="1" t="s">
        <v>46</v>
      </c>
      <c r="B1708" s="1" t="s">
        <v>3571</v>
      </c>
      <c r="C1708" s="1" t="s">
        <v>3571</v>
      </c>
      <c r="E1708" s="4" t="s">
        <v>3572</v>
      </c>
      <c r="G1708" s="16"/>
      <c r="M1708">
        <v>1</v>
      </c>
      <c r="N1708">
        <v>116</v>
      </c>
      <c r="O1708">
        <v>0</v>
      </c>
      <c r="P1708">
        <v>21.73</v>
      </c>
      <c r="Q1708">
        <v>2520.48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400046</v>
      </c>
      <c r="AE1708">
        <v>0</v>
      </c>
      <c r="AP1708" t="s">
        <v>407</v>
      </c>
    </row>
    <row r="1709" spans="1:42">
      <c r="A1709" s="1" t="s">
        <v>46</v>
      </c>
      <c r="B1709" s="1" t="s">
        <v>3573</v>
      </c>
      <c r="C1709" s="1" t="s">
        <v>3573</v>
      </c>
      <c r="E1709" s="4" t="s">
        <v>3574</v>
      </c>
      <c r="G1709" s="16"/>
      <c r="M1709">
        <v>1</v>
      </c>
      <c r="N1709">
        <v>0</v>
      </c>
      <c r="O1709">
        <v>0</v>
      </c>
      <c r="P1709">
        <v>205.21</v>
      </c>
      <c r="Q1709">
        <v>0</v>
      </c>
      <c r="W1709">
        <v>400046</v>
      </c>
      <c r="AE1709">
        <v>0</v>
      </c>
      <c r="AP1709" t="s">
        <v>407</v>
      </c>
    </row>
    <row r="1710" spans="1:42">
      <c r="A1710" s="1" t="s">
        <v>46</v>
      </c>
      <c r="B1710" s="1" t="s">
        <v>3575</v>
      </c>
      <c r="C1710" s="1" t="s">
        <v>3575</v>
      </c>
      <c r="E1710" s="4" t="s">
        <v>3576</v>
      </c>
      <c r="G1710" s="16"/>
      <c r="M1710">
        <v>1</v>
      </c>
      <c r="N1710">
        <v>24</v>
      </c>
      <c r="O1710">
        <v>0</v>
      </c>
      <c r="P1710">
        <v>21.73</v>
      </c>
      <c r="Q1710">
        <v>521.47</v>
      </c>
      <c r="R1710">
        <v>0</v>
      </c>
      <c r="S1710">
        <v>0</v>
      </c>
      <c r="T1710" t="s">
        <v>52</v>
      </c>
      <c r="U1710">
        <v>0</v>
      </c>
      <c r="V1710">
        <v>0</v>
      </c>
      <c r="W1710">
        <v>400046</v>
      </c>
      <c r="AE1710">
        <v>0</v>
      </c>
      <c r="AP1710" t="s">
        <v>407</v>
      </c>
    </row>
    <row r="1711" spans="1:42">
      <c r="A1711" s="1" t="s">
        <v>46</v>
      </c>
      <c r="B1711" s="1" t="s">
        <v>3577</v>
      </c>
      <c r="C1711" s="1" t="s">
        <v>3577</v>
      </c>
      <c r="E1711" s="4" t="s">
        <v>3578</v>
      </c>
      <c r="G1711" s="16"/>
      <c r="M1711">
        <v>1</v>
      </c>
      <c r="N1711">
        <v>252</v>
      </c>
      <c r="O1711">
        <v>0</v>
      </c>
      <c r="P1711">
        <v>21.73</v>
      </c>
      <c r="Q1711">
        <v>5475.46</v>
      </c>
      <c r="R1711" t="s">
        <v>1147</v>
      </c>
      <c r="S1711">
        <v>0</v>
      </c>
      <c r="T1711" t="s">
        <v>52</v>
      </c>
      <c r="U1711" t="s">
        <v>52</v>
      </c>
      <c r="V1711">
        <v>0</v>
      </c>
      <c r="W1711">
        <v>400046</v>
      </c>
      <c r="AE1711">
        <v>0</v>
      </c>
      <c r="AP1711" t="s">
        <v>407</v>
      </c>
    </row>
    <row r="1712" spans="1:42">
      <c r="A1712" s="1" t="s">
        <v>46</v>
      </c>
      <c r="B1712" s="1" t="s">
        <v>3579</v>
      </c>
      <c r="C1712" s="1" t="s">
        <v>3579</v>
      </c>
      <c r="E1712" s="4" t="s">
        <v>3580</v>
      </c>
      <c r="G1712" s="16"/>
      <c r="M1712">
        <v>1</v>
      </c>
      <c r="N1712">
        <v>1</v>
      </c>
      <c r="O1712">
        <v>0</v>
      </c>
      <c r="P1712">
        <v>68.400000000000006</v>
      </c>
      <c r="Q1712">
        <v>68.400000000000006</v>
      </c>
      <c r="W1712">
        <v>400046</v>
      </c>
      <c r="AE1712">
        <v>0</v>
      </c>
      <c r="AP1712" t="s">
        <v>407</v>
      </c>
    </row>
    <row r="1713" spans="1:42">
      <c r="A1713" s="1" t="s">
        <v>46</v>
      </c>
      <c r="B1713" s="1" t="s">
        <v>3581</v>
      </c>
      <c r="C1713" s="1" t="s">
        <v>3581</v>
      </c>
      <c r="E1713" s="4" t="s">
        <v>3582</v>
      </c>
      <c r="G1713" s="16"/>
      <c r="M1713">
        <v>1</v>
      </c>
      <c r="N1713">
        <v>2</v>
      </c>
      <c r="O1713">
        <v>0</v>
      </c>
      <c r="P1713">
        <v>44.26</v>
      </c>
      <c r="Q1713">
        <v>88.52</v>
      </c>
      <c r="W1713">
        <v>400046</v>
      </c>
      <c r="AE1713">
        <v>0</v>
      </c>
      <c r="AP1713" t="s">
        <v>407</v>
      </c>
    </row>
    <row r="1714" spans="1:42">
      <c r="A1714" s="1" t="s">
        <v>46</v>
      </c>
      <c r="B1714" s="1" t="s">
        <v>3583</v>
      </c>
      <c r="C1714" s="1" t="s">
        <v>3583</v>
      </c>
      <c r="E1714" s="4" t="s">
        <v>3584</v>
      </c>
      <c r="G1714" s="16"/>
      <c r="M1714">
        <v>1</v>
      </c>
      <c r="N1714">
        <v>173</v>
      </c>
      <c r="O1714">
        <v>0</v>
      </c>
      <c r="P1714">
        <v>74.84</v>
      </c>
      <c r="Q1714">
        <v>12947.32</v>
      </c>
      <c r="R1714" t="s">
        <v>1147</v>
      </c>
      <c r="S1714">
        <v>0</v>
      </c>
      <c r="T1714" t="s">
        <v>52</v>
      </c>
      <c r="U1714">
        <v>0</v>
      </c>
      <c r="V1714">
        <v>0</v>
      </c>
      <c r="W1714">
        <v>400046</v>
      </c>
      <c r="X1714" t="s">
        <v>56</v>
      </c>
      <c r="Y1714" t="s">
        <v>57</v>
      </c>
      <c r="AE1714">
        <v>0</v>
      </c>
      <c r="AP1714" t="s">
        <v>407</v>
      </c>
    </row>
    <row r="1715" spans="1:42">
      <c r="A1715" s="1" t="s">
        <v>46</v>
      </c>
      <c r="B1715" s="1" t="s">
        <v>3585</v>
      </c>
      <c r="C1715" s="1" t="s">
        <v>3585</v>
      </c>
      <c r="E1715" s="4" t="s">
        <v>3586</v>
      </c>
      <c r="G1715" s="16"/>
      <c r="M1715">
        <v>1</v>
      </c>
      <c r="N1715">
        <v>20</v>
      </c>
      <c r="O1715">
        <v>0</v>
      </c>
      <c r="P1715">
        <v>62.77</v>
      </c>
      <c r="Q1715">
        <v>1255.4000000000001</v>
      </c>
      <c r="R1715" t="s">
        <v>1147</v>
      </c>
      <c r="S1715">
        <v>0</v>
      </c>
      <c r="T1715" t="s">
        <v>52</v>
      </c>
      <c r="U1715">
        <v>0</v>
      </c>
      <c r="V1715">
        <v>0</v>
      </c>
      <c r="W1715">
        <v>400046</v>
      </c>
      <c r="AE1715">
        <v>0</v>
      </c>
      <c r="AP1715" t="s">
        <v>407</v>
      </c>
    </row>
    <row r="1716" spans="1:42">
      <c r="A1716" s="1" t="s">
        <v>46</v>
      </c>
      <c r="B1716" s="1" t="s">
        <v>3587</v>
      </c>
      <c r="C1716" s="1" t="s">
        <v>3587</v>
      </c>
      <c r="E1716" s="4" t="s">
        <v>3588</v>
      </c>
      <c r="G1716" s="16"/>
      <c r="M1716">
        <v>1</v>
      </c>
      <c r="N1716">
        <v>34</v>
      </c>
      <c r="O1716">
        <v>0</v>
      </c>
      <c r="P1716">
        <v>61.97</v>
      </c>
      <c r="Q1716">
        <v>2106.84</v>
      </c>
      <c r="R1716" t="s">
        <v>1147</v>
      </c>
      <c r="S1716">
        <v>0</v>
      </c>
      <c r="T1716" t="s">
        <v>52</v>
      </c>
      <c r="U1716">
        <v>0</v>
      </c>
      <c r="V1716">
        <v>0</v>
      </c>
      <c r="W1716">
        <v>400046</v>
      </c>
      <c r="X1716" t="s">
        <v>56</v>
      </c>
      <c r="Y1716" t="s">
        <v>57</v>
      </c>
      <c r="AE1716">
        <v>0</v>
      </c>
      <c r="AP1716" t="s">
        <v>407</v>
      </c>
    </row>
    <row r="1717" spans="1:42">
      <c r="E1717" s="4" t="s">
        <v>3589</v>
      </c>
      <c r="G1717" s="16"/>
    </row>
    <row r="1718" spans="1:42">
      <c r="A1718" s="1" t="s">
        <v>46</v>
      </c>
      <c r="B1718" s="1" t="s">
        <v>3590</v>
      </c>
      <c r="C1718" s="1" t="s">
        <v>3590</v>
      </c>
      <c r="E1718" s="4" t="s">
        <v>3591</v>
      </c>
      <c r="G1718" s="16"/>
      <c r="M1718">
        <v>1</v>
      </c>
      <c r="N1718">
        <v>14</v>
      </c>
      <c r="O1718">
        <v>0</v>
      </c>
      <c r="P1718">
        <v>87.72</v>
      </c>
      <c r="Q1718">
        <v>1228.05</v>
      </c>
      <c r="R1718" t="s">
        <v>1147</v>
      </c>
      <c r="S1718">
        <v>0</v>
      </c>
      <c r="T1718" t="s">
        <v>52</v>
      </c>
      <c r="W1718">
        <v>400046</v>
      </c>
      <c r="AE1718">
        <v>0</v>
      </c>
      <c r="AP1718" t="s">
        <v>407</v>
      </c>
    </row>
    <row r="1719" spans="1:42">
      <c r="E1719" s="4" t="s">
        <v>3592</v>
      </c>
      <c r="G1719" s="16"/>
    </row>
    <row r="1720" spans="1:42">
      <c r="A1720" s="1" t="s">
        <v>46</v>
      </c>
      <c r="B1720" s="1" t="s">
        <v>3593</v>
      </c>
      <c r="C1720" s="1" t="s">
        <v>3593</v>
      </c>
      <c r="E1720" s="4" t="s">
        <v>3594</v>
      </c>
      <c r="G1720" s="16"/>
      <c r="M1720">
        <v>1</v>
      </c>
      <c r="N1720">
        <v>-2</v>
      </c>
      <c r="O1720">
        <v>0</v>
      </c>
      <c r="P1720">
        <v>121</v>
      </c>
      <c r="Q1720">
        <v>-242</v>
      </c>
      <c r="R1720" t="s">
        <v>1147</v>
      </c>
      <c r="S1720">
        <v>0</v>
      </c>
      <c r="T1720" t="s">
        <v>52</v>
      </c>
      <c r="W1720">
        <v>400046</v>
      </c>
      <c r="AE1720">
        <v>0</v>
      </c>
      <c r="AP1720" t="s">
        <v>407</v>
      </c>
    </row>
    <row r="1721" spans="1:42">
      <c r="A1721" s="1" t="s">
        <v>46</v>
      </c>
      <c r="B1721" s="1" t="s">
        <v>3595</v>
      </c>
      <c r="C1721" s="1" t="s">
        <v>3595</v>
      </c>
      <c r="E1721" s="4" t="s">
        <v>3596</v>
      </c>
      <c r="G1721" s="16"/>
      <c r="M1721">
        <v>1</v>
      </c>
      <c r="N1721">
        <v>18</v>
      </c>
      <c r="O1721">
        <v>0</v>
      </c>
      <c r="P1721">
        <v>81.28</v>
      </c>
      <c r="Q1721">
        <v>1463.04</v>
      </c>
      <c r="R1721" t="s">
        <v>1147</v>
      </c>
      <c r="S1721">
        <v>0</v>
      </c>
      <c r="T1721" t="s">
        <v>52</v>
      </c>
      <c r="U1721">
        <v>0</v>
      </c>
      <c r="V1721">
        <v>0</v>
      </c>
      <c r="W1721">
        <v>400046</v>
      </c>
      <c r="AE1721">
        <v>0</v>
      </c>
      <c r="AP1721" t="s">
        <v>407</v>
      </c>
    </row>
    <row r="1722" spans="1:42">
      <c r="A1722" s="1" t="s">
        <v>46</v>
      </c>
      <c r="B1722" s="1" t="s">
        <v>3597</v>
      </c>
      <c r="C1722" s="1" t="s">
        <v>3597</v>
      </c>
      <c r="E1722" s="4" t="s">
        <v>3598</v>
      </c>
      <c r="G1722" s="16"/>
      <c r="M1722">
        <v>1</v>
      </c>
      <c r="N1722">
        <v>32</v>
      </c>
      <c r="O1722">
        <v>0</v>
      </c>
      <c r="P1722">
        <v>86.91</v>
      </c>
      <c r="Q1722">
        <v>2781.12</v>
      </c>
      <c r="R1722" t="s">
        <v>1147</v>
      </c>
      <c r="S1722">
        <v>0</v>
      </c>
      <c r="T1722" t="s">
        <v>52</v>
      </c>
      <c r="U1722">
        <v>0</v>
      </c>
      <c r="V1722">
        <v>0</v>
      </c>
      <c r="W1722">
        <v>400046</v>
      </c>
      <c r="X1722" t="s">
        <v>56</v>
      </c>
      <c r="Y1722" t="s">
        <v>57</v>
      </c>
      <c r="AE1722">
        <v>0</v>
      </c>
      <c r="AP1722" t="s">
        <v>407</v>
      </c>
    </row>
    <row r="1723" spans="1:42">
      <c r="E1723" s="4" t="s">
        <v>3599</v>
      </c>
      <c r="G1723" s="16"/>
    </row>
    <row r="1724" spans="1:42">
      <c r="A1724" s="1" t="s">
        <v>46</v>
      </c>
      <c r="B1724" s="1" t="s">
        <v>3600</v>
      </c>
      <c r="C1724" s="1" t="s">
        <v>3600</v>
      </c>
      <c r="E1724" s="4" t="s">
        <v>3601</v>
      </c>
      <c r="G1724" s="16"/>
      <c r="M1724">
        <v>1</v>
      </c>
      <c r="N1724">
        <v>37</v>
      </c>
      <c r="O1724">
        <v>0</v>
      </c>
      <c r="P1724">
        <v>76.45</v>
      </c>
      <c r="Q1724">
        <v>2828.65</v>
      </c>
      <c r="R1724" t="s">
        <v>1147</v>
      </c>
      <c r="S1724">
        <v>0</v>
      </c>
      <c r="T1724" t="s">
        <v>52</v>
      </c>
      <c r="U1724">
        <v>0</v>
      </c>
      <c r="V1724">
        <v>0</v>
      </c>
      <c r="W1724">
        <v>400046</v>
      </c>
      <c r="X1724" t="s">
        <v>56</v>
      </c>
      <c r="Y1724" t="s">
        <v>57</v>
      </c>
      <c r="AE1724">
        <v>0</v>
      </c>
      <c r="AP1724" t="s">
        <v>407</v>
      </c>
    </row>
    <row r="1725" spans="1:42">
      <c r="A1725" s="1" t="s">
        <v>46</v>
      </c>
      <c r="B1725" s="1" t="s">
        <v>3602</v>
      </c>
      <c r="C1725" s="1" t="s">
        <v>3602</v>
      </c>
      <c r="E1725" s="4" t="s">
        <v>3603</v>
      </c>
      <c r="G1725" s="16"/>
      <c r="M1725">
        <v>1</v>
      </c>
      <c r="N1725">
        <v>10</v>
      </c>
      <c r="O1725">
        <v>0</v>
      </c>
      <c r="P1725">
        <v>112.66</v>
      </c>
      <c r="Q1725">
        <v>1126.6500000000001</v>
      </c>
      <c r="R1725" t="s">
        <v>1147</v>
      </c>
      <c r="S1725">
        <v>0</v>
      </c>
      <c r="T1725" t="s">
        <v>52</v>
      </c>
      <c r="W1725">
        <v>400046</v>
      </c>
      <c r="AE1725">
        <v>0</v>
      </c>
      <c r="AP1725" t="s">
        <v>407</v>
      </c>
    </row>
    <row r="1726" spans="1:42">
      <c r="A1726" s="1" t="s">
        <v>46</v>
      </c>
      <c r="B1726" s="1" t="s">
        <v>3604</v>
      </c>
      <c r="C1726" s="1" t="s">
        <v>3604</v>
      </c>
      <c r="E1726" s="4" t="s">
        <v>3605</v>
      </c>
      <c r="G1726" s="16"/>
      <c r="M1726">
        <v>1</v>
      </c>
      <c r="N1726">
        <v>101</v>
      </c>
      <c r="O1726">
        <v>0</v>
      </c>
      <c r="P1726">
        <v>128.76</v>
      </c>
      <c r="Q1726">
        <v>13004.76</v>
      </c>
      <c r="R1726" t="s">
        <v>1147</v>
      </c>
      <c r="S1726">
        <v>0</v>
      </c>
      <c r="T1726" t="s">
        <v>52</v>
      </c>
      <c r="U1726">
        <v>0</v>
      </c>
      <c r="V1726">
        <v>0</v>
      </c>
      <c r="W1726">
        <v>400046</v>
      </c>
      <c r="X1726" t="s">
        <v>56</v>
      </c>
      <c r="Y1726" t="s">
        <v>57</v>
      </c>
      <c r="AE1726">
        <v>0</v>
      </c>
      <c r="AP1726" t="s">
        <v>407</v>
      </c>
    </row>
    <row r="1727" spans="1:42">
      <c r="A1727" s="1" t="s">
        <v>46</v>
      </c>
      <c r="B1727" s="1" t="s">
        <v>3606</v>
      </c>
      <c r="C1727" s="1" t="s">
        <v>3606</v>
      </c>
      <c r="E1727" s="4" t="s">
        <v>3607</v>
      </c>
      <c r="G1727" s="16"/>
      <c r="M1727">
        <v>1</v>
      </c>
      <c r="N1727">
        <v>6</v>
      </c>
      <c r="O1727">
        <v>0</v>
      </c>
      <c r="P1727">
        <v>112.66</v>
      </c>
      <c r="Q1727">
        <v>675.96</v>
      </c>
      <c r="R1727">
        <v>0</v>
      </c>
      <c r="S1727">
        <v>0</v>
      </c>
      <c r="T1727">
        <v>0</v>
      </c>
      <c r="W1727">
        <v>400012</v>
      </c>
      <c r="AE1727">
        <v>0</v>
      </c>
      <c r="AP1727" t="s">
        <v>582</v>
      </c>
    </row>
    <row r="1728" spans="1:42">
      <c r="A1728" s="1" t="s">
        <v>46</v>
      </c>
      <c r="B1728" s="1" t="s">
        <v>3608</v>
      </c>
      <c r="C1728" s="1" t="s">
        <v>3608</v>
      </c>
      <c r="E1728" s="4" t="s">
        <v>3609</v>
      </c>
      <c r="G1728" s="16"/>
      <c r="M1728">
        <v>1</v>
      </c>
      <c r="N1728">
        <v>10</v>
      </c>
      <c r="O1728">
        <v>0</v>
      </c>
      <c r="P1728">
        <v>199.57</v>
      </c>
      <c r="Q1728">
        <v>1995.7</v>
      </c>
      <c r="R1728" t="s">
        <v>1147</v>
      </c>
      <c r="S1728">
        <v>0</v>
      </c>
      <c r="T1728" t="s">
        <v>52</v>
      </c>
      <c r="W1728">
        <v>400046</v>
      </c>
      <c r="AE1728">
        <v>0</v>
      </c>
      <c r="AP1728" t="s">
        <v>407</v>
      </c>
    </row>
    <row r="1729" spans="1:42">
      <c r="A1729" s="1" t="s">
        <v>46</v>
      </c>
      <c r="B1729" s="1" t="s">
        <v>3610</v>
      </c>
      <c r="C1729" s="1" t="s">
        <v>3610</v>
      </c>
      <c r="E1729" s="4" t="s">
        <v>3611</v>
      </c>
      <c r="G1729" s="16"/>
      <c r="M1729">
        <v>1</v>
      </c>
      <c r="N1729">
        <v>1</v>
      </c>
      <c r="O1729">
        <v>0</v>
      </c>
      <c r="P1729">
        <v>273.62</v>
      </c>
      <c r="Q1729">
        <v>273.62</v>
      </c>
      <c r="R1729" t="s">
        <v>1147</v>
      </c>
      <c r="S1729">
        <v>0</v>
      </c>
      <c r="T1729" t="s">
        <v>52</v>
      </c>
      <c r="W1729">
        <v>400046</v>
      </c>
      <c r="AE1729">
        <v>0</v>
      </c>
      <c r="AP1729" t="s">
        <v>407</v>
      </c>
    </row>
    <row r="1730" spans="1:42">
      <c r="A1730" s="1" t="s">
        <v>46</v>
      </c>
      <c r="B1730" s="1" t="s">
        <v>3612</v>
      </c>
      <c r="C1730" s="1" t="s">
        <v>3612</v>
      </c>
      <c r="E1730" s="4" t="s">
        <v>3613</v>
      </c>
      <c r="G1730" s="16"/>
      <c r="M1730">
        <v>1</v>
      </c>
      <c r="N1730">
        <v>1</v>
      </c>
      <c r="O1730">
        <v>0</v>
      </c>
      <c r="P1730">
        <v>61.05</v>
      </c>
      <c r="Q1730">
        <v>61.05</v>
      </c>
      <c r="R1730" t="s">
        <v>1147</v>
      </c>
      <c r="S1730">
        <v>0</v>
      </c>
      <c r="T1730" t="s">
        <v>52</v>
      </c>
      <c r="U1730">
        <v>0</v>
      </c>
      <c r="V1730">
        <v>0</v>
      </c>
      <c r="W1730">
        <v>400046</v>
      </c>
      <c r="AE1730">
        <v>0</v>
      </c>
      <c r="AP1730" t="s">
        <v>407</v>
      </c>
    </row>
    <row r="1731" spans="1:42">
      <c r="A1731" s="1" t="s">
        <v>46</v>
      </c>
      <c r="B1731" s="1" t="s">
        <v>3614</v>
      </c>
      <c r="C1731" s="1" t="s">
        <v>3614</v>
      </c>
      <c r="E1731" s="4" t="s">
        <v>3615</v>
      </c>
      <c r="G1731" s="16"/>
      <c r="M1731">
        <v>1</v>
      </c>
      <c r="N1731">
        <v>38</v>
      </c>
      <c r="O1731">
        <v>0</v>
      </c>
      <c r="P1731">
        <v>55.53</v>
      </c>
      <c r="Q1731">
        <v>2110.14</v>
      </c>
      <c r="R1731" t="s">
        <v>1147</v>
      </c>
      <c r="S1731">
        <v>0</v>
      </c>
      <c r="T1731" t="s">
        <v>52</v>
      </c>
      <c r="U1731">
        <v>0</v>
      </c>
      <c r="V1731">
        <v>0</v>
      </c>
      <c r="W1731">
        <v>400046</v>
      </c>
      <c r="AE1731">
        <v>0</v>
      </c>
      <c r="AP1731" t="s">
        <v>407</v>
      </c>
    </row>
    <row r="1732" spans="1:42">
      <c r="A1732" s="1" t="s">
        <v>46</v>
      </c>
      <c r="B1732" s="1" t="s">
        <v>3616</v>
      </c>
      <c r="C1732" s="1" t="s">
        <v>3616</v>
      </c>
      <c r="E1732" s="4" t="s">
        <v>3617</v>
      </c>
      <c r="G1732" s="16"/>
      <c r="M1732">
        <v>1</v>
      </c>
      <c r="N1732">
        <v>121</v>
      </c>
      <c r="O1732">
        <v>0</v>
      </c>
      <c r="P1732">
        <v>130.5</v>
      </c>
      <c r="Q1732">
        <v>15790.5</v>
      </c>
      <c r="R1732" t="s">
        <v>1147</v>
      </c>
      <c r="S1732">
        <v>0</v>
      </c>
      <c r="T1732" t="s">
        <v>52</v>
      </c>
      <c r="U1732">
        <v>0</v>
      </c>
      <c r="V1732">
        <v>0</v>
      </c>
      <c r="W1732">
        <v>400046</v>
      </c>
      <c r="X1732" t="s">
        <v>56</v>
      </c>
      <c r="Y1732" t="s">
        <v>57</v>
      </c>
      <c r="AE1732">
        <v>0</v>
      </c>
      <c r="AP1732" t="s">
        <v>407</v>
      </c>
    </row>
    <row r="1733" spans="1:42">
      <c r="A1733" s="1" t="s">
        <v>46</v>
      </c>
      <c r="B1733" s="1" t="s">
        <v>3618</v>
      </c>
      <c r="C1733" s="1" t="s">
        <v>3618</v>
      </c>
      <c r="E1733" s="4" t="s">
        <v>3619</v>
      </c>
      <c r="G1733" s="16"/>
      <c r="M1733">
        <v>1</v>
      </c>
      <c r="N1733">
        <v>74</v>
      </c>
      <c r="O1733">
        <v>0</v>
      </c>
      <c r="P1733">
        <v>108.78</v>
      </c>
      <c r="Q1733">
        <v>8049.72</v>
      </c>
      <c r="R1733" t="s">
        <v>1147</v>
      </c>
      <c r="S1733">
        <v>0</v>
      </c>
      <c r="T1733" t="s">
        <v>52</v>
      </c>
      <c r="U1733">
        <v>0</v>
      </c>
      <c r="V1733">
        <v>0</v>
      </c>
      <c r="W1733">
        <v>400046</v>
      </c>
      <c r="X1733" t="s">
        <v>56</v>
      </c>
      <c r="Y1733" t="s">
        <v>57</v>
      </c>
      <c r="AE1733">
        <v>0</v>
      </c>
      <c r="AP1733" t="s">
        <v>407</v>
      </c>
    </row>
    <row r="1734" spans="1:42">
      <c r="A1734" s="1" t="s">
        <v>46</v>
      </c>
      <c r="B1734" s="1" t="s">
        <v>3620</v>
      </c>
      <c r="C1734" s="1" t="s">
        <v>3620</v>
      </c>
      <c r="E1734" s="4" t="s">
        <v>3621</v>
      </c>
      <c r="G1734" s="16"/>
      <c r="M1734">
        <v>1</v>
      </c>
      <c r="N1734">
        <v>2</v>
      </c>
      <c r="O1734">
        <v>0</v>
      </c>
      <c r="P1734">
        <v>63.58</v>
      </c>
      <c r="Q1734">
        <v>127.15</v>
      </c>
      <c r="R1734" t="s">
        <v>1147</v>
      </c>
      <c r="S1734">
        <v>0</v>
      </c>
      <c r="T1734" t="s">
        <v>52</v>
      </c>
      <c r="U1734">
        <v>0</v>
      </c>
      <c r="V1734">
        <v>0</v>
      </c>
      <c r="W1734">
        <v>400046</v>
      </c>
      <c r="AE1734">
        <v>0</v>
      </c>
      <c r="AP1734" t="s">
        <v>407</v>
      </c>
    </row>
    <row r="1735" spans="1:42">
      <c r="A1735" s="1" t="s">
        <v>46</v>
      </c>
      <c r="B1735" s="1" t="s">
        <v>3622</v>
      </c>
      <c r="C1735" s="1" t="s">
        <v>3622</v>
      </c>
      <c r="E1735" s="4" t="s">
        <v>3623</v>
      </c>
      <c r="G1735" s="16"/>
      <c r="M1735">
        <v>1</v>
      </c>
      <c r="N1735">
        <v>10</v>
      </c>
      <c r="O1735">
        <v>0</v>
      </c>
      <c r="P1735">
        <v>19.559999999999999</v>
      </c>
      <c r="Q1735">
        <v>195.6</v>
      </c>
      <c r="W1735">
        <v>400010</v>
      </c>
      <c r="AE1735">
        <v>0</v>
      </c>
      <c r="AP1735" t="s">
        <v>66</v>
      </c>
    </row>
    <row r="1736" spans="1:42">
      <c r="A1736" s="1" t="s">
        <v>46</v>
      </c>
      <c r="B1736" s="1" t="s">
        <v>3624</v>
      </c>
      <c r="C1736" s="1" t="s">
        <v>3624</v>
      </c>
      <c r="E1736" s="4" t="s">
        <v>3625</v>
      </c>
      <c r="G1736" s="16"/>
      <c r="M1736">
        <v>1</v>
      </c>
      <c r="N1736">
        <v>1</v>
      </c>
      <c r="O1736">
        <v>0</v>
      </c>
      <c r="P1736">
        <v>19.55</v>
      </c>
      <c r="Q1736">
        <v>19.55</v>
      </c>
      <c r="W1736">
        <v>400010</v>
      </c>
      <c r="AE1736">
        <v>0</v>
      </c>
      <c r="AP1736" t="s">
        <v>66</v>
      </c>
    </row>
    <row r="1737" spans="1:42">
      <c r="A1737" s="1" t="s">
        <v>46</v>
      </c>
      <c r="B1737" s="1" t="s">
        <v>3626</v>
      </c>
      <c r="C1737" s="1" t="s">
        <v>3626</v>
      </c>
      <c r="E1737" s="4" t="s">
        <v>3627</v>
      </c>
      <c r="G1737" s="16"/>
      <c r="M1737">
        <v>1</v>
      </c>
      <c r="N1737">
        <v>3</v>
      </c>
      <c r="O1737">
        <v>0</v>
      </c>
      <c r="P1737">
        <v>90</v>
      </c>
      <c r="Q1737">
        <v>270</v>
      </c>
      <c r="W1737">
        <v>400046</v>
      </c>
      <c r="AE1737">
        <v>0</v>
      </c>
      <c r="AP1737" t="s">
        <v>407</v>
      </c>
    </row>
    <row r="1738" spans="1:42">
      <c r="A1738" s="1" t="s">
        <v>46</v>
      </c>
      <c r="B1738" s="1" t="s">
        <v>3628</v>
      </c>
      <c r="C1738" s="1" t="s">
        <v>3628</v>
      </c>
      <c r="E1738" s="4" t="s">
        <v>3629</v>
      </c>
      <c r="G1738" s="16"/>
      <c r="M1738">
        <v>1</v>
      </c>
      <c r="N1738">
        <v>3</v>
      </c>
      <c r="O1738">
        <v>0</v>
      </c>
      <c r="P1738">
        <v>6.66</v>
      </c>
      <c r="Q1738">
        <v>19.98</v>
      </c>
      <c r="W1738">
        <v>400046</v>
      </c>
      <c r="AE1738">
        <v>0</v>
      </c>
      <c r="AP1738" t="s">
        <v>407</v>
      </c>
    </row>
    <row r="1739" spans="1:42">
      <c r="A1739" s="1" t="s">
        <v>46</v>
      </c>
      <c r="B1739" s="1" t="s">
        <v>3630</v>
      </c>
      <c r="C1739" s="1" t="s">
        <v>3630</v>
      </c>
      <c r="E1739" s="4" t="s">
        <v>3631</v>
      </c>
      <c r="G1739" s="16"/>
      <c r="M1739">
        <v>1</v>
      </c>
      <c r="N1739">
        <v>1</v>
      </c>
      <c r="O1739">
        <v>0</v>
      </c>
      <c r="P1739">
        <v>138.75</v>
      </c>
      <c r="Q1739">
        <v>138.75</v>
      </c>
      <c r="W1739">
        <v>400046</v>
      </c>
      <c r="AE1739">
        <v>0</v>
      </c>
      <c r="AP1739" t="s">
        <v>407</v>
      </c>
    </row>
    <row r="1740" spans="1:42">
      <c r="A1740" s="1" t="s">
        <v>46</v>
      </c>
      <c r="B1740" s="1" t="s">
        <v>3632</v>
      </c>
      <c r="C1740" s="1" t="s">
        <v>3632</v>
      </c>
      <c r="E1740" s="4" t="s">
        <v>3633</v>
      </c>
      <c r="G1740" s="16"/>
      <c r="M1740">
        <v>1</v>
      </c>
      <c r="N1740">
        <v>4</v>
      </c>
      <c r="O1740">
        <v>0</v>
      </c>
      <c r="P1740">
        <v>47.18</v>
      </c>
      <c r="Q1740">
        <v>188.7</v>
      </c>
      <c r="R1740" t="s">
        <v>663</v>
      </c>
      <c r="S1740">
        <v>0</v>
      </c>
      <c r="T1740" t="s">
        <v>17</v>
      </c>
      <c r="W1740">
        <v>400010</v>
      </c>
      <c r="AE1740">
        <v>0</v>
      </c>
      <c r="AP1740" t="s">
        <v>66</v>
      </c>
    </row>
    <row r="1741" spans="1:42">
      <c r="A1741" s="1" t="s">
        <v>46</v>
      </c>
      <c r="B1741" s="1" t="s">
        <v>3634</v>
      </c>
      <c r="C1741" s="1" t="s">
        <v>3634</v>
      </c>
      <c r="E1741" s="4" t="s">
        <v>3635</v>
      </c>
      <c r="G1741" s="16"/>
      <c r="M1741">
        <v>1</v>
      </c>
      <c r="N1741">
        <v>11</v>
      </c>
      <c r="O1741">
        <v>0</v>
      </c>
      <c r="P1741">
        <v>56.61</v>
      </c>
      <c r="Q1741">
        <v>622.71</v>
      </c>
      <c r="R1741" t="s">
        <v>663</v>
      </c>
      <c r="S1741">
        <v>0</v>
      </c>
      <c r="T1741" t="s">
        <v>17</v>
      </c>
      <c r="W1741">
        <v>400010</v>
      </c>
      <c r="AE1741">
        <v>0</v>
      </c>
      <c r="AP1741" t="s">
        <v>66</v>
      </c>
    </row>
    <row r="1742" spans="1:42">
      <c r="A1742" s="1" t="s">
        <v>46</v>
      </c>
      <c r="B1742" s="1" t="s">
        <v>3636</v>
      </c>
      <c r="C1742" s="1" t="s">
        <v>3636</v>
      </c>
      <c r="E1742" s="4" t="s">
        <v>3637</v>
      </c>
      <c r="G1742" s="16"/>
      <c r="I1742">
        <v>20.9</v>
      </c>
      <c r="M1742">
        <v>1</v>
      </c>
      <c r="N1742">
        <v>81</v>
      </c>
      <c r="O1742">
        <v>0</v>
      </c>
      <c r="P1742">
        <v>21.7</v>
      </c>
      <c r="Q1742">
        <v>1757.74</v>
      </c>
      <c r="R1742" t="s">
        <v>663</v>
      </c>
      <c r="S1742">
        <v>0</v>
      </c>
      <c r="T1742" t="s">
        <v>17</v>
      </c>
      <c r="U1742">
        <v>0</v>
      </c>
      <c r="V1742">
        <v>0</v>
      </c>
      <c r="W1742">
        <v>400010</v>
      </c>
      <c r="X1742" t="s">
        <v>56</v>
      </c>
      <c r="Y1742" t="s">
        <v>57</v>
      </c>
      <c r="AE1742">
        <v>0</v>
      </c>
      <c r="AH1742">
        <v>20.9</v>
      </c>
      <c r="AP1742" t="s">
        <v>66</v>
      </c>
    </row>
    <row r="1743" spans="1:42">
      <c r="A1743" s="1" t="s">
        <v>46</v>
      </c>
      <c r="B1743" s="1" t="s">
        <v>3638</v>
      </c>
      <c r="C1743" s="1" t="s">
        <v>3638</v>
      </c>
      <c r="E1743" s="4" t="s">
        <v>3639</v>
      </c>
      <c r="G1743" s="16"/>
      <c r="I1743">
        <v>22</v>
      </c>
      <c r="M1743">
        <v>1</v>
      </c>
      <c r="N1743">
        <v>1</v>
      </c>
      <c r="O1743">
        <v>0</v>
      </c>
      <c r="P1743">
        <v>23.59</v>
      </c>
      <c r="Q1743">
        <v>23.59</v>
      </c>
      <c r="R1743" t="s">
        <v>663</v>
      </c>
      <c r="S1743">
        <v>0</v>
      </c>
      <c r="T1743" t="s">
        <v>17</v>
      </c>
      <c r="U1743">
        <v>0</v>
      </c>
      <c r="V1743">
        <v>0</v>
      </c>
      <c r="W1743">
        <v>400010</v>
      </c>
      <c r="AE1743">
        <v>0</v>
      </c>
      <c r="AH1743">
        <v>22</v>
      </c>
      <c r="AP1743" t="s">
        <v>66</v>
      </c>
    </row>
    <row r="1744" spans="1:42">
      <c r="A1744" s="1" t="s">
        <v>46</v>
      </c>
      <c r="B1744" s="1" t="s">
        <v>3640</v>
      </c>
      <c r="C1744" s="1" t="s">
        <v>3640</v>
      </c>
      <c r="E1744" s="4" t="s">
        <v>3641</v>
      </c>
      <c r="G1744" s="16"/>
      <c r="I1744">
        <v>22</v>
      </c>
      <c r="M1744">
        <v>1</v>
      </c>
      <c r="N1744">
        <v>-1</v>
      </c>
      <c r="O1744">
        <v>0</v>
      </c>
      <c r="P1744">
        <v>36.14</v>
      </c>
      <c r="Q1744">
        <v>-36.14</v>
      </c>
      <c r="R1744" t="s">
        <v>663</v>
      </c>
      <c r="S1744">
        <v>0</v>
      </c>
      <c r="T1744" t="s">
        <v>17</v>
      </c>
      <c r="U1744">
        <v>0</v>
      </c>
      <c r="V1744">
        <v>0</v>
      </c>
      <c r="W1744">
        <v>400010</v>
      </c>
      <c r="AE1744">
        <v>0</v>
      </c>
      <c r="AH1744">
        <v>22</v>
      </c>
      <c r="AP1744" t="s">
        <v>66</v>
      </c>
    </row>
    <row r="1745" spans="1:42">
      <c r="A1745" s="1" t="s">
        <v>46</v>
      </c>
      <c r="B1745" s="1" t="s">
        <v>3642</v>
      </c>
      <c r="C1745" s="1" t="s">
        <v>3642</v>
      </c>
      <c r="E1745" s="4" t="s">
        <v>3643</v>
      </c>
      <c r="G1745" s="16"/>
      <c r="I1745">
        <v>22</v>
      </c>
      <c r="M1745">
        <v>1</v>
      </c>
      <c r="N1745">
        <v>1</v>
      </c>
      <c r="O1745">
        <v>0</v>
      </c>
      <c r="P1745">
        <v>19.809999999999999</v>
      </c>
      <c r="Q1745">
        <v>19.809999999999999</v>
      </c>
      <c r="R1745" t="s">
        <v>663</v>
      </c>
      <c r="S1745">
        <v>0</v>
      </c>
      <c r="T1745" t="s">
        <v>17</v>
      </c>
      <c r="U1745">
        <v>0</v>
      </c>
      <c r="V1745">
        <v>0</v>
      </c>
      <c r="W1745">
        <v>400010</v>
      </c>
      <c r="AE1745">
        <v>0</v>
      </c>
      <c r="AH1745">
        <v>22</v>
      </c>
      <c r="AP1745" t="s">
        <v>66</v>
      </c>
    </row>
    <row r="1746" spans="1:42">
      <c r="A1746" s="1" t="s">
        <v>46</v>
      </c>
      <c r="B1746" s="1" t="s">
        <v>3644</v>
      </c>
      <c r="C1746" s="1" t="s">
        <v>3644</v>
      </c>
      <c r="E1746" s="4" t="s">
        <v>3645</v>
      </c>
      <c r="G1746" s="16"/>
      <c r="I1746">
        <v>22</v>
      </c>
      <c r="M1746">
        <v>1</v>
      </c>
      <c r="N1746">
        <v>20</v>
      </c>
      <c r="O1746">
        <v>0</v>
      </c>
      <c r="P1746">
        <v>23.59</v>
      </c>
      <c r="Q1746">
        <v>471.75</v>
      </c>
      <c r="R1746" t="s">
        <v>663</v>
      </c>
      <c r="S1746">
        <v>0</v>
      </c>
      <c r="T1746" t="s">
        <v>17</v>
      </c>
      <c r="U1746">
        <v>0</v>
      </c>
      <c r="V1746">
        <v>0</v>
      </c>
      <c r="W1746">
        <v>400010</v>
      </c>
      <c r="X1746" t="s">
        <v>56</v>
      </c>
      <c r="Y1746" t="s">
        <v>57</v>
      </c>
      <c r="AE1746">
        <v>0</v>
      </c>
      <c r="AH1746">
        <v>22</v>
      </c>
      <c r="AP1746" t="s">
        <v>66</v>
      </c>
    </row>
    <row r="1747" spans="1:42">
      <c r="A1747" s="1" t="s">
        <v>46</v>
      </c>
      <c r="B1747" s="1" t="s">
        <v>3646</v>
      </c>
      <c r="C1747" s="1" t="s">
        <v>3646</v>
      </c>
      <c r="E1747" s="4" t="s">
        <v>3647</v>
      </c>
      <c r="G1747" s="16"/>
      <c r="M1747">
        <v>1</v>
      </c>
      <c r="N1747">
        <v>2</v>
      </c>
      <c r="O1747">
        <v>0</v>
      </c>
      <c r="P1747">
        <v>32.08</v>
      </c>
      <c r="Q1747">
        <v>64.16</v>
      </c>
      <c r="R1747" t="s">
        <v>663</v>
      </c>
      <c r="S1747">
        <v>0</v>
      </c>
      <c r="T1747" t="s">
        <v>17</v>
      </c>
      <c r="U1747">
        <v>0</v>
      </c>
      <c r="V1747">
        <v>0</v>
      </c>
      <c r="W1747">
        <v>400010</v>
      </c>
      <c r="AE1747">
        <v>0</v>
      </c>
      <c r="AP1747" t="s">
        <v>66</v>
      </c>
    </row>
    <row r="1748" spans="1:42">
      <c r="A1748" s="1" t="s">
        <v>46</v>
      </c>
      <c r="B1748" s="1" t="s">
        <v>3648</v>
      </c>
      <c r="C1748" s="1" t="s">
        <v>3648</v>
      </c>
      <c r="E1748" s="4" t="s">
        <v>3649</v>
      </c>
      <c r="G1748" s="16">
        <v>27</v>
      </c>
      <c r="M1748">
        <v>1</v>
      </c>
      <c r="N1748">
        <v>1</v>
      </c>
      <c r="O1748">
        <v>0</v>
      </c>
      <c r="P1748">
        <v>37.74</v>
      </c>
      <c r="Q1748">
        <v>37.74</v>
      </c>
      <c r="R1748" t="s">
        <v>663</v>
      </c>
      <c r="S1748">
        <v>0</v>
      </c>
      <c r="T1748" t="s">
        <v>17</v>
      </c>
      <c r="U1748">
        <v>0</v>
      </c>
      <c r="V1748">
        <v>0</v>
      </c>
      <c r="W1748">
        <v>400010</v>
      </c>
      <c r="AE1748">
        <v>0</v>
      </c>
      <c r="AP1748" t="s">
        <v>66</v>
      </c>
    </row>
    <row r="1749" spans="1:42">
      <c r="A1749" s="1" t="s">
        <v>46</v>
      </c>
      <c r="B1749" s="1" t="s">
        <v>3650</v>
      </c>
      <c r="C1749" s="1" t="s">
        <v>3650</v>
      </c>
      <c r="E1749" s="4" t="s">
        <v>3651</v>
      </c>
      <c r="G1749" s="16">
        <v>27</v>
      </c>
      <c r="M1749">
        <v>1</v>
      </c>
      <c r="N1749">
        <v>1</v>
      </c>
      <c r="O1749">
        <v>0</v>
      </c>
      <c r="P1749">
        <v>42.46</v>
      </c>
      <c r="Q1749">
        <v>42.46</v>
      </c>
      <c r="R1749" t="s">
        <v>663</v>
      </c>
      <c r="S1749">
        <v>0</v>
      </c>
      <c r="T1749" t="s">
        <v>17</v>
      </c>
      <c r="U1749">
        <v>0</v>
      </c>
      <c r="V1749">
        <v>0</v>
      </c>
      <c r="W1749">
        <v>400010</v>
      </c>
      <c r="AE1749">
        <v>0</v>
      </c>
      <c r="AP1749" t="s">
        <v>66</v>
      </c>
    </row>
    <row r="1750" spans="1:42">
      <c r="A1750" s="1" t="s">
        <v>46</v>
      </c>
      <c r="B1750" s="1" t="s">
        <v>3652</v>
      </c>
      <c r="C1750" s="1" t="s">
        <v>3652</v>
      </c>
      <c r="E1750" s="4" t="s">
        <v>3653</v>
      </c>
      <c r="G1750" s="16"/>
      <c r="I1750">
        <v>28.6</v>
      </c>
      <c r="M1750">
        <v>1</v>
      </c>
      <c r="N1750">
        <v>124</v>
      </c>
      <c r="O1750">
        <v>0</v>
      </c>
      <c r="P1750">
        <v>31.14</v>
      </c>
      <c r="Q1750">
        <v>3860.8</v>
      </c>
      <c r="R1750" t="s">
        <v>663</v>
      </c>
      <c r="S1750">
        <v>0</v>
      </c>
      <c r="T1750" t="s">
        <v>17</v>
      </c>
      <c r="U1750">
        <v>0</v>
      </c>
      <c r="V1750">
        <v>0</v>
      </c>
      <c r="W1750">
        <v>400010</v>
      </c>
      <c r="X1750" t="s">
        <v>56</v>
      </c>
      <c r="Y1750" t="s">
        <v>57</v>
      </c>
      <c r="AE1750">
        <v>0</v>
      </c>
      <c r="AH1750">
        <v>28.6</v>
      </c>
      <c r="AP1750" t="s">
        <v>66</v>
      </c>
    </row>
    <row r="1751" spans="1:42">
      <c r="A1751" s="1" t="s">
        <v>46</v>
      </c>
      <c r="B1751" s="1" t="s">
        <v>3654</v>
      </c>
      <c r="C1751" s="1" t="s">
        <v>3654</v>
      </c>
      <c r="E1751" s="4" t="s">
        <v>3655</v>
      </c>
      <c r="G1751" s="16"/>
      <c r="I1751">
        <v>29.7</v>
      </c>
      <c r="M1751">
        <v>1</v>
      </c>
      <c r="N1751">
        <v>1</v>
      </c>
      <c r="O1751">
        <v>0</v>
      </c>
      <c r="P1751">
        <v>42</v>
      </c>
      <c r="Q1751">
        <v>42</v>
      </c>
      <c r="R1751" t="s">
        <v>663</v>
      </c>
      <c r="S1751">
        <v>0</v>
      </c>
      <c r="T1751" t="s">
        <v>17</v>
      </c>
      <c r="U1751">
        <v>0</v>
      </c>
      <c r="V1751">
        <v>0</v>
      </c>
      <c r="W1751">
        <v>400010</v>
      </c>
      <c r="AE1751">
        <v>0</v>
      </c>
      <c r="AH1751">
        <v>29.7</v>
      </c>
      <c r="AP1751" t="s">
        <v>66</v>
      </c>
    </row>
    <row r="1752" spans="1:42">
      <c r="A1752" s="1" t="s">
        <v>46</v>
      </c>
      <c r="B1752" s="1" t="s">
        <v>3656</v>
      </c>
      <c r="C1752" s="1" t="s">
        <v>3656</v>
      </c>
      <c r="E1752" s="4" t="s">
        <v>3657</v>
      </c>
      <c r="G1752" s="16"/>
      <c r="I1752">
        <v>29.7</v>
      </c>
      <c r="M1752">
        <v>1</v>
      </c>
      <c r="N1752">
        <v>5</v>
      </c>
      <c r="O1752">
        <v>0</v>
      </c>
      <c r="P1752">
        <v>29.25</v>
      </c>
      <c r="Q1752">
        <v>146.24</v>
      </c>
      <c r="R1752" t="s">
        <v>663</v>
      </c>
      <c r="S1752">
        <v>0</v>
      </c>
      <c r="T1752" t="s">
        <v>17</v>
      </c>
      <c r="U1752">
        <v>0</v>
      </c>
      <c r="V1752">
        <v>0</v>
      </c>
      <c r="W1752">
        <v>400010</v>
      </c>
      <c r="AE1752">
        <v>0</v>
      </c>
      <c r="AH1752">
        <v>29.7</v>
      </c>
      <c r="AP1752" t="s">
        <v>66</v>
      </c>
    </row>
    <row r="1753" spans="1:42">
      <c r="A1753" s="1" t="s">
        <v>46</v>
      </c>
      <c r="B1753" s="1" t="s">
        <v>3658</v>
      </c>
      <c r="C1753" s="1" t="s">
        <v>3658</v>
      </c>
      <c r="E1753" s="4" t="s">
        <v>3659</v>
      </c>
      <c r="G1753" s="16"/>
      <c r="I1753">
        <v>29.7</v>
      </c>
      <c r="M1753">
        <v>1</v>
      </c>
      <c r="N1753">
        <v>3</v>
      </c>
      <c r="O1753">
        <v>0</v>
      </c>
      <c r="P1753">
        <v>29.25</v>
      </c>
      <c r="Q1753">
        <v>87.75</v>
      </c>
      <c r="R1753" t="s">
        <v>663</v>
      </c>
      <c r="S1753">
        <v>0</v>
      </c>
      <c r="T1753" t="s">
        <v>17</v>
      </c>
      <c r="U1753">
        <v>0</v>
      </c>
      <c r="V1753">
        <v>0</v>
      </c>
      <c r="W1753">
        <v>400010</v>
      </c>
      <c r="AE1753">
        <v>0</v>
      </c>
      <c r="AH1753">
        <v>29.7</v>
      </c>
      <c r="AP1753" t="s">
        <v>66</v>
      </c>
    </row>
    <row r="1754" spans="1:42">
      <c r="A1754" s="1" t="s">
        <v>46</v>
      </c>
      <c r="B1754" s="1" t="s">
        <v>3660</v>
      </c>
      <c r="C1754" s="1" t="s">
        <v>3660</v>
      </c>
      <c r="E1754" s="4" t="s">
        <v>3661</v>
      </c>
      <c r="G1754" s="16"/>
      <c r="I1754">
        <v>29.7</v>
      </c>
      <c r="M1754">
        <v>1</v>
      </c>
      <c r="N1754">
        <v>1</v>
      </c>
      <c r="O1754">
        <v>0</v>
      </c>
      <c r="P1754">
        <v>43.4</v>
      </c>
      <c r="Q1754">
        <v>43.4</v>
      </c>
      <c r="R1754" t="s">
        <v>663</v>
      </c>
      <c r="S1754">
        <v>0</v>
      </c>
      <c r="T1754" t="s">
        <v>17</v>
      </c>
      <c r="U1754">
        <v>0</v>
      </c>
      <c r="V1754">
        <v>0</v>
      </c>
      <c r="W1754">
        <v>400010</v>
      </c>
      <c r="AE1754">
        <v>0</v>
      </c>
      <c r="AH1754">
        <v>29.7</v>
      </c>
      <c r="AP1754" t="s">
        <v>66</v>
      </c>
    </row>
    <row r="1755" spans="1:42">
      <c r="A1755" s="1" t="s">
        <v>46</v>
      </c>
      <c r="B1755" s="1" t="s">
        <v>3662</v>
      </c>
      <c r="C1755" s="1" t="s">
        <v>3662</v>
      </c>
      <c r="E1755" s="4" t="s">
        <v>3663</v>
      </c>
      <c r="G1755" s="16">
        <v>45</v>
      </c>
      <c r="I1755">
        <v>29.7</v>
      </c>
      <c r="M1755">
        <v>1</v>
      </c>
      <c r="N1755">
        <v>28</v>
      </c>
      <c r="O1755">
        <v>0</v>
      </c>
      <c r="P1755">
        <v>32.08</v>
      </c>
      <c r="Q1755">
        <v>898.21</v>
      </c>
      <c r="R1755" t="s">
        <v>663</v>
      </c>
      <c r="S1755">
        <v>0</v>
      </c>
      <c r="T1755" t="s">
        <v>17</v>
      </c>
      <c r="U1755">
        <v>0</v>
      </c>
      <c r="V1755">
        <v>0</v>
      </c>
      <c r="W1755">
        <v>400010</v>
      </c>
      <c r="X1755" t="s">
        <v>56</v>
      </c>
      <c r="Y1755" t="s">
        <v>57</v>
      </c>
      <c r="AE1755">
        <v>0</v>
      </c>
      <c r="AH1755">
        <v>29.7</v>
      </c>
      <c r="AP1755" t="s">
        <v>66</v>
      </c>
    </row>
    <row r="1756" spans="1:42">
      <c r="A1756" s="1" t="s">
        <v>46</v>
      </c>
      <c r="B1756" s="1" t="s">
        <v>3664</v>
      </c>
      <c r="C1756" s="1" t="s">
        <v>3664</v>
      </c>
      <c r="E1756" s="4" t="s">
        <v>3665</v>
      </c>
      <c r="G1756" s="16">
        <v>60</v>
      </c>
      <c r="M1756">
        <v>1</v>
      </c>
      <c r="N1756">
        <v>4</v>
      </c>
      <c r="O1756">
        <v>0</v>
      </c>
      <c r="P1756">
        <v>39.630000000000003</v>
      </c>
      <c r="Q1756">
        <v>158.51</v>
      </c>
      <c r="R1756" t="s">
        <v>663</v>
      </c>
      <c r="S1756">
        <v>0</v>
      </c>
      <c r="T1756" t="s">
        <v>17</v>
      </c>
      <c r="U1756">
        <v>0</v>
      </c>
      <c r="V1756">
        <v>0</v>
      </c>
      <c r="W1756">
        <v>400010</v>
      </c>
      <c r="AE1756">
        <v>0</v>
      </c>
      <c r="AP1756" t="s">
        <v>66</v>
      </c>
    </row>
    <row r="1757" spans="1:42">
      <c r="A1757" s="1" t="s">
        <v>46</v>
      </c>
      <c r="B1757" s="1" t="s">
        <v>3666</v>
      </c>
      <c r="C1757" s="1" t="s">
        <v>3666</v>
      </c>
      <c r="E1757" s="4" t="s">
        <v>3667</v>
      </c>
      <c r="G1757" s="16">
        <v>55</v>
      </c>
      <c r="M1757">
        <v>1</v>
      </c>
      <c r="N1757">
        <v>3</v>
      </c>
      <c r="O1757">
        <v>0</v>
      </c>
      <c r="P1757">
        <v>40.57</v>
      </c>
      <c r="Q1757">
        <v>121.71</v>
      </c>
      <c r="R1757" t="s">
        <v>663</v>
      </c>
      <c r="S1757">
        <v>0</v>
      </c>
      <c r="T1757" t="s">
        <v>17</v>
      </c>
      <c r="U1757">
        <v>0</v>
      </c>
      <c r="V1757">
        <v>0</v>
      </c>
      <c r="W1757">
        <v>400017</v>
      </c>
      <c r="AE1757">
        <v>0</v>
      </c>
      <c r="AP1757" t="s">
        <v>49</v>
      </c>
    </row>
    <row r="1758" spans="1:42">
      <c r="A1758" s="1" t="s">
        <v>46</v>
      </c>
      <c r="B1758" s="1" t="s">
        <v>3668</v>
      </c>
      <c r="C1758" s="1" t="s">
        <v>3668</v>
      </c>
      <c r="E1758" s="4" t="s">
        <v>3669</v>
      </c>
      <c r="G1758" s="16"/>
      <c r="M1758">
        <v>1</v>
      </c>
      <c r="N1758">
        <v>1</v>
      </c>
      <c r="O1758">
        <v>0</v>
      </c>
      <c r="P1758">
        <v>40.04</v>
      </c>
      <c r="Q1758">
        <v>40.04</v>
      </c>
      <c r="R1758" t="s">
        <v>663</v>
      </c>
      <c r="S1758">
        <v>0</v>
      </c>
      <c r="T1758" t="s">
        <v>17</v>
      </c>
      <c r="U1758">
        <v>0</v>
      </c>
      <c r="V1758">
        <v>0</v>
      </c>
      <c r="W1758">
        <v>400010</v>
      </c>
      <c r="AE1758">
        <v>0</v>
      </c>
      <c r="AP1758" t="s">
        <v>66</v>
      </c>
    </row>
    <row r="1759" spans="1:42">
      <c r="A1759" s="1" t="s">
        <v>46</v>
      </c>
      <c r="B1759" s="1" t="s">
        <v>3670</v>
      </c>
      <c r="C1759" s="1" t="s">
        <v>3670</v>
      </c>
      <c r="E1759" s="4" t="s">
        <v>3671</v>
      </c>
      <c r="G1759" s="16">
        <v>55</v>
      </c>
      <c r="M1759">
        <v>1</v>
      </c>
      <c r="N1759">
        <v>2</v>
      </c>
      <c r="O1759">
        <v>0</v>
      </c>
      <c r="P1759">
        <v>41.51</v>
      </c>
      <c r="Q1759">
        <v>83.03</v>
      </c>
      <c r="R1759" t="s">
        <v>663</v>
      </c>
      <c r="S1759">
        <v>0</v>
      </c>
      <c r="T1759" t="s">
        <v>17</v>
      </c>
      <c r="U1759">
        <v>0</v>
      </c>
      <c r="V1759">
        <v>0</v>
      </c>
      <c r="W1759">
        <v>400010</v>
      </c>
      <c r="AE1759">
        <v>0</v>
      </c>
      <c r="AP1759" t="s">
        <v>66</v>
      </c>
    </row>
    <row r="1760" spans="1:42">
      <c r="A1760" s="1" t="s">
        <v>46</v>
      </c>
      <c r="B1760" s="1" t="s">
        <v>3672</v>
      </c>
      <c r="C1760" s="1" t="s">
        <v>3672</v>
      </c>
      <c r="E1760" s="4" t="s">
        <v>3673</v>
      </c>
      <c r="G1760" s="16">
        <v>80</v>
      </c>
      <c r="M1760">
        <v>1</v>
      </c>
      <c r="N1760">
        <v>1</v>
      </c>
      <c r="O1760">
        <v>0</v>
      </c>
      <c r="P1760">
        <v>43.4</v>
      </c>
      <c r="Q1760">
        <v>43.4</v>
      </c>
      <c r="W1760">
        <v>400010</v>
      </c>
      <c r="AE1760">
        <v>0</v>
      </c>
      <c r="AP1760" t="s">
        <v>66</v>
      </c>
    </row>
    <row r="1761" spans="1:42">
      <c r="A1761" s="1" t="s">
        <v>46</v>
      </c>
      <c r="B1761" s="1" t="s">
        <v>3674</v>
      </c>
      <c r="C1761" s="1" t="s">
        <v>3674</v>
      </c>
      <c r="E1761" s="4" t="s">
        <v>3675</v>
      </c>
      <c r="G1761" s="16"/>
      <c r="M1761">
        <v>1</v>
      </c>
      <c r="N1761">
        <v>1</v>
      </c>
      <c r="O1761">
        <v>0</v>
      </c>
      <c r="P1761">
        <v>41.51</v>
      </c>
      <c r="Q1761">
        <v>41.51</v>
      </c>
      <c r="R1761" t="s">
        <v>663</v>
      </c>
      <c r="S1761">
        <v>0</v>
      </c>
      <c r="T1761" t="s">
        <v>17</v>
      </c>
      <c r="U1761">
        <v>0</v>
      </c>
      <c r="V1761">
        <v>0</v>
      </c>
      <c r="W1761">
        <v>400010</v>
      </c>
      <c r="AE1761">
        <v>0</v>
      </c>
      <c r="AP1761" t="s">
        <v>66</v>
      </c>
    </row>
    <row r="1762" spans="1:42">
      <c r="A1762" s="1" t="s">
        <v>46</v>
      </c>
      <c r="B1762" s="1" t="s">
        <v>3676</v>
      </c>
      <c r="C1762" s="1" t="s">
        <v>3676</v>
      </c>
      <c r="E1762" s="4" t="s">
        <v>3677</v>
      </c>
      <c r="G1762" s="16"/>
      <c r="I1762">
        <v>17.600000000000001</v>
      </c>
      <c r="M1762">
        <v>1</v>
      </c>
      <c r="N1762">
        <v>352</v>
      </c>
      <c r="O1762">
        <v>0</v>
      </c>
      <c r="P1762">
        <v>19.809999999999999</v>
      </c>
      <c r="Q1762">
        <v>6974.35</v>
      </c>
      <c r="R1762" t="s">
        <v>663</v>
      </c>
      <c r="S1762">
        <v>0</v>
      </c>
      <c r="T1762" t="s">
        <v>17</v>
      </c>
      <c r="U1762">
        <v>0</v>
      </c>
      <c r="V1762">
        <v>0</v>
      </c>
      <c r="W1762">
        <v>400010</v>
      </c>
      <c r="X1762" t="s">
        <v>56</v>
      </c>
      <c r="Y1762" t="s">
        <v>57</v>
      </c>
      <c r="AE1762">
        <v>0</v>
      </c>
      <c r="AH1762">
        <v>17.600000000000001</v>
      </c>
      <c r="AP1762" t="s">
        <v>66</v>
      </c>
    </row>
    <row r="1763" spans="1:42">
      <c r="A1763" s="1" t="s">
        <v>46</v>
      </c>
      <c r="B1763" s="1" t="s">
        <v>3678</v>
      </c>
      <c r="C1763" s="1" t="s">
        <v>3678</v>
      </c>
      <c r="E1763" s="4" t="s">
        <v>3679</v>
      </c>
      <c r="G1763" s="16">
        <v>150</v>
      </c>
      <c r="I1763">
        <v>18.7</v>
      </c>
      <c r="M1763">
        <v>1</v>
      </c>
      <c r="N1763">
        <v>1</v>
      </c>
      <c r="O1763">
        <v>0</v>
      </c>
      <c r="P1763">
        <v>16.04</v>
      </c>
      <c r="Q1763">
        <v>16.04</v>
      </c>
      <c r="R1763" t="s">
        <v>663</v>
      </c>
      <c r="S1763">
        <v>0</v>
      </c>
      <c r="T1763" t="s">
        <v>17</v>
      </c>
      <c r="U1763">
        <v>0</v>
      </c>
      <c r="V1763">
        <v>0</v>
      </c>
      <c r="W1763">
        <v>400010</v>
      </c>
      <c r="AE1763">
        <v>0</v>
      </c>
      <c r="AH1763">
        <v>18.7</v>
      </c>
      <c r="AP1763" t="s">
        <v>66</v>
      </c>
    </row>
    <row r="1764" spans="1:42">
      <c r="A1764" s="1" t="s">
        <v>46</v>
      </c>
      <c r="B1764" s="1" t="s">
        <v>3680</v>
      </c>
      <c r="C1764" s="1" t="s">
        <v>3680</v>
      </c>
      <c r="E1764" s="4" t="s">
        <v>3681</v>
      </c>
      <c r="G1764" s="16"/>
      <c r="I1764">
        <v>18.7</v>
      </c>
      <c r="M1764">
        <v>1</v>
      </c>
      <c r="N1764">
        <v>2</v>
      </c>
      <c r="O1764">
        <v>0</v>
      </c>
      <c r="P1764">
        <v>16.98</v>
      </c>
      <c r="Q1764">
        <v>33.97</v>
      </c>
      <c r="R1764" t="s">
        <v>663</v>
      </c>
      <c r="S1764">
        <v>0</v>
      </c>
      <c r="T1764" t="s">
        <v>17</v>
      </c>
      <c r="U1764">
        <v>0</v>
      </c>
      <c r="V1764">
        <v>0</v>
      </c>
      <c r="W1764">
        <v>400010</v>
      </c>
      <c r="AE1764">
        <v>0</v>
      </c>
      <c r="AH1764">
        <v>18.7</v>
      </c>
      <c r="AP1764" t="s">
        <v>66</v>
      </c>
    </row>
    <row r="1765" spans="1:42">
      <c r="A1765" s="1" t="s">
        <v>46</v>
      </c>
      <c r="B1765" s="1" t="s">
        <v>3682</v>
      </c>
      <c r="C1765" s="1" t="s">
        <v>3682</v>
      </c>
      <c r="E1765" s="4" t="s">
        <v>3683</v>
      </c>
      <c r="G1765" s="16">
        <v>85</v>
      </c>
      <c r="M1765">
        <v>1</v>
      </c>
      <c r="N1765">
        <v>1</v>
      </c>
      <c r="O1765">
        <v>0</v>
      </c>
      <c r="P1765">
        <v>18.87</v>
      </c>
      <c r="Q1765">
        <v>18.87</v>
      </c>
      <c r="R1765" t="s">
        <v>663</v>
      </c>
      <c r="S1765">
        <v>0</v>
      </c>
      <c r="T1765" t="s">
        <v>17</v>
      </c>
      <c r="U1765">
        <v>0</v>
      </c>
      <c r="V1765">
        <v>0</v>
      </c>
      <c r="W1765">
        <v>400010</v>
      </c>
      <c r="AE1765">
        <v>0</v>
      </c>
      <c r="AP1765" t="s">
        <v>66</v>
      </c>
    </row>
    <row r="1766" spans="1:42">
      <c r="A1766" s="1" t="s">
        <v>46</v>
      </c>
      <c r="B1766" s="1" t="s">
        <v>3684</v>
      </c>
      <c r="C1766" s="1" t="s">
        <v>3684</v>
      </c>
      <c r="E1766" s="4" t="s">
        <v>3685</v>
      </c>
      <c r="G1766" s="16">
        <v>75</v>
      </c>
      <c r="I1766">
        <v>18.7</v>
      </c>
      <c r="M1766">
        <v>1</v>
      </c>
      <c r="N1766">
        <v>30</v>
      </c>
      <c r="O1766">
        <v>0</v>
      </c>
      <c r="P1766">
        <v>18.87</v>
      </c>
      <c r="Q1766">
        <v>566.1</v>
      </c>
      <c r="R1766" t="s">
        <v>663</v>
      </c>
      <c r="S1766">
        <v>0</v>
      </c>
      <c r="T1766" t="s">
        <v>17</v>
      </c>
      <c r="U1766">
        <v>0</v>
      </c>
      <c r="V1766">
        <v>0</v>
      </c>
      <c r="W1766">
        <v>400010</v>
      </c>
      <c r="X1766" t="s">
        <v>56</v>
      </c>
      <c r="Y1766" t="s">
        <v>57</v>
      </c>
      <c r="AE1766">
        <v>0</v>
      </c>
      <c r="AH1766">
        <v>18.7</v>
      </c>
      <c r="AP1766" t="s">
        <v>66</v>
      </c>
    </row>
    <row r="1767" spans="1:42">
      <c r="A1767" s="1" t="s">
        <v>46</v>
      </c>
      <c r="B1767" s="1" t="s">
        <v>3686</v>
      </c>
      <c r="C1767" s="1" t="s">
        <v>3686</v>
      </c>
      <c r="E1767" s="4" t="s">
        <v>3687</v>
      </c>
      <c r="G1767" s="16">
        <v>35</v>
      </c>
      <c r="M1767">
        <v>1</v>
      </c>
      <c r="N1767">
        <v>-1</v>
      </c>
      <c r="O1767">
        <v>0</v>
      </c>
      <c r="P1767">
        <v>30.28</v>
      </c>
      <c r="Q1767">
        <v>-30.28</v>
      </c>
      <c r="R1767" t="s">
        <v>663</v>
      </c>
      <c r="S1767">
        <v>0</v>
      </c>
      <c r="T1767" t="s">
        <v>17</v>
      </c>
      <c r="U1767">
        <v>0</v>
      </c>
      <c r="V1767">
        <v>0</v>
      </c>
      <c r="W1767">
        <v>400004</v>
      </c>
      <c r="AE1767">
        <v>0</v>
      </c>
      <c r="AP1767" t="s">
        <v>352</v>
      </c>
    </row>
    <row r="1768" spans="1:42">
      <c r="A1768" s="1" t="s">
        <v>46</v>
      </c>
      <c r="B1768" s="1" t="s">
        <v>3688</v>
      </c>
      <c r="C1768" s="1" t="s">
        <v>3688</v>
      </c>
      <c r="E1768" s="4" t="s">
        <v>3689</v>
      </c>
      <c r="G1768" s="16">
        <v>100</v>
      </c>
      <c r="M1768">
        <v>1</v>
      </c>
      <c r="N1768">
        <v>1</v>
      </c>
      <c r="O1768">
        <v>0</v>
      </c>
      <c r="P1768">
        <v>42.46</v>
      </c>
      <c r="Q1768">
        <v>42.46</v>
      </c>
      <c r="R1768" t="s">
        <v>663</v>
      </c>
      <c r="S1768">
        <v>0</v>
      </c>
      <c r="T1768" t="s">
        <v>17</v>
      </c>
      <c r="U1768">
        <v>0</v>
      </c>
      <c r="V1768">
        <v>0</v>
      </c>
      <c r="W1768">
        <v>400010</v>
      </c>
      <c r="X1768" t="s">
        <v>56</v>
      </c>
      <c r="Y1768" t="s">
        <v>57</v>
      </c>
      <c r="AE1768">
        <v>0</v>
      </c>
      <c r="AP1768" t="s">
        <v>66</v>
      </c>
    </row>
    <row r="1769" spans="1:42">
      <c r="A1769" s="1" t="s">
        <v>46</v>
      </c>
      <c r="B1769" s="1" t="s">
        <v>3690</v>
      </c>
      <c r="C1769" s="1" t="s">
        <v>3690</v>
      </c>
      <c r="E1769" s="4" t="s">
        <v>3691</v>
      </c>
      <c r="G1769" s="16"/>
      <c r="M1769">
        <v>1</v>
      </c>
      <c r="N1769">
        <v>1</v>
      </c>
      <c r="O1769">
        <v>0</v>
      </c>
      <c r="P1769">
        <v>38.1</v>
      </c>
      <c r="Q1769">
        <v>38.1</v>
      </c>
      <c r="R1769" t="s">
        <v>663</v>
      </c>
      <c r="S1769">
        <v>0</v>
      </c>
      <c r="T1769" t="s">
        <v>17</v>
      </c>
      <c r="W1769">
        <v>400010</v>
      </c>
      <c r="AE1769">
        <v>0</v>
      </c>
      <c r="AP1769" t="s">
        <v>66</v>
      </c>
    </row>
    <row r="1770" spans="1:42">
      <c r="A1770" s="1" t="s">
        <v>46</v>
      </c>
      <c r="B1770" s="1" t="s">
        <v>3692</v>
      </c>
      <c r="C1770" s="1" t="s">
        <v>3692</v>
      </c>
      <c r="E1770" s="4" t="s">
        <v>3693</v>
      </c>
      <c r="G1770" s="16"/>
      <c r="M1770">
        <v>1</v>
      </c>
      <c r="N1770">
        <v>2</v>
      </c>
      <c r="O1770">
        <v>0</v>
      </c>
      <c r="P1770">
        <v>50.01</v>
      </c>
      <c r="Q1770">
        <v>100.01</v>
      </c>
      <c r="R1770" t="s">
        <v>663</v>
      </c>
      <c r="S1770">
        <v>0</v>
      </c>
      <c r="T1770" t="s">
        <v>17</v>
      </c>
      <c r="W1770">
        <v>400010</v>
      </c>
      <c r="AE1770">
        <v>0</v>
      </c>
      <c r="AP1770" t="s">
        <v>66</v>
      </c>
    </row>
    <row r="1771" spans="1:42">
      <c r="A1771" s="1" t="s">
        <v>46</v>
      </c>
      <c r="B1771" s="1" t="s">
        <v>3694</v>
      </c>
      <c r="C1771" s="1" t="s">
        <v>3694</v>
      </c>
      <c r="E1771" s="4" t="s">
        <v>3695</v>
      </c>
      <c r="G1771" s="16"/>
      <c r="M1771">
        <v>1</v>
      </c>
      <c r="N1771">
        <v>18</v>
      </c>
      <c r="O1771">
        <v>0</v>
      </c>
      <c r="P1771">
        <v>41.74</v>
      </c>
      <c r="Q1771">
        <v>751.25</v>
      </c>
      <c r="R1771" t="s">
        <v>663</v>
      </c>
      <c r="S1771">
        <v>0</v>
      </c>
      <c r="T1771" t="s">
        <v>17</v>
      </c>
      <c r="U1771">
        <v>0</v>
      </c>
      <c r="V1771">
        <v>0</v>
      </c>
      <c r="W1771">
        <v>400013</v>
      </c>
      <c r="AE1771">
        <v>0</v>
      </c>
      <c r="AP1771" t="s">
        <v>232</v>
      </c>
    </row>
    <row r="1772" spans="1:42">
      <c r="A1772" s="1" t="s">
        <v>46</v>
      </c>
      <c r="B1772" s="1" t="s">
        <v>3696</v>
      </c>
      <c r="C1772" s="1" t="s">
        <v>3696</v>
      </c>
      <c r="E1772" s="4" t="s">
        <v>3697</v>
      </c>
      <c r="G1772" s="16">
        <v>185</v>
      </c>
      <c r="M1772">
        <v>1</v>
      </c>
      <c r="N1772">
        <v>2</v>
      </c>
      <c r="O1772">
        <v>0</v>
      </c>
      <c r="P1772">
        <v>44.34</v>
      </c>
      <c r="Q1772">
        <v>88.69</v>
      </c>
      <c r="R1772" t="s">
        <v>663</v>
      </c>
      <c r="S1772">
        <v>0</v>
      </c>
      <c r="T1772" t="s">
        <v>17</v>
      </c>
      <c r="U1772">
        <v>0</v>
      </c>
      <c r="V1772">
        <v>0</v>
      </c>
      <c r="W1772">
        <v>400010</v>
      </c>
      <c r="AE1772">
        <v>0</v>
      </c>
      <c r="AP1772" t="s">
        <v>66</v>
      </c>
    </row>
    <row r="1773" spans="1:42">
      <c r="A1773" s="1" t="s">
        <v>46</v>
      </c>
      <c r="B1773" s="1" t="s">
        <v>3698</v>
      </c>
      <c r="C1773" s="1" t="s">
        <v>3698</v>
      </c>
      <c r="E1773" s="4" t="s">
        <v>3699</v>
      </c>
      <c r="G1773" s="16"/>
      <c r="M1773">
        <v>1</v>
      </c>
      <c r="N1773">
        <v>3</v>
      </c>
      <c r="O1773">
        <v>0</v>
      </c>
      <c r="P1773">
        <v>43.82</v>
      </c>
      <c r="Q1773">
        <v>131.47</v>
      </c>
      <c r="R1773" t="s">
        <v>663</v>
      </c>
      <c r="S1773">
        <v>0</v>
      </c>
      <c r="T1773" t="s">
        <v>17</v>
      </c>
      <c r="U1773">
        <v>0</v>
      </c>
      <c r="V1773">
        <v>0</v>
      </c>
      <c r="W1773">
        <v>400013</v>
      </c>
      <c r="AE1773">
        <v>0</v>
      </c>
      <c r="AP1773" t="s">
        <v>232</v>
      </c>
    </row>
    <row r="1774" spans="1:42">
      <c r="A1774" s="1" t="s">
        <v>46</v>
      </c>
      <c r="B1774" s="1" t="s">
        <v>3700</v>
      </c>
      <c r="C1774" s="1" t="s">
        <v>3700</v>
      </c>
      <c r="E1774" s="4" t="s">
        <v>3701</v>
      </c>
      <c r="G1774" s="16">
        <v>100</v>
      </c>
      <c r="I1774">
        <v>31.9</v>
      </c>
      <c r="M1774">
        <v>1</v>
      </c>
      <c r="N1774">
        <v>12</v>
      </c>
      <c r="O1774">
        <v>0</v>
      </c>
      <c r="P1774">
        <v>33.97</v>
      </c>
      <c r="Q1774">
        <v>407.59</v>
      </c>
      <c r="R1774" t="s">
        <v>663</v>
      </c>
      <c r="S1774">
        <v>0</v>
      </c>
      <c r="T1774" t="s">
        <v>17</v>
      </c>
      <c r="U1774">
        <v>0</v>
      </c>
      <c r="V1774">
        <v>0</v>
      </c>
      <c r="W1774">
        <v>400010</v>
      </c>
      <c r="AE1774">
        <v>0</v>
      </c>
      <c r="AH1774">
        <v>31.9</v>
      </c>
      <c r="AP1774" t="s">
        <v>66</v>
      </c>
    </row>
    <row r="1775" spans="1:42">
      <c r="A1775" s="1" t="s">
        <v>46</v>
      </c>
      <c r="B1775" s="1" t="s">
        <v>3702</v>
      </c>
      <c r="C1775" s="1" t="s">
        <v>3702</v>
      </c>
      <c r="E1775" s="4" t="s">
        <v>3703</v>
      </c>
      <c r="G1775" s="16">
        <v>55</v>
      </c>
      <c r="I1775">
        <v>33</v>
      </c>
      <c r="M1775">
        <v>1</v>
      </c>
      <c r="N1775">
        <v>4</v>
      </c>
      <c r="O1775">
        <v>0</v>
      </c>
      <c r="P1775">
        <v>37.78</v>
      </c>
      <c r="Q1775">
        <v>151.13999999999999</v>
      </c>
      <c r="R1775" t="s">
        <v>663</v>
      </c>
      <c r="S1775">
        <v>0</v>
      </c>
      <c r="T1775" t="s">
        <v>17</v>
      </c>
      <c r="U1775">
        <v>0</v>
      </c>
      <c r="V1775">
        <v>0</v>
      </c>
      <c r="W1775">
        <v>400013</v>
      </c>
      <c r="AE1775">
        <v>0</v>
      </c>
      <c r="AH1775">
        <v>33</v>
      </c>
      <c r="AP1775" t="s">
        <v>232</v>
      </c>
    </row>
    <row r="1776" spans="1:42">
      <c r="A1776" s="1" t="s">
        <v>46</v>
      </c>
      <c r="B1776" s="1" t="s">
        <v>3704</v>
      </c>
      <c r="C1776" s="1" t="s">
        <v>3704</v>
      </c>
      <c r="E1776" s="4" t="s">
        <v>3705</v>
      </c>
      <c r="G1776" s="16"/>
      <c r="M1776">
        <v>1</v>
      </c>
      <c r="N1776">
        <v>2</v>
      </c>
      <c r="O1776">
        <v>0</v>
      </c>
      <c r="P1776">
        <v>41.51</v>
      </c>
      <c r="Q1776">
        <v>83.03</v>
      </c>
      <c r="R1776" t="s">
        <v>663</v>
      </c>
      <c r="S1776">
        <v>0</v>
      </c>
      <c r="T1776" t="s">
        <v>17</v>
      </c>
      <c r="U1776">
        <v>0</v>
      </c>
      <c r="V1776">
        <v>0</v>
      </c>
      <c r="W1776">
        <v>400010</v>
      </c>
      <c r="AE1776">
        <v>0</v>
      </c>
      <c r="AP1776" t="s">
        <v>66</v>
      </c>
    </row>
    <row r="1777" spans="1:42">
      <c r="A1777" s="1" t="s">
        <v>46</v>
      </c>
      <c r="B1777" s="1" t="s">
        <v>3706</v>
      </c>
      <c r="C1777" s="1" t="s">
        <v>3706</v>
      </c>
      <c r="E1777" s="4" t="s">
        <v>3707</v>
      </c>
      <c r="G1777" s="16">
        <v>145</v>
      </c>
      <c r="M1777">
        <v>1</v>
      </c>
      <c r="N1777">
        <v>2</v>
      </c>
      <c r="O1777">
        <v>0</v>
      </c>
      <c r="P1777">
        <v>51.89</v>
      </c>
      <c r="Q1777">
        <v>103.78</v>
      </c>
      <c r="R1777" t="s">
        <v>663</v>
      </c>
      <c r="S1777">
        <v>0</v>
      </c>
      <c r="T1777" t="s">
        <v>17</v>
      </c>
      <c r="W1777">
        <v>400010</v>
      </c>
      <c r="AE1777">
        <v>0</v>
      </c>
      <c r="AP1777" t="s">
        <v>66</v>
      </c>
    </row>
    <row r="1778" spans="1:42">
      <c r="A1778" s="1" t="s">
        <v>46</v>
      </c>
      <c r="B1778" s="1" t="s">
        <v>3708</v>
      </c>
      <c r="C1778" s="1" t="s">
        <v>3708</v>
      </c>
      <c r="E1778" s="4" t="s">
        <v>3709</v>
      </c>
      <c r="G1778" s="16"/>
      <c r="M1778">
        <v>1</v>
      </c>
      <c r="N1778">
        <v>3</v>
      </c>
      <c r="O1778">
        <v>0</v>
      </c>
      <c r="P1778">
        <v>45.29</v>
      </c>
      <c r="Q1778">
        <v>135.86000000000001</v>
      </c>
      <c r="R1778" t="s">
        <v>663</v>
      </c>
      <c r="S1778">
        <v>0</v>
      </c>
      <c r="T1778" t="s">
        <v>17</v>
      </c>
      <c r="W1778">
        <v>400010</v>
      </c>
      <c r="AE1778">
        <v>0</v>
      </c>
      <c r="AP1778" t="s">
        <v>66</v>
      </c>
    </row>
    <row r="1779" spans="1:42">
      <c r="A1779" s="1" t="s">
        <v>46</v>
      </c>
      <c r="B1779" s="1" t="s">
        <v>3710</v>
      </c>
      <c r="C1779" s="1" t="s">
        <v>3710</v>
      </c>
      <c r="E1779" s="4" t="s">
        <v>3711</v>
      </c>
      <c r="G1779" s="16"/>
      <c r="M1779">
        <v>1</v>
      </c>
      <c r="N1779">
        <v>1</v>
      </c>
      <c r="O1779">
        <v>0</v>
      </c>
      <c r="P1779">
        <v>45.9</v>
      </c>
      <c r="Q1779">
        <v>45.9</v>
      </c>
      <c r="R1779">
        <v>0</v>
      </c>
      <c r="S1779">
        <v>0</v>
      </c>
      <c r="T1779">
        <v>0</v>
      </c>
      <c r="W1779">
        <v>400010</v>
      </c>
      <c r="AE1779">
        <v>0</v>
      </c>
      <c r="AP1779" t="s">
        <v>66</v>
      </c>
    </row>
    <row r="1780" spans="1:42">
      <c r="A1780" s="1" t="s">
        <v>46</v>
      </c>
      <c r="B1780" s="1" t="s">
        <v>3712</v>
      </c>
      <c r="C1780" s="1" t="s">
        <v>3712</v>
      </c>
      <c r="E1780" s="4" t="s">
        <v>3713</v>
      </c>
      <c r="G1780" s="16"/>
      <c r="M1780">
        <v>1</v>
      </c>
      <c r="N1780">
        <v>2</v>
      </c>
      <c r="O1780">
        <v>0</v>
      </c>
      <c r="P1780">
        <v>45.51</v>
      </c>
      <c r="Q1780">
        <v>91.02</v>
      </c>
      <c r="R1780" t="s">
        <v>663</v>
      </c>
      <c r="S1780">
        <v>0</v>
      </c>
      <c r="T1780" t="s">
        <v>17</v>
      </c>
      <c r="W1780">
        <v>400022</v>
      </c>
      <c r="AE1780">
        <v>0</v>
      </c>
      <c r="AP1780" t="s">
        <v>3714</v>
      </c>
    </row>
    <row r="1781" spans="1:42">
      <c r="A1781" s="1" t="s">
        <v>46</v>
      </c>
      <c r="B1781" s="1" t="s">
        <v>3715</v>
      </c>
      <c r="C1781" s="1" t="s">
        <v>3715</v>
      </c>
      <c r="E1781" s="4" t="s">
        <v>3716</v>
      </c>
      <c r="G1781" s="16">
        <v>120</v>
      </c>
      <c r="M1781">
        <v>1</v>
      </c>
      <c r="N1781">
        <v>1</v>
      </c>
      <c r="O1781">
        <v>0</v>
      </c>
      <c r="P1781">
        <v>46.23</v>
      </c>
      <c r="Q1781">
        <v>46.23</v>
      </c>
      <c r="R1781" t="s">
        <v>663</v>
      </c>
      <c r="S1781">
        <v>0</v>
      </c>
      <c r="T1781" t="s">
        <v>17</v>
      </c>
      <c r="U1781">
        <v>0</v>
      </c>
      <c r="V1781">
        <v>0</v>
      </c>
      <c r="W1781">
        <v>400010</v>
      </c>
      <c r="AE1781">
        <v>0</v>
      </c>
      <c r="AP1781" t="s">
        <v>66</v>
      </c>
    </row>
    <row r="1782" spans="1:42">
      <c r="A1782" s="1" t="s">
        <v>46</v>
      </c>
      <c r="B1782" s="1" t="s">
        <v>3717</v>
      </c>
      <c r="C1782" s="1" t="s">
        <v>3717</v>
      </c>
      <c r="E1782" s="4" t="s">
        <v>3718</v>
      </c>
      <c r="G1782" s="16"/>
      <c r="M1782">
        <v>1</v>
      </c>
      <c r="N1782">
        <v>-84</v>
      </c>
      <c r="O1782">
        <v>0</v>
      </c>
      <c r="AE1782">
        <v>0</v>
      </c>
    </row>
    <row r="1783" spans="1:42">
      <c r="A1783" s="1" t="s">
        <v>46</v>
      </c>
      <c r="B1783" s="1" t="s">
        <v>3719</v>
      </c>
      <c r="C1783" s="1" t="s">
        <v>3719</v>
      </c>
      <c r="E1783" s="4" t="s">
        <v>3720</v>
      </c>
      <c r="G1783" s="16"/>
      <c r="M1783">
        <v>1</v>
      </c>
      <c r="N1783">
        <v>-84</v>
      </c>
      <c r="O1783">
        <v>0</v>
      </c>
      <c r="W1783">
        <v>400120</v>
      </c>
      <c r="AE1783">
        <v>0</v>
      </c>
      <c r="AP1783" t="s">
        <v>468</v>
      </c>
    </row>
    <row r="1784" spans="1:42">
      <c r="A1784" s="1" t="s">
        <v>46</v>
      </c>
      <c r="B1784" s="1" t="s">
        <v>3721</v>
      </c>
      <c r="C1784" s="1" t="s">
        <v>3721</v>
      </c>
      <c r="E1784" s="4" t="s">
        <v>3722</v>
      </c>
      <c r="G1784" s="16"/>
      <c r="M1784">
        <v>1</v>
      </c>
      <c r="N1784">
        <v>-84</v>
      </c>
      <c r="O1784">
        <v>0</v>
      </c>
      <c r="AE1784">
        <v>0</v>
      </c>
    </row>
    <row r="1785" spans="1:42">
      <c r="A1785" s="1" t="s">
        <v>46</v>
      </c>
      <c r="B1785" s="1" t="s">
        <v>3723</v>
      </c>
      <c r="C1785" s="1" t="s">
        <v>3723</v>
      </c>
      <c r="E1785" s="4" t="s">
        <v>3724</v>
      </c>
      <c r="G1785" s="16"/>
      <c r="M1785">
        <v>1</v>
      </c>
      <c r="N1785">
        <v>5</v>
      </c>
      <c r="O1785">
        <v>0</v>
      </c>
      <c r="P1785">
        <v>16.649999999999999</v>
      </c>
      <c r="Q1785">
        <v>83.23</v>
      </c>
      <c r="W1785">
        <v>400120</v>
      </c>
      <c r="AE1785">
        <v>0</v>
      </c>
      <c r="AP1785" t="s">
        <v>468</v>
      </c>
    </row>
    <row r="1786" spans="1:42">
      <c r="A1786" s="1" t="s">
        <v>46</v>
      </c>
      <c r="B1786" s="1" t="s">
        <v>3725</v>
      </c>
      <c r="C1786" s="1" t="s">
        <v>3725</v>
      </c>
      <c r="E1786" s="4" t="s">
        <v>3726</v>
      </c>
      <c r="G1786" s="16">
        <v>120</v>
      </c>
      <c r="M1786">
        <v>1</v>
      </c>
      <c r="N1786">
        <v>-7</v>
      </c>
      <c r="O1786">
        <v>0</v>
      </c>
      <c r="P1786">
        <v>3.5</v>
      </c>
      <c r="Q1786">
        <v>-24.5</v>
      </c>
      <c r="R1786">
        <v>0</v>
      </c>
      <c r="S1786">
        <v>0</v>
      </c>
      <c r="T1786" t="s">
        <v>17</v>
      </c>
      <c r="U1786">
        <v>0</v>
      </c>
      <c r="V1786">
        <v>0</v>
      </c>
      <c r="W1786">
        <v>400028</v>
      </c>
      <c r="AE1786">
        <v>0</v>
      </c>
      <c r="AP1786" t="s">
        <v>246</v>
      </c>
    </row>
    <row r="1787" spans="1:42">
      <c r="A1787" s="1" t="s">
        <v>46</v>
      </c>
      <c r="B1787" s="1" t="s">
        <v>3727</v>
      </c>
      <c r="C1787" s="1" t="s">
        <v>3727</v>
      </c>
      <c r="E1787" s="4" t="s">
        <v>3728</v>
      </c>
      <c r="G1787" s="16">
        <v>120</v>
      </c>
      <c r="M1787">
        <v>1</v>
      </c>
      <c r="N1787">
        <v>45</v>
      </c>
      <c r="O1787">
        <v>0</v>
      </c>
      <c r="P1787">
        <v>4</v>
      </c>
      <c r="Q1787">
        <v>180</v>
      </c>
      <c r="R1787">
        <v>0</v>
      </c>
      <c r="S1787">
        <v>0</v>
      </c>
      <c r="T1787" t="s">
        <v>17</v>
      </c>
      <c r="U1787">
        <v>0</v>
      </c>
      <c r="V1787">
        <v>0</v>
      </c>
      <c r="W1787">
        <v>400045</v>
      </c>
      <c r="AE1787">
        <v>0</v>
      </c>
      <c r="AP1787" t="s">
        <v>217</v>
      </c>
    </row>
    <row r="1788" spans="1:42">
      <c r="A1788" s="1" t="s">
        <v>46</v>
      </c>
      <c r="B1788" s="1" t="s">
        <v>3729</v>
      </c>
      <c r="C1788" s="1" t="s">
        <v>3729</v>
      </c>
      <c r="E1788" s="4" t="s">
        <v>3730</v>
      </c>
      <c r="G1788" s="16">
        <v>65</v>
      </c>
      <c r="M1788">
        <v>1</v>
      </c>
      <c r="N1788">
        <v>48</v>
      </c>
      <c r="O1788">
        <v>0</v>
      </c>
      <c r="P1788">
        <v>6.1</v>
      </c>
      <c r="Q1788">
        <v>293.04000000000002</v>
      </c>
      <c r="R1788">
        <v>0</v>
      </c>
      <c r="S1788">
        <v>0</v>
      </c>
      <c r="T1788" t="s">
        <v>17</v>
      </c>
      <c r="U1788">
        <v>0</v>
      </c>
      <c r="V1788">
        <v>0</v>
      </c>
      <c r="W1788">
        <v>400013</v>
      </c>
      <c r="X1788" t="s">
        <v>56</v>
      </c>
      <c r="Y1788" t="s">
        <v>57</v>
      </c>
      <c r="AE1788">
        <v>0</v>
      </c>
      <c r="AP1788" t="s">
        <v>232</v>
      </c>
    </row>
    <row r="1789" spans="1:42">
      <c r="A1789" s="1" t="s">
        <v>46</v>
      </c>
      <c r="B1789" s="1" t="s">
        <v>3731</v>
      </c>
      <c r="C1789" s="1" t="s">
        <v>3731</v>
      </c>
      <c r="E1789" s="4" t="s">
        <v>3732</v>
      </c>
      <c r="G1789" s="16">
        <v>95</v>
      </c>
      <c r="M1789">
        <v>1</v>
      </c>
      <c r="N1789">
        <v>48</v>
      </c>
      <c r="O1789">
        <v>0</v>
      </c>
      <c r="P1789">
        <v>6.51</v>
      </c>
      <c r="Q1789">
        <v>312.48</v>
      </c>
      <c r="R1789">
        <v>0</v>
      </c>
      <c r="S1789">
        <v>0</v>
      </c>
      <c r="T1789" t="s">
        <v>17</v>
      </c>
      <c r="W1789">
        <v>400002</v>
      </c>
      <c r="AE1789">
        <v>0</v>
      </c>
      <c r="AP1789" t="s">
        <v>116</v>
      </c>
    </row>
    <row r="1790" spans="1:42">
      <c r="A1790" s="1" t="s">
        <v>46</v>
      </c>
      <c r="B1790" s="1" t="s">
        <v>3733</v>
      </c>
      <c r="C1790" s="1" t="s">
        <v>3733</v>
      </c>
      <c r="E1790" s="4" t="s">
        <v>3734</v>
      </c>
      <c r="G1790" s="16">
        <v>125</v>
      </c>
      <c r="M1790">
        <v>1</v>
      </c>
      <c r="N1790">
        <v>20</v>
      </c>
      <c r="O1790">
        <v>0</v>
      </c>
      <c r="P1790">
        <v>9.3000000000000007</v>
      </c>
      <c r="Q1790">
        <v>186.04</v>
      </c>
      <c r="W1790">
        <v>400046</v>
      </c>
      <c r="AE1790">
        <v>0</v>
      </c>
      <c r="AP1790" t="s">
        <v>407</v>
      </c>
    </row>
    <row r="1791" spans="1:42">
      <c r="A1791" s="1" t="s">
        <v>46</v>
      </c>
      <c r="B1791" s="1" t="s">
        <v>3735</v>
      </c>
      <c r="C1791" s="1" t="s">
        <v>3735</v>
      </c>
      <c r="E1791" s="4" t="s">
        <v>3736</v>
      </c>
      <c r="G1791" s="16">
        <v>110</v>
      </c>
      <c r="M1791">
        <v>1</v>
      </c>
      <c r="N1791">
        <v>4</v>
      </c>
      <c r="O1791">
        <v>0</v>
      </c>
      <c r="P1791">
        <v>339.97</v>
      </c>
      <c r="Q1791">
        <v>1359.88</v>
      </c>
      <c r="R1791">
        <v>0</v>
      </c>
      <c r="S1791">
        <v>0</v>
      </c>
      <c r="T1791" t="s">
        <v>52</v>
      </c>
      <c r="W1791">
        <v>400068</v>
      </c>
      <c r="AE1791">
        <v>0</v>
      </c>
      <c r="AP1791" t="s">
        <v>872</v>
      </c>
    </row>
    <row r="1792" spans="1:42">
      <c r="A1792" s="1" t="s">
        <v>46</v>
      </c>
      <c r="B1792" s="1" t="s">
        <v>3737</v>
      </c>
      <c r="C1792" s="1" t="s">
        <v>3737</v>
      </c>
      <c r="E1792" s="4" t="s">
        <v>3738</v>
      </c>
      <c r="G1792" s="16"/>
      <c r="M1792">
        <v>1</v>
      </c>
      <c r="N1792">
        <v>4</v>
      </c>
      <c r="O1792">
        <v>0</v>
      </c>
      <c r="P1792">
        <v>259.92</v>
      </c>
      <c r="Q1792">
        <v>1039.67</v>
      </c>
      <c r="R1792">
        <v>0</v>
      </c>
      <c r="S1792">
        <v>0</v>
      </c>
      <c r="T1792" t="s">
        <v>52</v>
      </c>
      <c r="W1792">
        <v>400068</v>
      </c>
      <c r="AE1792">
        <v>0</v>
      </c>
      <c r="AP1792" t="s">
        <v>872</v>
      </c>
    </row>
    <row r="1793" spans="1:42">
      <c r="A1793" s="1" t="s">
        <v>46</v>
      </c>
      <c r="B1793" s="1" t="s">
        <v>3739</v>
      </c>
      <c r="C1793" s="1" t="s">
        <v>3739</v>
      </c>
      <c r="E1793" s="4" t="s">
        <v>3740</v>
      </c>
      <c r="G1793" s="16"/>
      <c r="M1793">
        <v>1</v>
      </c>
      <c r="N1793">
        <v>3</v>
      </c>
      <c r="O1793">
        <v>0</v>
      </c>
      <c r="P1793">
        <v>409.06</v>
      </c>
      <c r="Q1793">
        <v>1227.17</v>
      </c>
      <c r="W1793">
        <v>400068</v>
      </c>
      <c r="AE1793">
        <v>0</v>
      </c>
      <c r="AP1793" t="s">
        <v>872</v>
      </c>
    </row>
    <row r="1794" spans="1:42">
      <c r="A1794" s="1" t="s">
        <v>46</v>
      </c>
      <c r="B1794" s="1" t="s">
        <v>3741</v>
      </c>
      <c r="C1794" s="1" t="s">
        <v>3741</v>
      </c>
      <c r="E1794" s="4" t="s">
        <v>3742</v>
      </c>
      <c r="G1794" s="16">
        <v>175</v>
      </c>
      <c r="M1794">
        <v>1</v>
      </c>
      <c r="N1794">
        <v>2</v>
      </c>
      <c r="O1794">
        <v>0</v>
      </c>
      <c r="P1794">
        <v>803.86</v>
      </c>
      <c r="Q1794">
        <v>1607.72</v>
      </c>
      <c r="W1794">
        <v>400068</v>
      </c>
      <c r="AE1794">
        <v>0</v>
      </c>
      <c r="AP1794" t="s">
        <v>872</v>
      </c>
    </row>
    <row r="1795" spans="1:42">
      <c r="A1795" s="1" t="s">
        <v>46</v>
      </c>
      <c r="B1795" s="1" t="s">
        <v>3743</v>
      </c>
      <c r="C1795" s="1" t="s">
        <v>3743</v>
      </c>
      <c r="E1795" s="4" t="s">
        <v>3744</v>
      </c>
      <c r="G1795" s="16"/>
      <c r="M1795">
        <v>1</v>
      </c>
      <c r="N1795">
        <v>1</v>
      </c>
      <c r="O1795">
        <v>0</v>
      </c>
      <c r="P1795">
        <v>444.16</v>
      </c>
      <c r="Q1795">
        <v>444.16</v>
      </c>
      <c r="R1795">
        <v>0</v>
      </c>
      <c r="S1795">
        <v>0</v>
      </c>
      <c r="T1795" t="s">
        <v>52</v>
      </c>
      <c r="W1795">
        <v>400068</v>
      </c>
      <c r="AE1795">
        <v>0</v>
      </c>
      <c r="AP1795" t="s">
        <v>872</v>
      </c>
    </row>
    <row r="1796" spans="1:42">
      <c r="A1796" s="1" t="s">
        <v>46</v>
      </c>
      <c r="B1796" s="1" t="s">
        <v>3745</v>
      </c>
      <c r="C1796" s="1" t="s">
        <v>3745</v>
      </c>
      <c r="E1796" s="4" t="s">
        <v>3746</v>
      </c>
      <c r="G1796" s="16">
        <v>145</v>
      </c>
      <c r="M1796">
        <v>1</v>
      </c>
      <c r="N1796">
        <v>2</v>
      </c>
      <c r="O1796">
        <v>0</v>
      </c>
      <c r="P1796">
        <v>455.12</v>
      </c>
      <c r="Q1796">
        <v>910.24</v>
      </c>
      <c r="W1796">
        <v>400068</v>
      </c>
      <c r="AE1796">
        <v>0</v>
      </c>
      <c r="AP1796" t="s">
        <v>872</v>
      </c>
    </row>
    <row r="1797" spans="1:42">
      <c r="A1797" s="1" t="s">
        <v>46</v>
      </c>
      <c r="B1797" s="1" t="s">
        <v>3747</v>
      </c>
      <c r="C1797" s="1" t="s">
        <v>3747</v>
      </c>
      <c r="E1797" s="4" t="s">
        <v>3748</v>
      </c>
      <c r="G1797" s="16"/>
      <c r="M1797">
        <v>1</v>
      </c>
      <c r="N1797">
        <v>21</v>
      </c>
      <c r="O1797">
        <v>0</v>
      </c>
      <c r="P1797">
        <v>409.06</v>
      </c>
      <c r="Q1797">
        <v>8590.19</v>
      </c>
      <c r="R1797">
        <v>0</v>
      </c>
      <c r="S1797">
        <v>0</v>
      </c>
      <c r="T1797" t="s">
        <v>52</v>
      </c>
      <c r="W1797">
        <v>400068</v>
      </c>
      <c r="AE1797">
        <v>0</v>
      </c>
      <c r="AP1797" t="s">
        <v>872</v>
      </c>
    </row>
    <row r="1798" spans="1:42">
      <c r="A1798" s="1" t="s">
        <v>46</v>
      </c>
      <c r="B1798" s="1" t="s">
        <v>3749</v>
      </c>
      <c r="C1798" s="1" t="s">
        <v>3749</v>
      </c>
      <c r="E1798" s="4" t="s">
        <v>3750</v>
      </c>
      <c r="G1798" s="16"/>
      <c r="I1798">
        <v>117.7</v>
      </c>
      <c r="M1798">
        <v>1</v>
      </c>
      <c r="N1798">
        <v>105</v>
      </c>
      <c r="O1798">
        <v>0</v>
      </c>
      <c r="P1798">
        <v>153.54</v>
      </c>
      <c r="Q1798">
        <v>16121.2</v>
      </c>
      <c r="R1798">
        <v>0</v>
      </c>
      <c r="S1798">
        <v>0</v>
      </c>
      <c r="T1798" t="s">
        <v>52</v>
      </c>
      <c r="W1798">
        <v>400068</v>
      </c>
      <c r="AE1798">
        <v>0</v>
      </c>
      <c r="AH1798">
        <v>117.7</v>
      </c>
      <c r="AP1798" t="s">
        <v>872</v>
      </c>
    </row>
    <row r="1799" spans="1:42">
      <c r="A1799" s="1" t="s">
        <v>46</v>
      </c>
      <c r="B1799" s="1" t="s">
        <v>3751</v>
      </c>
      <c r="C1799" s="1" t="s">
        <v>3751</v>
      </c>
      <c r="E1799" s="4" t="s">
        <v>3752</v>
      </c>
      <c r="G1799" s="16">
        <v>410</v>
      </c>
      <c r="I1799">
        <v>119.35</v>
      </c>
      <c r="M1799">
        <v>1</v>
      </c>
      <c r="N1799">
        <v>30</v>
      </c>
      <c r="O1799">
        <v>0</v>
      </c>
      <c r="P1799">
        <v>156.82</v>
      </c>
      <c r="Q1799">
        <v>4704.6099999999997</v>
      </c>
      <c r="R1799">
        <v>0</v>
      </c>
      <c r="S1799">
        <v>0</v>
      </c>
      <c r="T1799" t="s">
        <v>52</v>
      </c>
      <c r="W1799">
        <v>400068</v>
      </c>
      <c r="AE1799">
        <v>0</v>
      </c>
      <c r="AH1799">
        <v>119.35</v>
      </c>
      <c r="AP1799" t="s">
        <v>872</v>
      </c>
    </row>
    <row r="1800" spans="1:42">
      <c r="A1800" s="1" t="s">
        <v>46</v>
      </c>
      <c r="B1800" s="1" t="s">
        <v>3753</v>
      </c>
      <c r="C1800" s="1" t="s">
        <v>3753</v>
      </c>
      <c r="E1800" s="4" t="s">
        <v>3754</v>
      </c>
      <c r="G1800" s="16"/>
      <c r="I1800">
        <v>187</v>
      </c>
      <c r="M1800">
        <v>1</v>
      </c>
      <c r="N1800">
        <v>35</v>
      </c>
      <c r="O1800">
        <v>0</v>
      </c>
      <c r="P1800">
        <v>227.02</v>
      </c>
      <c r="Q1800">
        <v>7945.62</v>
      </c>
      <c r="R1800">
        <v>0</v>
      </c>
      <c r="S1800">
        <v>0</v>
      </c>
      <c r="T1800" t="s">
        <v>52</v>
      </c>
      <c r="W1800">
        <v>400068</v>
      </c>
      <c r="AE1800">
        <v>0</v>
      </c>
      <c r="AH1800">
        <v>187</v>
      </c>
      <c r="AP1800" t="s">
        <v>872</v>
      </c>
    </row>
    <row r="1801" spans="1:42">
      <c r="A1801" s="1" t="s">
        <v>46</v>
      </c>
      <c r="B1801" s="1" t="s">
        <v>3755</v>
      </c>
      <c r="C1801" s="1" t="s">
        <v>3755</v>
      </c>
      <c r="E1801" s="4" t="s">
        <v>3756</v>
      </c>
      <c r="G1801" s="16"/>
      <c r="I1801">
        <v>151.80000000000001</v>
      </c>
      <c r="M1801">
        <v>1</v>
      </c>
      <c r="N1801">
        <v>33</v>
      </c>
      <c r="O1801">
        <v>0</v>
      </c>
      <c r="P1801">
        <v>177.65</v>
      </c>
      <c r="Q1801">
        <v>5862.61</v>
      </c>
      <c r="R1801">
        <v>0</v>
      </c>
      <c r="S1801">
        <v>0</v>
      </c>
      <c r="T1801" t="s">
        <v>52</v>
      </c>
      <c r="W1801">
        <v>400068</v>
      </c>
      <c r="AE1801">
        <v>0</v>
      </c>
      <c r="AH1801">
        <v>151.80000000000001</v>
      </c>
      <c r="AP1801" t="s">
        <v>872</v>
      </c>
    </row>
    <row r="1802" spans="1:42">
      <c r="A1802" s="1" t="s">
        <v>46</v>
      </c>
      <c r="B1802" s="1" t="s">
        <v>3757</v>
      </c>
      <c r="C1802" s="1" t="s">
        <v>3757</v>
      </c>
      <c r="E1802" s="4" t="s">
        <v>3758</v>
      </c>
      <c r="G1802" s="16"/>
      <c r="M1802">
        <v>1</v>
      </c>
      <c r="N1802">
        <v>2</v>
      </c>
      <c r="O1802">
        <v>0</v>
      </c>
      <c r="P1802">
        <v>348.74</v>
      </c>
      <c r="Q1802">
        <v>697.48</v>
      </c>
      <c r="R1802">
        <v>0</v>
      </c>
      <c r="S1802">
        <v>0</v>
      </c>
      <c r="T1802" t="s">
        <v>52</v>
      </c>
      <c r="W1802">
        <v>400068</v>
      </c>
      <c r="AE1802">
        <v>0</v>
      </c>
      <c r="AP1802" t="s">
        <v>872</v>
      </c>
    </row>
    <row r="1803" spans="1:42">
      <c r="A1803" s="1" t="s">
        <v>46</v>
      </c>
      <c r="B1803" s="1" t="s">
        <v>3759</v>
      </c>
      <c r="C1803" s="1" t="s">
        <v>3759</v>
      </c>
      <c r="E1803" s="4" t="s">
        <v>3760</v>
      </c>
      <c r="G1803" s="16"/>
      <c r="M1803">
        <v>1</v>
      </c>
      <c r="N1803">
        <v>1</v>
      </c>
      <c r="O1803">
        <v>0</v>
      </c>
      <c r="P1803">
        <v>389.32</v>
      </c>
      <c r="Q1803">
        <v>389.32</v>
      </c>
      <c r="W1803">
        <v>400068</v>
      </c>
      <c r="AE1803">
        <v>0</v>
      </c>
      <c r="AP1803" t="s">
        <v>872</v>
      </c>
    </row>
    <row r="1804" spans="1:42">
      <c r="A1804" s="1" t="s">
        <v>46</v>
      </c>
      <c r="B1804" s="1" t="s">
        <v>3761</v>
      </c>
      <c r="C1804" s="1" t="s">
        <v>3761</v>
      </c>
      <c r="E1804" s="4" t="s">
        <v>3762</v>
      </c>
      <c r="G1804" s="16"/>
      <c r="M1804">
        <v>1</v>
      </c>
      <c r="N1804">
        <v>6</v>
      </c>
      <c r="O1804">
        <v>0</v>
      </c>
      <c r="P1804">
        <v>152.44</v>
      </c>
      <c r="Q1804">
        <v>914.62</v>
      </c>
      <c r="R1804">
        <v>0</v>
      </c>
      <c r="S1804">
        <v>0</v>
      </c>
      <c r="T1804" t="s">
        <v>52</v>
      </c>
      <c r="W1804">
        <v>400068</v>
      </c>
      <c r="AE1804">
        <v>0</v>
      </c>
      <c r="AP1804" t="s">
        <v>872</v>
      </c>
    </row>
    <row r="1805" spans="1:42">
      <c r="A1805" s="1" t="s">
        <v>46</v>
      </c>
      <c r="B1805" s="1" t="s">
        <v>3763</v>
      </c>
      <c r="C1805" s="1" t="s">
        <v>3763</v>
      </c>
      <c r="E1805" s="4" t="s">
        <v>3764</v>
      </c>
      <c r="G1805" s="16"/>
      <c r="M1805">
        <v>1</v>
      </c>
      <c r="N1805">
        <v>2</v>
      </c>
      <c r="O1805">
        <v>0</v>
      </c>
      <c r="P1805">
        <v>423.32</v>
      </c>
      <c r="Q1805">
        <v>846.64</v>
      </c>
      <c r="W1805">
        <v>400068</v>
      </c>
      <c r="AE1805">
        <v>0</v>
      </c>
      <c r="AP1805" t="s">
        <v>872</v>
      </c>
    </row>
    <row r="1806" spans="1:42">
      <c r="A1806" s="1" t="s">
        <v>46</v>
      </c>
      <c r="B1806" s="1" t="s">
        <v>3765</v>
      </c>
      <c r="C1806" s="1" t="s">
        <v>3765</v>
      </c>
      <c r="E1806" s="4" t="s">
        <v>3766</v>
      </c>
      <c r="G1806" s="16"/>
      <c r="M1806">
        <v>1</v>
      </c>
      <c r="N1806">
        <v>1</v>
      </c>
      <c r="O1806">
        <v>0</v>
      </c>
      <c r="P1806">
        <v>386</v>
      </c>
      <c r="Q1806">
        <v>386</v>
      </c>
      <c r="W1806">
        <v>400068</v>
      </c>
      <c r="AE1806">
        <v>0</v>
      </c>
      <c r="AP1806" t="s">
        <v>872</v>
      </c>
    </row>
    <row r="1807" spans="1:42">
      <c r="A1807" s="1" t="s">
        <v>46</v>
      </c>
      <c r="B1807" s="1" t="s">
        <v>3767</v>
      </c>
      <c r="C1807" s="1" t="s">
        <v>3767</v>
      </c>
      <c r="E1807" s="4" t="s">
        <v>3768</v>
      </c>
      <c r="G1807" s="16"/>
      <c r="M1807">
        <v>1</v>
      </c>
      <c r="N1807">
        <v>2</v>
      </c>
      <c r="O1807">
        <v>0</v>
      </c>
      <c r="P1807">
        <v>157.91999999999999</v>
      </c>
      <c r="Q1807">
        <v>315.83999999999997</v>
      </c>
      <c r="W1807">
        <v>400068</v>
      </c>
      <c r="AE1807">
        <v>0</v>
      </c>
      <c r="AP1807" t="s">
        <v>872</v>
      </c>
    </row>
    <row r="1808" spans="1:42">
      <c r="A1808" s="1" t="s">
        <v>46</v>
      </c>
      <c r="B1808" s="1" t="s">
        <v>3769</v>
      </c>
      <c r="C1808" s="1" t="s">
        <v>3769</v>
      </c>
      <c r="E1808" s="4" t="s">
        <v>3770</v>
      </c>
      <c r="G1808" s="16">
        <v>75</v>
      </c>
      <c r="M1808">
        <v>1</v>
      </c>
      <c r="N1808">
        <v>1</v>
      </c>
      <c r="O1808">
        <v>0</v>
      </c>
      <c r="P1808">
        <v>124.08</v>
      </c>
      <c r="Q1808">
        <v>124.08</v>
      </c>
      <c r="W1808">
        <v>400068</v>
      </c>
      <c r="AE1808">
        <v>0</v>
      </c>
      <c r="AP1808" t="s">
        <v>872</v>
      </c>
    </row>
    <row r="1809" spans="1:42">
      <c r="A1809" s="1" t="s">
        <v>46</v>
      </c>
      <c r="B1809" s="1" t="s">
        <v>3771</v>
      </c>
      <c r="C1809" s="1" t="s">
        <v>3771</v>
      </c>
      <c r="E1809" s="4" t="s">
        <v>3772</v>
      </c>
      <c r="G1809" s="16">
        <v>30</v>
      </c>
      <c r="I1809">
        <v>265.64999999999998</v>
      </c>
      <c r="M1809">
        <v>1</v>
      </c>
      <c r="N1809">
        <v>21</v>
      </c>
      <c r="O1809">
        <v>0</v>
      </c>
      <c r="P1809">
        <v>285.14</v>
      </c>
      <c r="Q1809">
        <v>5987.87</v>
      </c>
      <c r="R1809">
        <v>0</v>
      </c>
      <c r="S1809">
        <v>0</v>
      </c>
      <c r="T1809" t="s">
        <v>52</v>
      </c>
      <c r="W1809">
        <v>400068</v>
      </c>
      <c r="AE1809">
        <v>0</v>
      </c>
      <c r="AH1809">
        <v>265.64999999999998</v>
      </c>
      <c r="AP1809" t="s">
        <v>872</v>
      </c>
    </row>
    <row r="1810" spans="1:42">
      <c r="A1810" s="1" t="s">
        <v>46</v>
      </c>
      <c r="B1810" s="1" t="s">
        <v>3773</v>
      </c>
      <c r="C1810" s="1" t="s">
        <v>3773</v>
      </c>
      <c r="E1810" s="4" t="s">
        <v>3774</v>
      </c>
      <c r="G1810" s="16">
        <v>30</v>
      </c>
      <c r="I1810">
        <v>52.58</v>
      </c>
      <c r="M1810">
        <v>1</v>
      </c>
      <c r="N1810">
        <v>489</v>
      </c>
      <c r="O1810">
        <v>0</v>
      </c>
      <c r="P1810">
        <v>61.75</v>
      </c>
      <c r="Q1810">
        <v>30195.75</v>
      </c>
      <c r="R1810">
        <v>0</v>
      </c>
      <c r="S1810">
        <v>0</v>
      </c>
      <c r="T1810" t="s">
        <v>52</v>
      </c>
      <c r="W1810">
        <v>400068</v>
      </c>
      <c r="AE1810">
        <v>0</v>
      </c>
      <c r="AH1810">
        <v>52.58</v>
      </c>
      <c r="AP1810" t="s">
        <v>872</v>
      </c>
    </row>
    <row r="1811" spans="1:42">
      <c r="A1811" s="1" t="s">
        <v>46</v>
      </c>
      <c r="B1811" s="1" t="s">
        <v>3775</v>
      </c>
      <c r="C1811" s="1" t="s">
        <v>3775</v>
      </c>
      <c r="E1811" s="4" t="s">
        <v>3776</v>
      </c>
      <c r="G1811" s="16">
        <v>40</v>
      </c>
      <c r="I1811">
        <v>87.78</v>
      </c>
      <c r="M1811">
        <v>1</v>
      </c>
      <c r="N1811">
        <v>167</v>
      </c>
      <c r="O1811">
        <v>0</v>
      </c>
      <c r="P1811">
        <v>94.75</v>
      </c>
      <c r="Q1811">
        <v>15823.78</v>
      </c>
      <c r="R1811">
        <v>0</v>
      </c>
      <c r="S1811">
        <v>0</v>
      </c>
      <c r="T1811" t="s">
        <v>52</v>
      </c>
      <c r="W1811">
        <v>400068</v>
      </c>
      <c r="AE1811">
        <v>0</v>
      </c>
      <c r="AH1811">
        <v>87.78</v>
      </c>
      <c r="AP1811" t="s">
        <v>872</v>
      </c>
    </row>
    <row r="1812" spans="1:42">
      <c r="A1812" s="1" t="s">
        <v>46</v>
      </c>
      <c r="B1812" s="1" t="s">
        <v>3777</v>
      </c>
      <c r="C1812" s="1" t="s">
        <v>3777</v>
      </c>
      <c r="E1812" s="4" t="s">
        <v>3778</v>
      </c>
      <c r="G1812" s="16"/>
      <c r="I1812">
        <v>113.85</v>
      </c>
      <c r="M1812">
        <v>1</v>
      </c>
      <c r="N1812">
        <v>327</v>
      </c>
      <c r="O1812">
        <v>0</v>
      </c>
      <c r="P1812">
        <v>138.57</v>
      </c>
      <c r="Q1812">
        <v>45313.35</v>
      </c>
      <c r="R1812">
        <v>0</v>
      </c>
      <c r="S1812">
        <v>0</v>
      </c>
      <c r="T1812" t="s">
        <v>52</v>
      </c>
      <c r="W1812">
        <v>400068</v>
      </c>
      <c r="AE1812">
        <v>0</v>
      </c>
      <c r="AH1812">
        <v>113.85</v>
      </c>
      <c r="AP1812" t="s">
        <v>872</v>
      </c>
    </row>
    <row r="1813" spans="1:42">
      <c r="A1813" s="1" t="s">
        <v>46</v>
      </c>
      <c r="B1813" s="1" t="s">
        <v>3779</v>
      </c>
      <c r="C1813" s="1" t="s">
        <v>3779</v>
      </c>
      <c r="E1813" s="4" t="s">
        <v>3780</v>
      </c>
      <c r="G1813" s="16"/>
      <c r="I1813">
        <v>150.15</v>
      </c>
      <c r="M1813">
        <v>1</v>
      </c>
      <c r="N1813">
        <v>12</v>
      </c>
      <c r="O1813">
        <v>0</v>
      </c>
      <c r="P1813">
        <v>189.72</v>
      </c>
      <c r="Q1813">
        <v>2276.65</v>
      </c>
      <c r="R1813">
        <v>0</v>
      </c>
      <c r="S1813">
        <v>0</v>
      </c>
      <c r="T1813" t="s">
        <v>52</v>
      </c>
      <c r="W1813">
        <v>400068</v>
      </c>
      <c r="AE1813">
        <v>0</v>
      </c>
      <c r="AH1813">
        <v>150.15</v>
      </c>
      <c r="AP1813" t="s">
        <v>872</v>
      </c>
    </row>
    <row r="1814" spans="1:42">
      <c r="A1814" s="1" t="s">
        <v>46</v>
      </c>
      <c r="B1814" s="1" t="s">
        <v>3781</v>
      </c>
      <c r="C1814" s="1" t="s">
        <v>3781</v>
      </c>
      <c r="E1814" s="4" t="s">
        <v>3782</v>
      </c>
      <c r="G1814" s="16"/>
      <c r="M1814">
        <v>1</v>
      </c>
      <c r="N1814">
        <v>45</v>
      </c>
      <c r="O1814">
        <v>0</v>
      </c>
      <c r="P1814">
        <v>11.12</v>
      </c>
      <c r="Q1814">
        <v>500.18</v>
      </c>
      <c r="R1814">
        <v>0</v>
      </c>
      <c r="S1814">
        <v>0</v>
      </c>
      <c r="T1814" t="s">
        <v>52</v>
      </c>
      <c r="W1814">
        <v>400068</v>
      </c>
      <c r="AE1814">
        <v>0</v>
      </c>
      <c r="AP1814" t="s">
        <v>872</v>
      </c>
    </row>
    <row r="1815" spans="1:42">
      <c r="A1815" s="1" t="s">
        <v>46</v>
      </c>
      <c r="B1815" s="1" t="s">
        <v>3783</v>
      </c>
      <c r="C1815" s="1" t="s">
        <v>3783</v>
      </c>
      <c r="E1815" s="4" t="s">
        <v>3784</v>
      </c>
      <c r="G1815" s="16"/>
      <c r="M1815">
        <v>1</v>
      </c>
      <c r="N1815">
        <v>6</v>
      </c>
      <c r="O1815">
        <v>0</v>
      </c>
      <c r="P1815">
        <v>228.98</v>
      </c>
      <c r="Q1815">
        <v>1373.89</v>
      </c>
      <c r="R1815">
        <v>0</v>
      </c>
      <c r="S1815">
        <v>0</v>
      </c>
      <c r="T1815" t="s">
        <v>52</v>
      </c>
      <c r="U1815">
        <v>0</v>
      </c>
      <c r="V1815">
        <v>0</v>
      </c>
      <c r="W1815">
        <v>400068</v>
      </c>
      <c r="X1815" t="s">
        <v>56</v>
      </c>
      <c r="Y1815" t="s">
        <v>57</v>
      </c>
      <c r="AE1815">
        <v>0</v>
      </c>
      <c r="AP1815" t="s">
        <v>872</v>
      </c>
    </row>
    <row r="1816" spans="1:42">
      <c r="A1816" s="1" t="s">
        <v>46</v>
      </c>
      <c r="B1816" s="1" t="s">
        <v>3785</v>
      </c>
      <c r="C1816" s="1" t="s">
        <v>3785</v>
      </c>
      <c r="E1816" s="4" t="s">
        <v>3786</v>
      </c>
      <c r="G1816" s="16"/>
      <c r="M1816">
        <v>1</v>
      </c>
      <c r="N1816">
        <v>5</v>
      </c>
      <c r="O1816">
        <v>0</v>
      </c>
      <c r="P1816">
        <v>122.83</v>
      </c>
      <c r="Q1816">
        <v>614.16999999999996</v>
      </c>
      <c r="R1816">
        <v>0</v>
      </c>
      <c r="S1816">
        <v>0</v>
      </c>
      <c r="T1816" t="s">
        <v>52</v>
      </c>
      <c r="W1816">
        <v>400068</v>
      </c>
      <c r="AE1816">
        <v>0</v>
      </c>
      <c r="AP1816" t="s">
        <v>872</v>
      </c>
    </row>
    <row r="1817" spans="1:42">
      <c r="A1817" s="1" t="s">
        <v>46</v>
      </c>
      <c r="B1817" s="1" t="s">
        <v>3787</v>
      </c>
      <c r="C1817" s="1" t="s">
        <v>3787</v>
      </c>
      <c r="E1817" s="4" t="s">
        <v>3788</v>
      </c>
      <c r="G1817" s="16"/>
      <c r="M1817">
        <v>1</v>
      </c>
      <c r="N1817">
        <v>4</v>
      </c>
      <c r="O1817">
        <v>0</v>
      </c>
      <c r="P1817">
        <v>54.56</v>
      </c>
      <c r="Q1817">
        <v>218.24</v>
      </c>
      <c r="W1817">
        <v>400068</v>
      </c>
      <c r="AE1817">
        <v>0</v>
      </c>
      <c r="AP1817" t="s">
        <v>872</v>
      </c>
    </row>
    <row r="1818" spans="1:42">
      <c r="A1818" s="1" t="s">
        <v>46</v>
      </c>
      <c r="B1818" s="1" t="s">
        <v>3789</v>
      </c>
      <c r="C1818" s="1" t="s">
        <v>3789</v>
      </c>
      <c r="E1818" s="4" t="s">
        <v>3790</v>
      </c>
      <c r="G1818" s="16"/>
      <c r="M1818">
        <v>1</v>
      </c>
      <c r="N1818">
        <v>2</v>
      </c>
      <c r="O1818">
        <v>0</v>
      </c>
      <c r="P1818">
        <v>149.15</v>
      </c>
      <c r="Q1818">
        <v>298.3</v>
      </c>
      <c r="W1818">
        <v>400068</v>
      </c>
      <c r="AE1818">
        <v>0</v>
      </c>
      <c r="AP1818" t="s">
        <v>872</v>
      </c>
    </row>
    <row r="1819" spans="1:42">
      <c r="A1819" s="1" t="s">
        <v>46</v>
      </c>
      <c r="B1819" s="1" t="s">
        <v>3791</v>
      </c>
      <c r="C1819" s="1" t="s">
        <v>3791</v>
      </c>
      <c r="E1819" s="4" t="s">
        <v>3792</v>
      </c>
      <c r="G1819" s="16"/>
      <c r="M1819">
        <v>1</v>
      </c>
      <c r="N1819">
        <v>1</v>
      </c>
      <c r="O1819">
        <v>0</v>
      </c>
      <c r="P1819">
        <v>193.02</v>
      </c>
      <c r="Q1819">
        <v>193.02</v>
      </c>
      <c r="W1819">
        <v>400068</v>
      </c>
      <c r="AE1819">
        <v>0</v>
      </c>
      <c r="AP1819" t="s">
        <v>872</v>
      </c>
    </row>
    <row r="1820" spans="1:42">
      <c r="A1820" s="1" t="s">
        <v>46</v>
      </c>
      <c r="B1820" s="1" t="s">
        <v>3793</v>
      </c>
      <c r="C1820" s="1" t="s">
        <v>3793</v>
      </c>
      <c r="E1820" s="4" t="s">
        <v>3794</v>
      </c>
      <c r="G1820" s="16"/>
      <c r="M1820">
        <v>1</v>
      </c>
      <c r="N1820">
        <v>2</v>
      </c>
      <c r="O1820">
        <v>0</v>
      </c>
      <c r="P1820">
        <v>164.5</v>
      </c>
      <c r="Q1820">
        <v>329</v>
      </c>
      <c r="W1820">
        <v>400068</v>
      </c>
      <c r="AE1820">
        <v>0</v>
      </c>
      <c r="AP1820" t="s">
        <v>872</v>
      </c>
    </row>
    <row r="1821" spans="1:42">
      <c r="A1821" s="1" t="s">
        <v>46</v>
      </c>
      <c r="B1821" s="1" t="s">
        <v>3795</v>
      </c>
      <c r="C1821" s="1" t="s">
        <v>3795</v>
      </c>
      <c r="E1821" s="4" t="s">
        <v>3796</v>
      </c>
      <c r="G1821" s="16"/>
      <c r="I1821">
        <v>15</v>
      </c>
      <c r="M1821">
        <v>1</v>
      </c>
      <c r="N1821">
        <v>3186</v>
      </c>
      <c r="O1821">
        <v>0</v>
      </c>
      <c r="P1821">
        <v>5.5</v>
      </c>
      <c r="Q1821">
        <v>17523</v>
      </c>
      <c r="R1821">
        <v>0</v>
      </c>
      <c r="S1821">
        <v>0</v>
      </c>
      <c r="T1821" t="s">
        <v>17</v>
      </c>
      <c r="W1821">
        <v>400016</v>
      </c>
      <c r="AE1821">
        <v>0</v>
      </c>
      <c r="AH1821">
        <v>15</v>
      </c>
      <c r="AP1821" t="s">
        <v>3797</v>
      </c>
    </row>
    <row r="1822" spans="1:42">
      <c r="A1822" s="1" t="s">
        <v>46</v>
      </c>
      <c r="B1822" s="1" t="s">
        <v>3798</v>
      </c>
      <c r="C1822" s="1" t="s">
        <v>3798</v>
      </c>
      <c r="E1822" s="4" t="s">
        <v>3799</v>
      </c>
      <c r="G1822" s="16"/>
      <c r="M1822">
        <v>1</v>
      </c>
      <c r="N1822">
        <v>6</v>
      </c>
      <c r="O1822">
        <v>0</v>
      </c>
      <c r="P1822">
        <v>270</v>
      </c>
      <c r="Q1822">
        <v>1620</v>
      </c>
      <c r="R1822" t="s">
        <v>2842</v>
      </c>
      <c r="S1822">
        <v>0</v>
      </c>
      <c r="T1822" t="s">
        <v>52</v>
      </c>
      <c r="W1822">
        <v>400046</v>
      </c>
      <c r="AE1822">
        <v>0</v>
      </c>
      <c r="AP1822" t="s">
        <v>407</v>
      </c>
    </row>
    <row r="1823" spans="1:42">
      <c r="A1823" s="1" t="s">
        <v>46</v>
      </c>
      <c r="B1823" s="1" t="s">
        <v>3800</v>
      </c>
      <c r="C1823" s="1" t="s">
        <v>3800</v>
      </c>
      <c r="E1823" s="4" t="s">
        <v>3801</v>
      </c>
      <c r="G1823" s="16"/>
      <c r="M1823">
        <v>1</v>
      </c>
      <c r="N1823">
        <v>1</v>
      </c>
      <c r="O1823">
        <v>0</v>
      </c>
      <c r="P1823">
        <v>265</v>
      </c>
      <c r="Q1823">
        <v>265</v>
      </c>
      <c r="W1823">
        <v>400046</v>
      </c>
      <c r="AE1823">
        <v>0</v>
      </c>
      <c r="AP1823" t="s">
        <v>407</v>
      </c>
    </row>
    <row r="1824" spans="1:42">
      <c r="A1824" s="1" t="s">
        <v>46</v>
      </c>
      <c r="B1824" s="1" t="s">
        <v>3802</v>
      </c>
      <c r="C1824" s="1" t="s">
        <v>3802</v>
      </c>
      <c r="E1824" s="4" t="s">
        <v>3803</v>
      </c>
      <c r="G1824" s="16"/>
      <c r="M1824">
        <v>1</v>
      </c>
      <c r="N1824">
        <v>2</v>
      </c>
      <c r="O1824">
        <v>0</v>
      </c>
      <c r="P1824">
        <v>315</v>
      </c>
      <c r="Q1824">
        <v>630</v>
      </c>
      <c r="W1824">
        <v>400046</v>
      </c>
      <c r="AE1824">
        <v>0</v>
      </c>
      <c r="AP1824" t="s">
        <v>407</v>
      </c>
    </row>
    <row r="1825" spans="1:42">
      <c r="A1825" s="1" t="s">
        <v>46</v>
      </c>
      <c r="B1825" s="1" t="s">
        <v>3804</v>
      </c>
      <c r="C1825" s="1" t="s">
        <v>3804</v>
      </c>
      <c r="E1825" s="4" t="s">
        <v>3805</v>
      </c>
      <c r="G1825" s="16"/>
      <c r="M1825">
        <v>1</v>
      </c>
      <c r="N1825">
        <v>3</v>
      </c>
      <c r="O1825">
        <v>0</v>
      </c>
      <c r="P1825">
        <v>297</v>
      </c>
      <c r="Q1825">
        <v>891</v>
      </c>
      <c r="R1825">
        <v>0</v>
      </c>
      <c r="S1825">
        <v>0</v>
      </c>
      <c r="T1825">
        <v>0</v>
      </c>
      <c r="W1825">
        <v>400046</v>
      </c>
      <c r="AE1825">
        <v>0</v>
      </c>
      <c r="AP1825" t="s">
        <v>407</v>
      </c>
    </row>
    <row r="1826" spans="1:42">
      <c r="A1826" s="1" t="s">
        <v>46</v>
      </c>
      <c r="B1826" s="1" t="s">
        <v>3806</v>
      </c>
      <c r="C1826" s="1" t="s">
        <v>3806</v>
      </c>
      <c r="E1826" s="4" t="s">
        <v>3807</v>
      </c>
      <c r="G1826" s="16"/>
      <c r="M1826">
        <v>1</v>
      </c>
      <c r="N1826">
        <v>8</v>
      </c>
      <c r="O1826">
        <v>0</v>
      </c>
      <c r="P1826">
        <v>240</v>
      </c>
      <c r="Q1826">
        <v>1920</v>
      </c>
      <c r="R1826">
        <v>0</v>
      </c>
      <c r="S1826">
        <v>0</v>
      </c>
      <c r="T1826">
        <v>0</v>
      </c>
      <c r="W1826">
        <v>400046</v>
      </c>
      <c r="AE1826">
        <v>0</v>
      </c>
      <c r="AP1826" t="s">
        <v>407</v>
      </c>
    </row>
    <row r="1827" spans="1:42">
      <c r="A1827" s="1" t="s">
        <v>46</v>
      </c>
      <c r="B1827" s="1" t="s">
        <v>3808</v>
      </c>
      <c r="C1827" s="1" t="s">
        <v>3808</v>
      </c>
      <c r="E1827" s="4" t="s">
        <v>3809</v>
      </c>
      <c r="G1827" s="16"/>
      <c r="M1827">
        <v>1</v>
      </c>
      <c r="N1827">
        <v>9</v>
      </c>
      <c r="O1827">
        <v>0</v>
      </c>
      <c r="P1827">
        <v>105</v>
      </c>
      <c r="Q1827">
        <v>945</v>
      </c>
      <c r="R1827">
        <v>0</v>
      </c>
      <c r="S1827">
        <v>0</v>
      </c>
      <c r="T1827" t="s">
        <v>52</v>
      </c>
      <c r="W1827">
        <v>400046</v>
      </c>
      <c r="AE1827">
        <v>0</v>
      </c>
      <c r="AP1827" t="s">
        <v>407</v>
      </c>
    </row>
    <row r="1828" spans="1:42">
      <c r="A1828" s="1" t="s">
        <v>46</v>
      </c>
      <c r="B1828" s="1" t="s">
        <v>3810</v>
      </c>
      <c r="C1828" s="1" t="s">
        <v>3810</v>
      </c>
      <c r="E1828" s="4" t="s">
        <v>3811</v>
      </c>
      <c r="G1828" s="16"/>
      <c r="M1828">
        <v>1</v>
      </c>
      <c r="N1828">
        <v>33</v>
      </c>
      <c r="O1828">
        <v>0</v>
      </c>
      <c r="P1828">
        <v>47</v>
      </c>
      <c r="Q1828">
        <v>1551</v>
      </c>
      <c r="R1828">
        <v>0</v>
      </c>
      <c r="S1828">
        <v>0</v>
      </c>
      <c r="T1828" t="s">
        <v>52</v>
      </c>
      <c r="U1828">
        <v>0</v>
      </c>
      <c r="V1828">
        <v>0</v>
      </c>
      <c r="W1828">
        <v>400046</v>
      </c>
      <c r="AE1828">
        <v>0</v>
      </c>
      <c r="AP1828" t="s">
        <v>407</v>
      </c>
    </row>
    <row r="1829" spans="1:42">
      <c r="A1829" s="1" t="s">
        <v>46</v>
      </c>
      <c r="B1829" s="1" t="s">
        <v>3812</v>
      </c>
      <c r="C1829" s="1" t="s">
        <v>3812</v>
      </c>
      <c r="E1829" s="4" t="s">
        <v>3813</v>
      </c>
      <c r="G1829" s="16"/>
      <c r="M1829">
        <v>1</v>
      </c>
      <c r="N1829">
        <v>10</v>
      </c>
      <c r="O1829">
        <v>0</v>
      </c>
      <c r="P1829">
        <v>51</v>
      </c>
      <c r="Q1829">
        <v>510</v>
      </c>
      <c r="R1829">
        <v>0</v>
      </c>
      <c r="S1829">
        <v>0</v>
      </c>
      <c r="T1829" t="s">
        <v>52</v>
      </c>
      <c r="U1829">
        <v>0</v>
      </c>
      <c r="V1829">
        <v>0</v>
      </c>
      <c r="W1829">
        <v>400046</v>
      </c>
      <c r="AE1829">
        <v>0</v>
      </c>
      <c r="AP1829" t="s">
        <v>407</v>
      </c>
    </row>
    <row r="1830" spans="1:42">
      <c r="A1830" s="1" t="s">
        <v>46</v>
      </c>
      <c r="B1830" s="1" t="s">
        <v>3814</v>
      </c>
      <c r="C1830" s="1" t="s">
        <v>3814</v>
      </c>
      <c r="E1830" s="4" t="s">
        <v>3815</v>
      </c>
      <c r="G1830" s="16"/>
      <c r="M1830">
        <v>1</v>
      </c>
      <c r="N1830">
        <v>8</v>
      </c>
      <c r="O1830">
        <v>0</v>
      </c>
      <c r="P1830">
        <v>70</v>
      </c>
      <c r="Q1830">
        <v>560</v>
      </c>
      <c r="R1830">
        <v>0</v>
      </c>
      <c r="S1830">
        <v>0</v>
      </c>
      <c r="T1830" t="s">
        <v>52</v>
      </c>
      <c r="W1830">
        <v>400046</v>
      </c>
      <c r="AE1830">
        <v>0</v>
      </c>
      <c r="AP1830" t="s">
        <v>407</v>
      </c>
    </row>
    <row r="1831" spans="1:42">
      <c r="A1831" s="1" t="s">
        <v>46</v>
      </c>
      <c r="B1831" s="1" t="s">
        <v>3816</v>
      </c>
      <c r="C1831" s="1" t="s">
        <v>3816</v>
      </c>
      <c r="E1831" s="4" t="s">
        <v>3817</v>
      </c>
      <c r="G1831" s="16"/>
      <c r="M1831">
        <v>1</v>
      </c>
      <c r="N1831">
        <v>25</v>
      </c>
      <c r="O1831">
        <v>0</v>
      </c>
      <c r="P1831">
        <v>85</v>
      </c>
      <c r="Q1831">
        <v>2125</v>
      </c>
      <c r="R1831">
        <v>0</v>
      </c>
      <c r="S1831">
        <v>0</v>
      </c>
      <c r="T1831" t="s">
        <v>52</v>
      </c>
      <c r="W1831">
        <v>400046</v>
      </c>
      <c r="AE1831">
        <v>0</v>
      </c>
      <c r="AP1831" t="s">
        <v>407</v>
      </c>
    </row>
    <row r="1832" spans="1:42">
      <c r="A1832" s="1" t="s">
        <v>46</v>
      </c>
      <c r="B1832" s="1" t="s">
        <v>3818</v>
      </c>
      <c r="C1832" s="1" t="s">
        <v>3818</v>
      </c>
      <c r="E1832" s="4" t="s">
        <v>3819</v>
      </c>
      <c r="G1832" s="16"/>
      <c r="M1832">
        <v>1</v>
      </c>
      <c r="N1832">
        <v>2</v>
      </c>
      <c r="O1832">
        <v>0</v>
      </c>
      <c r="P1832">
        <v>183.15</v>
      </c>
      <c r="Q1832">
        <v>366.3</v>
      </c>
      <c r="W1832">
        <v>400046</v>
      </c>
      <c r="AE1832">
        <v>0</v>
      </c>
      <c r="AP1832" t="s">
        <v>407</v>
      </c>
    </row>
    <row r="1833" spans="1:42">
      <c r="A1833" s="1" t="s">
        <v>46</v>
      </c>
      <c r="B1833" s="1" t="s">
        <v>3820</v>
      </c>
      <c r="C1833" s="1" t="s">
        <v>3820</v>
      </c>
      <c r="E1833" s="4" t="s">
        <v>3821</v>
      </c>
      <c r="G1833" s="16"/>
      <c r="M1833">
        <v>1</v>
      </c>
      <c r="N1833">
        <v>1</v>
      </c>
      <c r="O1833">
        <v>0</v>
      </c>
      <c r="P1833">
        <v>266.73</v>
      </c>
      <c r="Q1833">
        <v>266.73</v>
      </c>
      <c r="W1833">
        <v>400046</v>
      </c>
      <c r="AE1833">
        <v>0</v>
      </c>
      <c r="AP1833" t="s">
        <v>407</v>
      </c>
    </row>
    <row r="1834" spans="1:42">
      <c r="A1834" s="1" t="s">
        <v>46</v>
      </c>
      <c r="B1834" s="1" t="s">
        <v>3822</v>
      </c>
      <c r="C1834" s="1" t="s">
        <v>3822</v>
      </c>
      <c r="E1834" s="4" t="s">
        <v>3823</v>
      </c>
      <c r="G1834" s="16"/>
      <c r="M1834">
        <v>1</v>
      </c>
      <c r="N1834">
        <v>73</v>
      </c>
      <c r="O1834">
        <v>0</v>
      </c>
      <c r="P1834">
        <v>137.63999999999999</v>
      </c>
      <c r="Q1834">
        <v>10047.719999999999</v>
      </c>
      <c r="R1834">
        <v>0</v>
      </c>
      <c r="S1834">
        <v>0</v>
      </c>
      <c r="T1834" t="s">
        <v>52</v>
      </c>
      <c r="U1834">
        <v>0</v>
      </c>
      <c r="V1834">
        <v>0</v>
      </c>
      <c r="W1834">
        <v>400046</v>
      </c>
      <c r="X1834" t="s">
        <v>56</v>
      </c>
      <c r="Y1834" t="s">
        <v>57</v>
      </c>
      <c r="AE1834">
        <v>0</v>
      </c>
      <c r="AP1834" t="s">
        <v>407</v>
      </c>
    </row>
    <row r="1835" spans="1:42">
      <c r="A1835" s="1" t="s">
        <v>46</v>
      </c>
      <c r="B1835" s="1" t="s">
        <v>3824</v>
      </c>
      <c r="C1835" s="1" t="s">
        <v>3824</v>
      </c>
      <c r="E1835" s="4" t="s">
        <v>3825</v>
      </c>
      <c r="G1835" s="16"/>
      <c r="M1835">
        <v>1</v>
      </c>
      <c r="N1835">
        <v>24</v>
      </c>
      <c r="O1835">
        <v>0</v>
      </c>
      <c r="P1835">
        <v>150</v>
      </c>
      <c r="Q1835">
        <v>3600</v>
      </c>
      <c r="R1835">
        <v>0</v>
      </c>
      <c r="S1835">
        <v>0</v>
      </c>
      <c r="T1835" t="s">
        <v>52</v>
      </c>
      <c r="U1835">
        <v>0</v>
      </c>
      <c r="V1835">
        <v>0</v>
      </c>
      <c r="W1835">
        <v>400046</v>
      </c>
      <c r="AE1835">
        <v>0</v>
      </c>
      <c r="AP1835" t="s">
        <v>407</v>
      </c>
    </row>
    <row r="1836" spans="1:42">
      <c r="A1836" s="1" t="s">
        <v>46</v>
      </c>
      <c r="B1836" s="1" t="s">
        <v>3826</v>
      </c>
      <c r="C1836" s="1" t="s">
        <v>3826</v>
      </c>
      <c r="E1836" s="4" t="s">
        <v>3827</v>
      </c>
      <c r="G1836" s="16"/>
      <c r="M1836">
        <v>1</v>
      </c>
      <c r="N1836">
        <v>14</v>
      </c>
      <c r="O1836">
        <v>0</v>
      </c>
      <c r="P1836">
        <v>164</v>
      </c>
      <c r="Q1836">
        <v>2296</v>
      </c>
      <c r="R1836">
        <v>0</v>
      </c>
      <c r="S1836">
        <v>0</v>
      </c>
      <c r="T1836" t="s">
        <v>52</v>
      </c>
      <c r="U1836">
        <v>0</v>
      </c>
      <c r="V1836">
        <v>0</v>
      </c>
      <c r="W1836">
        <v>400046</v>
      </c>
      <c r="AE1836">
        <v>0</v>
      </c>
      <c r="AP1836" t="s">
        <v>407</v>
      </c>
    </row>
    <row r="1837" spans="1:42">
      <c r="A1837" s="1" t="s">
        <v>46</v>
      </c>
      <c r="B1837" s="1" t="s">
        <v>3828</v>
      </c>
      <c r="C1837" s="1" t="s">
        <v>3828</v>
      </c>
      <c r="E1837" s="4" t="s">
        <v>3829</v>
      </c>
      <c r="G1837" s="16"/>
      <c r="M1837">
        <v>1</v>
      </c>
      <c r="N1837">
        <v>1</v>
      </c>
      <c r="O1837">
        <v>0</v>
      </c>
      <c r="P1837">
        <v>480</v>
      </c>
      <c r="Q1837">
        <v>480</v>
      </c>
      <c r="W1837">
        <v>400046</v>
      </c>
      <c r="AE1837">
        <v>0</v>
      </c>
      <c r="AP1837" t="s">
        <v>407</v>
      </c>
    </row>
    <row r="1838" spans="1:42">
      <c r="A1838" s="1" t="s">
        <v>46</v>
      </c>
      <c r="B1838" s="1" t="s">
        <v>3830</v>
      </c>
      <c r="C1838" s="1" t="s">
        <v>3830</v>
      </c>
      <c r="E1838" s="4" t="s">
        <v>3831</v>
      </c>
      <c r="G1838" s="16"/>
      <c r="M1838">
        <v>1</v>
      </c>
      <c r="N1838">
        <v>1</v>
      </c>
      <c r="O1838">
        <v>0</v>
      </c>
      <c r="P1838">
        <v>225</v>
      </c>
      <c r="Q1838">
        <v>225</v>
      </c>
      <c r="R1838">
        <v>0</v>
      </c>
      <c r="S1838">
        <v>0</v>
      </c>
      <c r="T1838" t="s">
        <v>52</v>
      </c>
      <c r="W1838">
        <v>400046</v>
      </c>
      <c r="AE1838">
        <v>0</v>
      </c>
      <c r="AP1838" t="s">
        <v>407</v>
      </c>
    </row>
    <row r="1839" spans="1:42">
      <c r="A1839" s="1" t="s">
        <v>46</v>
      </c>
      <c r="B1839" s="1" t="s">
        <v>3832</v>
      </c>
      <c r="C1839" s="1" t="s">
        <v>3832</v>
      </c>
      <c r="E1839" s="4" t="s">
        <v>3833</v>
      </c>
      <c r="G1839" s="16"/>
      <c r="M1839">
        <v>1</v>
      </c>
      <c r="N1839">
        <v>15</v>
      </c>
      <c r="O1839">
        <v>0</v>
      </c>
      <c r="P1839">
        <v>68</v>
      </c>
      <c r="Q1839">
        <v>1020</v>
      </c>
      <c r="R1839">
        <v>0</v>
      </c>
      <c r="S1839">
        <v>0</v>
      </c>
      <c r="T1839" t="s">
        <v>52</v>
      </c>
      <c r="W1839">
        <v>400046</v>
      </c>
      <c r="AE1839">
        <v>0</v>
      </c>
      <c r="AP1839" t="s">
        <v>407</v>
      </c>
    </row>
    <row r="1840" spans="1:42">
      <c r="A1840" s="1" t="s">
        <v>46</v>
      </c>
      <c r="B1840" s="1" t="s">
        <v>3834</v>
      </c>
      <c r="C1840" s="1" t="s">
        <v>3834</v>
      </c>
      <c r="E1840" s="4" t="s">
        <v>3835</v>
      </c>
      <c r="G1840" s="16"/>
      <c r="M1840">
        <v>1</v>
      </c>
      <c r="N1840">
        <v>44</v>
      </c>
      <c r="O1840">
        <v>0</v>
      </c>
      <c r="P1840">
        <v>29</v>
      </c>
      <c r="Q1840">
        <v>1276</v>
      </c>
      <c r="W1840">
        <v>410302</v>
      </c>
      <c r="AE1840">
        <v>0</v>
      </c>
      <c r="AP1840" t="s">
        <v>177</v>
      </c>
    </row>
    <row r="1841" spans="1:42">
      <c r="A1841" s="1" t="s">
        <v>46</v>
      </c>
      <c r="B1841" s="1" t="s">
        <v>3836</v>
      </c>
      <c r="C1841" s="1" t="s">
        <v>3836</v>
      </c>
      <c r="E1841" s="4" t="s">
        <v>3837</v>
      </c>
      <c r="G1841" s="16"/>
      <c r="M1841">
        <v>1</v>
      </c>
      <c r="N1841">
        <v>15</v>
      </c>
      <c r="O1841">
        <v>0</v>
      </c>
      <c r="P1841">
        <v>15.54</v>
      </c>
      <c r="Q1841">
        <v>233.1</v>
      </c>
      <c r="R1841">
        <v>1</v>
      </c>
      <c r="S1841">
        <v>0</v>
      </c>
      <c r="T1841">
        <v>0</v>
      </c>
      <c r="U1841">
        <v>0</v>
      </c>
      <c r="V1841">
        <v>0</v>
      </c>
      <c r="W1841">
        <v>400120</v>
      </c>
      <c r="AE1841">
        <v>0</v>
      </c>
      <c r="AK1841" t="s">
        <v>58</v>
      </c>
      <c r="AP1841" t="s">
        <v>468</v>
      </c>
    </row>
    <row r="1842" spans="1:42">
      <c r="A1842" s="1" t="s">
        <v>46</v>
      </c>
      <c r="B1842" s="1" t="s">
        <v>3838</v>
      </c>
      <c r="C1842" s="1" t="s">
        <v>3838</v>
      </c>
      <c r="E1842" s="4" t="s">
        <v>3839</v>
      </c>
      <c r="G1842" s="16"/>
      <c r="M1842">
        <v>1</v>
      </c>
      <c r="N1842">
        <v>2</v>
      </c>
      <c r="O1842">
        <v>0</v>
      </c>
      <c r="P1842">
        <v>450</v>
      </c>
      <c r="Q1842">
        <v>900</v>
      </c>
      <c r="W1842">
        <v>400046</v>
      </c>
      <c r="AE1842">
        <v>0</v>
      </c>
      <c r="AP1842" t="s">
        <v>407</v>
      </c>
    </row>
    <row r="1843" spans="1:42">
      <c r="A1843" s="1" t="s">
        <v>46</v>
      </c>
      <c r="B1843" s="1" t="s">
        <v>3840</v>
      </c>
      <c r="C1843" s="1" t="s">
        <v>3840</v>
      </c>
      <c r="E1843" s="4" t="s">
        <v>3841</v>
      </c>
      <c r="G1843" s="16"/>
      <c r="I1843">
        <v>45</v>
      </c>
      <c r="M1843">
        <v>1</v>
      </c>
      <c r="N1843">
        <v>71</v>
      </c>
      <c r="O1843">
        <v>0</v>
      </c>
      <c r="P1843">
        <v>18</v>
      </c>
      <c r="Q1843">
        <v>1278</v>
      </c>
      <c r="R1843">
        <v>0</v>
      </c>
      <c r="S1843">
        <v>0</v>
      </c>
      <c r="T1843">
        <v>0</v>
      </c>
      <c r="W1843">
        <v>410185</v>
      </c>
      <c r="AE1843">
        <v>0</v>
      </c>
      <c r="AH1843">
        <v>45</v>
      </c>
      <c r="AP1843" t="s">
        <v>3842</v>
      </c>
    </row>
    <row r="1844" spans="1:42">
      <c r="A1844" s="1" t="s">
        <v>46</v>
      </c>
      <c r="B1844" s="1" t="s">
        <v>3843</v>
      </c>
      <c r="C1844" s="1" t="s">
        <v>3843</v>
      </c>
      <c r="E1844" s="4" t="s">
        <v>3844</v>
      </c>
      <c r="G1844" s="16"/>
      <c r="M1844">
        <v>1</v>
      </c>
      <c r="N1844">
        <v>24</v>
      </c>
      <c r="O1844">
        <v>0</v>
      </c>
      <c r="P1844">
        <v>33.99</v>
      </c>
      <c r="Q1844">
        <v>815.76</v>
      </c>
      <c r="R1844">
        <v>0</v>
      </c>
      <c r="S1844">
        <v>0</v>
      </c>
      <c r="T1844">
        <v>0</v>
      </c>
      <c r="W1844">
        <v>410185</v>
      </c>
      <c r="AE1844">
        <v>0</v>
      </c>
      <c r="AP1844" t="s">
        <v>3842</v>
      </c>
    </row>
    <row r="1845" spans="1:42">
      <c r="A1845" s="1" t="s">
        <v>46</v>
      </c>
      <c r="B1845" s="1" t="s">
        <v>3845</v>
      </c>
      <c r="C1845" s="1" t="s">
        <v>3845</v>
      </c>
      <c r="E1845" s="4" t="s">
        <v>3846</v>
      </c>
      <c r="G1845" s="16">
        <v>65</v>
      </c>
      <c r="I1845">
        <v>25</v>
      </c>
      <c r="M1845">
        <v>1</v>
      </c>
      <c r="N1845">
        <v>606</v>
      </c>
      <c r="O1845">
        <v>0</v>
      </c>
      <c r="P1845">
        <v>14</v>
      </c>
      <c r="Q1845">
        <v>8484</v>
      </c>
      <c r="R1845">
        <v>0</v>
      </c>
      <c r="S1845">
        <v>0</v>
      </c>
      <c r="T1845" t="s">
        <v>52</v>
      </c>
      <c r="U1845">
        <v>0</v>
      </c>
      <c r="V1845">
        <v>0</v>
      </c>
      <c r="W1845">
        <v>400046</v>
      </c>
      <c r="AE1845">
        <v>0</v>
      </c>
      <c r="AH1845">
        <v>25</v>
      </c>
      <c r="AP1845" t="s">
        <v>407</v>
      </c>
    </row>
    <row r="1846" spans="1:42">
      <c r="A1846" s="1" t="s">
        <v>46</v>
      </c>
      <c r="B1846" s="1" t="s">
        <v>3847</v>
      </c>
      <c r="C1846" s="1" t="s">
        <v>3847</v>
      </c>
      <c r="E1846" s="4" t="s">
        <v>3848</v>
      </c>
      <c r="G1846" s="16"/>
      <c r="M1846">
        <v>1</v>
      </c>
      <c r="N1846">
        <v>12</v>
      </c>
      <c r="O1846">
        <v>0</v>
      </c>
      <c r="P1846">
        <v>46.9</v>
      </c>
      <c r="Q1846">
        <v>562.77</v>
      </c>
      <c r="AE1846">
        <v>0</v>
      </c>
    </row>
    <row r="1847" spans="1:42">
      <c r="A1847" s="1" t="s">
        <v>46</v>
      </c>
      <c r="B1847" s="1" t="s">
        <v>3849</v>
      </c>
      <c r="C1847" s="1" t="s">
        <v>3849</v>
      </c>
      <c r="E1847" s="4" t="s">
        <v>3850</v>
      </c>
      <c r="G1847" s="16"/>
      <c r="M1847">
        <v>1</v>
      </c>
      <c r="N1847">
        <v>3</v>
      </c>
      <c r="O1847">
        <v>0</v>
      </c>
      <c r="P1847">
        <v>186.44</v>
      </c>
      <c r="Q1847">
        <v>559.30999999999995</v>
      </c>
      <c r="W1847">
        <v>400160</v>
      </c>
      <c r="AE1847">
        <v>0</v>
      </c>
      <c r="AP1847" t="s">
        <v>201</v>
      </c>
    </row>
    <row r="1848" spans="1:42">
      <c r="A1848" s="1" t="s">
        <v>46</v>
      </c>
      <c r="B1848" s="1" t="s">
        <v>3851</v>
      </c>
      <c r="C1848" s="1" t="s">
        <v>3851</v>
      </c>
      <c r="E1848" s="4" t="s">
        <v>3852</v>
      </c>
      <c r="G1848" s="16"/>
      <c r="M1848">
        <v>1</v>
      </c>
      <c r="N1848">
        <v>3</v>
      </c>
      <c r="O1848">
        <v>0</v>
      </c>
      <c r="P1848">
        <v>488.37</v>
      </c>
      <c r="Q1848">
        <v>1465.11</v>
      </c>
      <c r="W1848">
        <v>400068</v>
      </c>
      <c r="AE1848">
        <v>0</v>
      </c>
      <c r="AP1848" t="s">
        <v>872</v>
      </c>
    </row>
    <row r="1849" spans="1:42">
      <c r="A1849" s="1" t="s">
        <v>46</v>
      </c>
      <c r="B1849" s="1" t="s">
        <v>3853</v>
      </c>
      <c r="C1849" s="1" t="s">
        <v>3853</v>
      </c>
      <c r="E1849" s="4" t="s">
        <v>3854</v>
      </c>
      <c r="G1849" s="16"/>
      <c r="M1849">
        <v>1</v>
      </c>
      <c r="N1849">
        <v>2</v>
      </c>
      <c r="O1849">
        <v>0</v>
      </c>
      <c r="P1849">
        <v>23.13</v>
      </c>
      <c r="Q1849">
        <v>46.26</v>
      </c>
      <c r="R1849">
        <v>0</v>
      </c>
      <c r="S1849">
        <v>0</v>
      </c>
      <c r="T1849">
        <v>0</v>
      </c>
      <c r="W1849">
        <v>400068</v>
      </c>
      <c r="AE1849">
        <v>0</v>
      </c>
      <c r="AP1849" t="s">
        <v>872</v>
      </c>
    </row>
    <row r="1850" spans="1:42">
      <c r="A1850" s="1" t="s">
        <v>46</v>
      </c>
      <c r="B1850" s="1" t="s">
        <v>3855</v>
      </c>
      <c r="C1850" s="1" t="s">
        <v>3855</v>
      </c>
      <c r="E1850" s="4" t="s">
        <v>3856</v>
      </c>
      <c r="G1850" s="16"/>
      <c r="M1850">
        <v>1</v>
      </c>
      <c r="N1850">
        <v>7</v>
      </c>
      <c r="O1850">
        <v>0</v>
      </c>
      <c r="P1850">
        <v>30.3</v>
      </c>
      <c r="Q1850">
        <v>212.07</v>
      </c>
      <c r="R1850" t="s">
        <v>1142</v>
      </c>
      <c r="S1850">
        <v>0</v>
      </c>
      <c r="T1850" t="s">
        <v>52</v>
      </c>
      <c r="U1850">
        <v>0</v>
      </c>
      <c r="V1850">
        <v>0</v>
      </c>
      <c r="W1850">
        <v>400160</v>
      </c>
      <c r="X1850" t="s">
        <v>56</v>
      </c>
      <c r="Y1850" t="s">
        <v>57</v>
      </c>
      <c r="AE1850">
        <v>0</v>
      </c>
      <c r="AP1850" t="s">
        <v>201</v>
      </c>
    </row>
    <row r="1851" spans="1:42">
      <c r="A1851" s="1" t="s">
        <v>46</v>
      </c>
      <c r="B1851" s="1" t="s">
        <v>3857</v>
      </c>
      <c r="C1851" s="1" t="s">
        <v>3857</v>
      </c>
      <c r="E1851" s="4" t="s">
        <v>3858</v>
      </c>
      <c r="G1851" s="16">
        <v>3.5</v>
      </c>
      <c r="M1851">
        <v>1</v>
      </c>
      <c r="N1851">
        <v>3</v>
      </c>
      <c r="O1851">
        <v>0</v>
      </c>
      <c r="P1851">
        <v>101.79</v>
      </c>
      <c r="Q1851">
        <v>305.37</v>
      </c>
      <c r="W1851">
        <v>400160</v>
      </c>
      <c r="AE1851">
        <v>0</v>
      </c>
      <c r="AP1851" t="s">
        <v>201</v>
      </c>
    </row>
    <row r="1852" spans="1:42">
      <c r="A1852" s="1"/>
      <c r="B1852" s="1"/>
      <c r="C1852" s="1"/>
      <c r="E1852" s="12" t="s">
        <v>3859</v>
      </c>
      <c r="G1852" s="16">
        <v>2</v>
      </c>
    </row>
    <row r="1853" spans="1:42">
      <c r="A1853" s="1" t="s">
        <v>46</v>
      </c>
      <c r="B1853" s="1" t="s">
        <v>3860</v>
      </c>
      <c r="C1853" s="1" t="s">
        <v>3860</v>
      </c>
      <c r="E1853" s="4" t="s">
        <v>3861</v>
      </c>
      <c r="G1853" s="16"/>
      <c r="M1853">
        <v>1</v>
      </c>
      <c r="N1853">
        <v>1</v>
      </c>
      <c r="O1853">
        <v>0</v>
      </c>
      <c r="P1853">
        <v>570</v>
      </c>
      <c r="Q1853">
        <v>570</v>
      </c>
      <c r="R1853">
        <v>0</v>
      </c>
      <c r="S1853">
        <v>0</v>
      </c>
      <c r="T1853">
        <v>0</v>
      </c>
      <c r="W1853">
        <v>400068</v>
      </c>
      <c r="AE1853">
        <v>0</v>
      </c>
      <c r="AP1853" t="s">
        <v>872</v>
      </c>
    </row>
    <row r="1854" spans="1:42">
      <c r="A1854" s="1" t="s">
        <v>46</v>
      </c>
      <c r="B1854" s="1" t="s">
        <v>3862</v>
      </c>
      <c r="C1854" s="1" t="s">
        <v>3862</v>
      </c>
      <c r="E1854" s="4" t="s">
        <v>3863</v>
      </c>
      <c r="G1854" s="16">
        <v>2.75</v>
      </c>
      <c r="M1854">
        <v>1</v>
      </c>
      <c r="N1854">
        <v>1</v>
      </c>
      <c r="O1854">
        <v>0</v>
      </c>
      <c r="P1854">
        <v>141.52000000000001</v>
      </c>
      <c r="Q1854">
        <v>141.52000000000001</v>
      </c>
      <c r="W1854">
        <v>400159</v>
      </c>
      <c r="AE1854">
        <v>0</v>
      </c>
      <c r="AP1854" t="s">
        <v>190</v>
      </c>
    </row>
    <row r="1855" spans="1:42">
      <c r="A1855" s="1" t="s">
        <v>46</v>
      </c>
      <c r="B1855" s="1" t="s">
        <v>3864</v>
      </c>
      <c r="C1855" s="1" t="s">
        <v>3864</v>
      </c>
      <c r="E1855" s="4" t="s">
        <v>3865</v>
      </c>
      <c r="G1855" s="16">
        <v>5</v>
      </c>
      <c r="M1855">
        <v>1</v>
      </c>
      <c r="N1855">
        <v>1</v>
      </c>
      <c r="O1855">
        <v>0</v>
      </c>
      <c r="P1855">
        <v>50</v>
      </c>
      <c r="Q1855">
        <v>50</v>
      </c>
      <c r="W1855">
        <v>400139</v>
      </c>
      <c r="AE1855">
        <v>0</v>
      </c>
      <c r="AP1855" t="s">
        <v>1233</v>
      </c>
    </row>
    <row r="1856" spans="1:42">
      <c r="A1856" s="1" t="s">
        <v>46</v>
      </c>
      <c r="B1856" s="1" t="s">
        <v>3866</v>
      </c>
      <c r="C1856" s="1" t="s">
        <v>3866</v>
      </c>
      <c r="E1856" s="4" t="s">
        <v>3867</v>
      </c>
      <c r="G1856" s="16">
        <v>60</v>
      </c>
      <c r="M1856">
        <v>1</v>
      </c>
      <c r="N1856">
        <v>500.5</v>
      </c>
      <c r="O1856">
        <v>0</v>
      </c>
      <c r="P1856">
        <v>147</v>
      </c>
      <c r="Q1856">
        <v>73573.5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400032</v>
      </c>
      <c r="X1856" t="s">
        <v>56</v>
      </c>
      <c r="Y1856" t="s">
        <v>57</v>
      </c>
      <c r="AE1856">
        <v>0</v>
      </c>
      <c r="AP1856" t="s">
        <v>404</v>
      </c>
    </row>
    <row r="1857" spans="1:42">
      <c r="A1857" s="1" t="s">
        <v>46</v>
      </c>
      <c r="B1857" s="1" t="s">
        <v>3868</v>
      </c>
      <c r="C1857" s="1" t="s">
        <v>3868</v>
      </c>
      <c r="E1857" s="4" t="s">
        <v>3869</v>
      </c>
      <c r="G1857" s="16"/>
      <c r="M1857">
        <v>1</v>
      </c>
      <c r="N1857">
        <v>2</v>
      </c>
      <c r="O1857">
        <v>0</v>
      </c>
      <c r="P1857">
        <v>16.23</v>
      </c>
      <c r="Q1857">
        <v>32.47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400120</v>
      </c>
      <c r="AE1857">
        <v>0</v>
      </c>
      <c r="AP1857" t="s">
        <v>468</v>
      </c>
    </row>
    <row r="1858" spans="1:42">
      <c r="A1858" s="1" t="s">
        <v>46</v>
      </c>
      <c r="B1858" s="1" t="s">
        <v>3870</v>
      </c>
      <c r="C1858" s="1" t="s">
        <v>3870</v>
      </c>
      <c r="E1858" s="4" t="s">
        <v>3871</v>
      </c>
      <c r="G1858" s="16">
        <v>45</v>
      </c>
      <c r="M1858">
        <v>1</v>
      </c>
      <c r="N1858">
        <v>40</v>
      </c>
      <c r="O1858">
        <v>0</v>
      </c>
      <c r="P1858">
        <v>10.97</v>
      </c>
      <c r="Q1858">
        <v>438.67</v>
      </c>
      <c r="W1858">
        <v>400160</v>
      </c>
      <c r="AE1858">
        <v>0</v>
      </c>
      <c r="AP1858" t="s">
        <v>201</v>
      </c>
    </row>
    <row r="1859" spans="1:42">
      <c r="A1859" s="1" t="s">
        <v>46</v>
      </c>
      <c r="B1859" s="1" t="s">
        <v>3872</v>
      </c>
      <c r="C1859" s="1" t="s">
        <v>3872</v>
      </c>
      <c r="E1859" s="4" t="s">
        <v>3873</v>
      </c>
      <c r="G1859" s="16"/>
      <c r="M1859">
        <v>1</v>
      </c>
      <c r="N1859">
        <v>2</v>
      </c>
      <c r="O1859">
        <v>0</v>
      </c>
      <c r="P1859">
        <v>160</v>
      </c>
      <c r="Q1859">
        <v>320</v>
      </c>
      <c r="W1859">
        <v>400046</v>
      </c>
      <c r="AE1859">
        <v>0</v>
      </c>
      <c r="AP1859" t="s">
        <v>407</v>
      </c>
    </row>
    <row r="1860" spans="1:42">
      <c r="A1860" s="1" t="s">
        <v>46</v>
      </c>
      <c r="B1860" s="1" t="s">
        <v>3874</v>
      </c>
      <c r="C1860" s="1" t="s">
        <v>3874</v>
      </c>
      <c r="E1860" s="4" t="s">
        <v>3875</v>
      </c>
      <c r="G1860" s="16">
        <v>90</v>
      </c>
      <c r="M1860">
        <v>1</v>
      </c>
      <c r="N1860">
        <v>7</v>
      </c>
      <c r="O1860">
        <v>0</v>
      </c>
      <c r="P1860">
        <v>260</v>
      </c>
      <c r="Q1860">
        <v>1820</v>
      </c>
      <c r="W1860">
        <v>400046</v>
      </c>
      <c r="AE1860">
        <v>0</v>
      </c>
      <c r="AP1860" t="s">
        <v>407</v>
      </c>
    </row>
    <row r="1861" spans="1:42">
      <c r="A1861" s="1" t="s">
        <v>46</v>
      </c>
      <c r="B1861" s="1" t="s">
        <v>3876</v>
      </c>
      <c r="C1861" s="1" t="s">
        <v>3876</v>
      </c>
      <c r="E1861" s="4" t="s">
        <v>3877</v>
      </c>
      <c r="G1861" s="16">
        <v>25</v>
      </c>
      <c r="M1861">
        <v>1</v>
      </c>
      <c r="N1861">
        <v>2</v>
      </c>
      <c r="O1861">
        <v>0</v>
      </c>
      <c r="P1861">
        <v>650</v>
      </c>
      <c r="Q1861">
        <v>1300</v>
      </c>
      <c r="W1861">
        <v>400046</v>
      </c>
      <c r="AE1861">
        <v>0</v>
      </c>
      <c r="AP1861" t="s">
        <v>407</v>
      </c>
    </row>
    <row r="1862" spans="1:42">
      <c r="A1862" s="1" t="s">
        <v>46</v>
      </c>
      <c r="B1862" s="1" t="s">
        <v>3878</v>
      </c>
      <c r="C1862" s="1" t="s">
        <v>3878</v>
      </c>
      <c r="E1862" s="4" t="s">
        <v>3879</v>
      </c>
      <c r="G1862" s="16">
        <v>45</v>
      </c>
      <c r="M1862">
        <v>1</v>
      </c>
      <c r="N1862">
        <v>1</v>
      </c>
      <c r="O1862">
        <v>0</v>
      </c>
      <c r="P1862">
        <v>300</v>
      </c>
      <c r="Q1862">
        <v>300</v>
      </c>
      <c r="W1862">
        <v>400046</v>
      </c>
      <c r="AE1862">
        <v>0</v>
      </c>
      <c r="AP1862" t="s">
        <v>407</v>
      </c>
    </row>
    <row r="1863" spans="1:42">
      <c r="A1863" s="1" t="s">
        <v>46</v>
      </c>
      <c r="B1863" s="1" t="s">
        <v>3880</v>
      </c>
      <c r="C1863" s="1" t="s">
        <v>3880</v>
      </c>
      <c r="E1863" s="4" t="s">
        <v>3881</v>
      </c>
      <c r="G1863" s="16">
        <v>20</v>
      </c>
      <c r="M1863">
        <v>1</v>
      </c>
      <c r="N1863">
        <v>3</v>
      </c>
      <c r="O1863">
        <v>0</v>
      </c>
      <c r="P1863">
        <v>310</v>
      </c>
      <c r="Q1863">
        <v>930</v>
      </c>
      <c r="W1863">
        <v>400046</v>
      </c>
      <c r="AE1863">
        <v>0</v>
      </c>
      <c r="AP1863" t="s">
        <v>407</v>
      </c>
    </row>
    <row r="1864" spans="1:42">
      <c r="A1864" s="1" t="s">
        <v>46</v>
      </c>
      <c r="B1864" s="1" t="s">
        <v>3882</v>
      </c>
      <c r="C1864" s="1" t="s">
        <v>3882</v>
      </c>
      <c r="E1864" s="4" t="s">
        <v>3883</v>
      </c>
      <c r="G1864" s="16">
        <v>32</v>
      </c>
      <c r="M1864">
        <v>1</v>
      </c>
      <c r="N1864">
        <v>1</v>
      </c>
      <c r="O1864">
        <v>0</v>
      </c>
      <c r="P1864">
        <v>350</v>
      </c>
      <c r="Q1864">
        <v>350</v>
      </c>
      <c r="W1864">
        <v>400046</v>
      </c>
      <c r="AE1864">
        <v>0</v>
      </c>
      <c r="AP1864" t="s">
        <v>407</v>
      </c>
    </row>
    <row r="1865" spans="1:42">
      <c r="A1865" s="1" t="s">
        <v>46</v>
      </c>
      <c r="B1865" s="1" t="s">
        <v>3884</v>
      </c>
      <c r="C1865" s="1" t="s">
        <v>3884</v>
      </c>
      <c r="E1865" s="4" t="s">
        <v>3885</v>
      </c>
      <c r="G1865" s="16">
        <v>10</v>
      </c>
      <c r="M1865">
        <v>1</v>
      </c>
      <c r="N1865">
        <v>2</v>
      </c>
      <c r="O1865">
        <v>0</v>
      </c>
      <c r="P1865">
        <v>2.5</v>
      </c>
      <c r="Q1865">
        <v>5</v>
      </c>
      <c r="W1865">
        <v>400028</v>
      </c>
      <c r="AE1865">
        <v>0</v>
      </c>
      <c r="AP1865" t="s">
        <v>246</v>
      </c>
    </row>
    <row r="1866" spans="1:42">
      <c r="A1866" s="1" t="s">
        <v>46</v>
      </c>
      <c r="B1866" s="1" t="s">
        <v>3886</v>
      </c>
      <c r="C1866" s="1" t="s">
        <v>3886</v>
      </c>
      <c r="E1866" s="4" t="s">
        <v>3887</v>
      </c>
      <c r="G1866" s="16">
        <v>16</v>
      </c>
      <c r="M1866">
        <v>1</v>
      </c>
      <c r="N1866">
        <v>1</v>
      </c>
      <c r="O1866">
        <v>0</v>
      </c>
      <c r="P1866">
        <v>230</v>
      </c>
      <c r="Q1866">
        <v>230</v>
      </c>
      <c r="W1866">
        <v>400046</v>
      </c>
      <c r="AE1866">
        <v>0</v>
      </c>
      <c r="AP1866" t="s">
        <v>407</v>
      </c>
    </row>
    <row r="1867" spans="1:42">
      <c r="A1867" s="1" t="s">
        <v>46</v>
      </c>
      <c r="B1867" s="1" t="s">
        <v>3888</v>
      </c>
      <c r="C1867" s="1" t="s">
        <v>3888</v>
      </c>
      <c r="E1867" s="4" t="s">
        <v>3889</v>
      </c>
      <c r="G1867" s="16"/>
      <c r="M1867">
        <v>1</v>
      </c>
      <c r="N1867">
        <v>1</v>
      </c>
      <c r="O1867">
        <v>0</v>
      </c>
      <c r="P1867">
        <v>93</v>
      </c>
      <c r="Q1867">
        <v>93</v>
      </c>
      <c r="W1867">
        <v>400046</v>
      </c>
      <c r="AE1867">
        <v>0</v>
      </c>
      <c r="AP1867" t="s">
        <v>407</v>
      </c>
    </row>
    <row r="1868" spans="1:42">
      <c r="A1868" s="1" t="s">
        <v>46</v>
      </c>
      <c r="B1868" s="1" t="s">
        <v>3890</v>
      </c>
      <c r="C1868" s="1" t="s">
        <v>3890</v>
      </c>
      <c r="E1868" s="4" t="s">
        <v>3891</v>
      </c>
      <c r="G1868" s="16"/>
      <c r="M1868">
        <v>1</v>
      </c>
      <c r="N1868">
        <v>1</v>
      </c>
      <c r="O1868">
        <v>0</v>
      </c>
      <c r="P1868">
        <v>126.84</v>
      </c>
      <c r="Q1868">
        <v>126.84</v>
      </c>
      <c r="R1868" t="s">
        <v>2842</v>
      </c>
      <c r="S1868">
        <v>0</v>
      </c>
      <c r="T1868" t="s">
        <v>52</v>
      </c>
      <c r="W1868">
        <v>400046</v>
      </c>
      <c r="AE1868">
        <v>0</v>
      </c>
      <c r="AP1868" t="s">
        <v>407</v>
      </c>
    </row>
    <row r="1869" spans="1:42">
      <c r="A1869" s="1" t="s">
        <v>46</v>
      </c>
      <c r="B1869" s="1" t="s">
        <v>3892</v>
      </c>
      <c r="C1869" s="1" t="s">
        <v>3892</v>
      </c>
      <c r="E1869" s="4" t="s">
        <v>3893</v>
      </c>
      <c r="G1869" s="16"/>
      <c r="M1869">
        <v>1</v>
      </c>
      <c r="N1869">
        <v>0</v>
      </c>
      <c r="O1869">
        <v>0</v>
      </c>
      <c r="P1869">
        <v>145.02000000000001</v>
      </c>
      <c r="Q1869">
        <v>0</v>
      </c>
      <c r="W1869">
        <v>400046</v>
      </c>
      <c r="AE1869">
        <v>0</v>
      </c>
      <c r="AP1869" t="s">
        <v>407</v>
      </c>
    </row>
    <row r="1870" spans="1:42">
      <c r="A1870" s="1" t="s">
        <v>46</v>
      </c>
      <c r="B1870" s="1" t="s">
        <v>3894</v>
      </c>
      <c r="C1870" s="1" t="s">
        <v>3894</v>
      </c>
      <c r="E1870" s="4" t="s">
        <v>3895</v>
      </c>
      <c r="G1870" s="16">
        <v>13</v>
      </c>
      <c r="M1870">
        <v>1</v>
      </c>
      <c r="N1870">
        <v>1</v>
      </c>
      <c r="O1870">
        <v>0</v>
      </c>
      <c r="P1870">
        <v>180</v>
      </c>
      <c r="Q1870">
        <v>180</v>
      </c>
      <c r="W1870">
        <v>400046</v>
      </c>
      <c r="AE1870">
        <v>0</v>
      </c>
      <c r="AP1870" t="s">
        <v>407</v>
      </c>
    </row>
    <row r="1871" spans="1:42">
      <c r="A1871" s="1" t="s">
        <v>46</v>
      </c>
      <c r="B1871" s="1" t="s">
        <v>3896</v>
      </c>
      <c r="C1871" s="1" t="s">
        <v>3896</v>
      </c>
      <c r="E1871" s="4" t="s">
        <v>3897</v>
      </c>
      <c r="G1871" s="16"/>
      <c r="M1871">
        <v>1</v>
      </c>
      <c r="N1871">
        <v>2</v>
      </c>
      <c r="O1871">
        <v>0</v>
      </c>
      <c r="P1871">
        <v>126.54</v>
      </c>
      <c r="Q1871">
        <v>253.08</v>
      </c>
      <c r="W1871">
        <v>400046</v>
      </c>
      <c r="AE1871">
        <v>0</v>
      </c>
      <c r="AP1871" t="s">
        <v>407</v>
      </c>
    </row>
    <row r="1872" spans="1:42">
      <c r="A1872" s="1" t="s">
        <v>46</v>
      </c>
      <c r="B1872" s="1" t="s">
        <v>3898</v>
      </c>
      <c r="C1872" s="1" t="s">
        <v>3898</v>
      </c>
      <c r="E1872" s="4" t="s">
        <v>3899</v>
      </c>
      <c r="G1872" s="16">
        <v>2.75</v>
      </c>
      <c r="M1872">
        <v>1</v>
      </c>
      <c r="N1872">
        <v>198</v>
      </c>
      <c r="O1872">
        <v>0</v>
      </c>
      <c r="P1872">
        <v>0.09</v>
      </c>
      <c r="Q1872">
        <v>17.82</v>
      </c>
      <c r="R1872">
        <v>0</v>
      </c>
      <c r="S1872">
        <v>0</v>
      </c>
      <c r="T1872" t="s">
        <v>52</v>
      </c>
      <c r="U1872">
        <v>0</v>
      </c>
      <c r="V1872">
        <v>0</v>
      </c>
      <c r="W1872">
        <v>400017</v>
      </c>
      <c r="X1872" t="s">
        <v>56</v>
      </c>
      <c r="Y1872" t="s">
        <v>57</v>
      </c>
      <c r="AE1872">
        <v>0</v>
      </c>
      <c r="AP1872" t="s">
        <v>49</v>
      </c>
    </row>
    <row r="1873" spans="1:42">
      <c r="A1873" s="1" t="s">
        <v>46</v>
      </c>
      <c r="B1873" s="1" t="s">
        <v>3900</v>
      </c>
      <c r="C1873" s="1" t="s">
        <v>3900</v>
      </c>
      <c r="E1873" s="4" t="s">
        <v>3901</v>
      </c>
      <c r="G1873" s="16">
        <v>2.5</v>
      </c>
      <c r="M1873">
        <v>1</v>
      </c>
      <c r="N1873">
        <v>-40.6</v>
      </c>
      <c r="O1873">
        <v>0</v>
      </c>
      <c r="P1873">
        <v>28.97</v>
      </c>
      <c r="Q1873">
        <v>-1176.21</v>
      </c>
      <c r="R1873">
        <v>0</v>
      </c>
      <c r="S1873">
        <v>0</v>
      </c>
      <c r="T1873" t="s">
        <v>52</v>
      </c>
      <c r="U1873">
        <v>0</v>
      </c>
      <c r="V1873">
        <v>0</v>
      </c>
      <c r="W1873">
        <v>400032</v>
      </c>
      <c r="X1873" t="s">
        <v>56</v>
      </c>
      <c r="Y1873" t="s">
        <v>57</v>
      </c>
      <c r="AE1873">
        <v>0</v>
      </c>
      <c r="AP1873" t="s">
        <v>404</v>
      </c>
    </row>
    <row r="1874" spans="1:42">
      <c r="A1874" s="1" t="s">
        <v>46</v>
      </c>
      <c r="B1874" s="1" t="s">
        <v>3902</v>
      </c>
      <c r="C1874" s="1" t="s">
        <v>3902</v>
      </c>
      <c r="E1874" s="4" t="s">
        <v>3903</v>
      </c>
      <c r="G1874" s="16">
        <v>2.5</v>
      </c>
      <c r="M1874">
        <v>1</v>
      </c>
      <c r="N1874">
        <v>5</v>
      </c>
      <c r="O1874">
        <v>0</v>
      </c>
      <c r="P1874">
        <v>2.75</v>
      </c>
      <c r="Q1874">
        <v>13.75</v>
      </c>
      <c r="R1874">
        <v>0</v>
      </c>
      <c r="S1874">
        <v>0</v>
      </c>
      <c r="T1874" t="s">
        <v>52</v>
      </c>
      <c r="W1874">
        <v>400158</v>
      </c>
      <c r="AE1874">
        <v>0</v>
      </c>
      <c r="AP1874" t="s">
        <v>61</v>
      </c>
    </row>
    <row r="1875" spans="1:42">
      <c r="A1875" s="1" t="s">
        <v>46</v>
      </c>
      <c r="B1875" s="1" t="s">
        <v>3904</v>
      </c>
      <c r="C1875" s="1" t="s">
        <v>3904</v>
      </c>
      <c r="E1875" s="4" t="s">
        <v>3905</v>
      </c>
      <c r="G1875" s="16">
        <v>3</v>
      </c>
      <c r="M1875">
        <v>1</v>
      </c>
      <c r="N1875">
        <v>4</v>
      </c>
      <c r="O1875">
        <v>0</v>
      </c>
      <c r="P1875">
        <v>90</v>
      </c>
      <c r="Q1875">
        <v>360</v>
      </c>
      <c r="W1875">
        <v>400139</v>
      </c>
      <c r="AE1875">
        <v>0</v>
      </c>
      <c r="AP1875" t="s">
        <v>1233</v>
      </c>
    </row>
    <row r="1876" spans="1:42">
      <c r="A1876" s="1" t="s">
        <v>46</v>
      </c>
      <c r="B1876" s="1" t="s">
        <v>3906</v>
      </c>
      <c r="C1876" s="1" t="s">
        <v>3906</v>
      </c>
      <c r="E1876" s="4" t="s">
        <v>3907</v>
      </c>
      <c r="G1876" s="16">
        <v>1</v>
      </c>
      <c r="M1876">
        <v>1</v>
      </c>
      <c r="N1876">
        <v>3</v>
      </c>
      <c r="O1876">
        <v>0</v>
      </c>
      <c r="P1876">
        <v>65</v>
      </c>
      <c r="Q1876">
        <v>195</v>
      </c>
      <c r="R1876">
        <v>0</v>
      </c>
      <c r="S1876">
        <v>0</v>
      </c>
      <c r="T1876" t="s">
        <v>17</v>
      </c>
      <c r="W1876">
        <v>400139</v>
      </c>
      <c r="AE1876">
        <v>0</v>
      </c>
      <c r="AP1876" t="s">
        <v>1233</v>
      </c>
    </row>
    <row r="1877" spans="1:42">
      <c r="A1877" s="1" t="s">
        <v>46</v>
      </c>
      <c r="B1877" s="1" t="s">
        <v>3908</v>
      </c>
      <c r="C1877" s="1" t="s">
        <v>3908</v>
      </c>
      <c r="E1877" s="4" t="s">
        <v>3909</v>
      </c>
      <c r="G1877" s="16">
        <v>2.5</v>
      </c>
      <c r="M1877">
        <v>1</v>
      </c>
      <c r="N1877">
        <v>82</v>
      </c>
      <c r="O1877">
        <v>0</v>
      </c>
      <c r="P1877">
        <v>28</v>
      </c>
      <c r="Q1877">
        <v>2296</v>
      </c>
      <c r="W1877">
        <v>400139</v>
      </c>
      <c r="AE1877">
        <v>0</v>
      </c>
      <c r="AP1877" t="s">
        <v>1233</v>
      </c>
    </row>
    <row r="1878" spans="1:42">
      <c r="A1878" s="1" t="s">
        <v>46</v>
      </c>
      <c r="B1878" s="1" t="s">
        <v>3910</v>
      </c>
      <c r="C1878" s="1" t="s">
        <v>3910</v>
      </c>
      <c r="E1878" s="4" t="s">
        <v>3911</v>
      </c>
      <c r="G1878" s="16">
        <v>1.5</v>
      </c>
      <c r="M1878">
        <v>1</v>
      </c>
      <c r="N1878">
        <v>1</v>
      </c>
      <c r="O1878">
        <v>0</v>
      </c>
      <c r="P1878">
        <v>40</v>
      </c>
      <c r="Q1878">
        <v>40</v>
      </c>
      <c r="W1878">
        <v>400139</v>
      </c>
      <c r="AE1878">
        <v>0</v>
      </c>
      <c r="AP1878" t="s">
        <v>1233</v>
      </c>
    </row>
    <row r="1879" spans="1:42">
      <c r="A1879" s="1" t="s">
        <v>46</v>
      </c>
      <c r="B1879" s="1" t="s">
        <v>3912</v>
      </c>
      <c r="C1879" s="1" t="s">
        <v>3912</v>
      </c>
      <c r="E1879" s="4" t="s">
        <v>3913</v>
      </c>
      <c r="G1879" s="16">
        <v>2.75</v>
      </c>
      <c r="M1879">
        <v>1</v>
      </c>
      <c r="N1879">
        <v>2</v>
      </c>
      <c r="O1879">
        <v>0</v>
      </c>
      <c r="P1879">
        <v>150</v>
      </c>
      <c r="Q1879">
        <v>300</v>
      </c>
      <c r="W1879">
        <v>400120</v>
      </c>
      <c r="AE1879">
        <v>0</v>
      </c>
      <c r="AP1879" t="s">
        <v>468</v>
      </c>
    </row>
    <row r="1880" spans="1:42">
      <c r="A1880" s="1" t="s">
        <v>46</v>
      </c>
      <c r="B1880" s="1" t="s">
        <v>3914</v>
      </c>
      <c r="C1880" s="1" t="s">
        <v>3914</v>
      </c>
      <c r="E1880" s="4" t="s">
        <v>3915</v>
      </c>
      <c r="G1880" s="16">
        <v>1.75</v>
      </c>
      <c r="M1880">
        <v>1</v>
      </c>
      <c r="N1880">
        <v>9</v>
      </c>
      <c r="O1880">
        <v>0</v>
      </c>
      <c r="P1880">
        <v>19.5</v>
      </c>
      <c r="Q1880">
        <v>175.5</v>
      </c>
      <c r="R1880">
        <v>0</v>
      </c>
      <c r="S1880">
        <v>0</v>
      </c>
      <c r="T1880">
        <v>0</v>
      </c>
      <c r="W1880">
        <v>400046</v>
      </c>
      <c r="AE1880">
        <v>0</v>
      </c>
      <c r="AP1880" t="s">
        <v>407</v>
      </c>
    </row>
    <row r="1881" spans="1:42">
      <c r="A1881" s="1" t="s">
        <v>46</v>
      </c>
      <c r="B1881" s="1" t="s">
        <v>3916</v>
      </c>
      <c r="C1881" s="1" t="s">
        <v>3916</v>
      </c>
      <c r="E1881" s="4" t="s">
        <v>3917</v>
      </c>
      <c r="G1881" s="16"/>
      <c r="M1881">
        <v>1</v>
      </c>
      <c r="N1881">
        <v>1</v>
      </c>
      <c r="O1881">
        <v>0</v>
      </c>
      <c r="P1881">
        <v>85.47</v>
      </c>
      <c r="Q1881">
        <v>85.47</v>
      </c>
      <c r="R1881" t="s">
        <v>1147</v>
      </c>
      <c r="S1881">
        <v>0</v>
      </c>
      <c r="T1881" t="s">
        <v>52</v>
      </c>
      <c r="W1881">
        <v>400046</v>
      </c>
      <c r="AE1881">
        <v>0</v>
      </c>
      <c r="AP1881" t="s">
        <v>407</v>
      </c>
    </row>
    <row r="1882" spans="1:42">
      <c r="A1882" s="1" t="s">
        <v>46</v>
      </c>
      <c r="B1882" s="1" t="s">
        <v>3918</v>
      </c>
      <c r="C1882" s="1" t="s">
        <v>3918</v>
      </c>
      <c r="E1882" s="4" t="s">
        <v>3919</v>
      </c>
      <c r="G1882" s="16"/>
      <c r="M1882">
        <v>1</v>
      </c>
      <c r="N1882">
        <v>12</v>
      </c>
      <c r="O1882">
        <v>0</v>
      </c>
      <c r="P1882">
        <v>25</v>
      </c>
      <c r="Q1882">
        <v>300</v>
      </c>
      <c r="W1882">
        <v>53000101</v>
      </c>
      <c r="AE1882">
        <v>0</v>
      </c>
      <c r="AP1882" t="s">
        <v>3920</v>
      </c>
    </row>
    <row r="1883" spans="1:42">
      <c r="A1883" s="1" t="s">
        <v>46</v>
      </c>
      <c r="B1883" s="1" t="s">
        <v>3921</v>
      </c>
      <c r="C1883" s="1" t="s">
        <v>3921</v>
      </c>
      <c r="E1883" s="4" t="s">
        <v>3922</v>
      </c>
      <c r="G1883" s="16"/>
      <c r="M1883">
        <v>1</v>
      </c>
      <c r="N1883">
        <v>1</v>
      </c>
      <c r="O1883">
        <v>0</v>
      </c>
      <c r="P1883">
        <v>20</v>
      </c>
      <c r="Q1883">
        <v>20</v>
      </c>
      <c r="W1883">
        <v>400139</v>
      </c>
      <c r="AE1883">
        <v>0</v>
      </c>
      <c r="AP1883" t="s">
        <v>1233</v>
      </c>
    </row>
    <row r="1884" spans="1:42">
      <c r="A1884" s="1" t="s">
        <v>46</v>
      </c>
      <c r="B1884" s="1" t="s">
        <v>3923</v>
      </c>
      <c r="C1884" s="1" t="s">
        <v>3923</v>
      </c>
      <c r="E1884" s="4" t="s">
        <v>3924</v>
      </c>
      <c r="G1884" s="16"/>
      <c r="M1884">
        <v>1</v>
      </c>
      <c r="N1884">
        <v>1</v>
      </c>
      <c r="O1884">
        <v>0</v>
      </c>
      <c r="P1884">
        <v>10</v>
      </c>
      <c r="Q1884">
        <v>10</v>
      </c>
      <c r="W1884">
        <v>400044</v>
      </c>
      <c r="AE1884">
        <v>0</v>
      </c>
      <c r="AP1884" t="s">
        <v>628</v>
      </c>
    </row>
    <row r="1885" spans="1:42">
      <c r="A1885" s="1" t="s">
        <v>46</v>
      </c>
      <c r="B1885" s="1" t="s">
        <v>3925</v>
      </c>
      <c r="C1885" s="1" t="s">
        <v>3925</v>
      </c>
      <c r="E1885" s="4" t="s">
        <v>3926</v>
      </c>
      <c r="G1885" s="16"/>
      <c r="M1885">
        <v>1</v>
      </c>
      <c r="N1885">
        <v>-15</v>
      </c>
      <c r="O1885">
        <v>0</v>
      </c>
      <c r="AE1885">
        <v>0</v>
      </c>
    </row>
    <row r="1886" spans="1:42">
      <c r="A1886" s="1" t="s">
        <v>46</v>
      </c>
      <c r="B1886" s="1" t="s">
        <v>3927</v>
      </c>
      <c r="C1886" s="1" t="s">
        <v>3927</v>
      </c>
      <c r="E1886" s="4" t="s">
        <v>3928</v>
      </c>
      <c r="G1886" s="16"/>
      <c r="M1886">
        <v>1</v>
      </c>
      <c r="N1886">
        <v>1</v>
      </c>
      <c r="O1886">
        <v>0</v>
      </c>
      <c r="P1886">
        <v>85</v>
      </c>
      <c r="Q1886">
        <v>85</v>
      </c>
      <c r="R1886">
        <v>0</v>
      </c>
      <c r="S1886">
        <v>0</v>
      </c>
      <c r="T1886" t="s">
        <v>17</v>
      </c>
      <c r="W1886">
        <v>400046</v>
      </c>
      <c r="AE1886">
        <v>0</v>
      </c>
      <c r="AP1886" t="s">
        <v>407</v>
      </c>
    </row>
    <row r="1887" spans="1:42">
      <c r="A1887" s="1" t="s">
        <v>46</v>
      </c>
      <c r="B1887" s="1" t="s">
        <v>3929</v>
      </c>
      <c r="C1887" s="1" t="s">
        <v>3929</v>
      </c>
      <c r="E1887" s="4" t="s">
        <v>3930</v>
      </c>
      <c r="G1887" s="16"/>
      <c r="M1887">
        <v>1</v>
      </c>
      <c r="N1887">
        <v>-15</v>
      </c>
      <c r="O1887">
        <v>0</v>
      </c>
      <c r="P1887">
        <v>13.5</v>
      </c>
      <c r="Q1887">
        <v>-202.5</v>
      </c>
      <c r="R1887">
        <v>0</v>
      </c>
      <c r="S1887">
        <v>0</v>
      </c>
      <c r="T1887" t="s">
        <v>52</v>
      </c>
      <c r="U1887">
        <v>0</v>
      </c>
      <c r="V1887">
        <v>0</v>
      </c>
      <c r="W1887">
        <v>400091</v>
      </c>
      <c r="AE1887">
        <v>0</v>
      </c>
      <c r="AP1887" t="s">
        <v>3931</v>
      </c>
    </row>
    <row r="1888" spans="1:42">
      <c r="A1888" s="1" t="s">
        <v>46</v>
      </c>
      <c r="B1888" s="1" t="s">
        <v>3932</v>
      </c>
      <c r="C1888" s="1" t="s">
        <v>3932</v>
      </c>
      <c r="E1888" s="4" t="s">
        <v>3933</v>
      </c>
      <c r="G1888" s="16"/>
      <c r="M1888">
        <v>1</v>
      </c>
      <c r="N1888">
        <v>-1</v>
      </c>
      <c r="O1888">
        <v>0</v>
      </c>
      <c r="P1888">
        <v>14.65</v>
      </c>
      <c r="Q1888">
        <v>-14.65</v>
      </c>
      <c r="R1888">
        <v>0</v>
      </c>
      <c r="S1888">
        <v>0</v>
      </c>
      <c r="T1888" t="s">
        <v>52</v>
      </c>
      <c r="W1888">
        <v>400013</v>
      </c>
      <c r="AE1888">
        <v>0</v>
      </c>
      <c r="AP1888" t="s">
        <v>232</v>
      </c>
    </row>
    <row r="1889" spans="1:42">
      <c r="A1889" s="1" t="s">
        <v>46</v>
      </c>
      <c r="B1889" s="1" t="s">
        <v>3934</v>
      </c>
      <c r="C1889" s="1" t="s">
        <v>3934</v>
      </c>
      <c r="E1889" s="4" t="s">
        <v>3935</v>
      </c>
      <c r="G1889" s="16"/>
      <c r="M1889">
        <v>1</v>
      </c>
      <c r="N1889">
        <v>7</v>
      </c>
      <c r="O1889">
        <v>0</v>
      </c>
      <c r="P1889">
        <v>51.95</v>
      </c>
      <c r="Q1889">
        <v>363.64</v>
      </c>
      <c r="W1889">
        <v>400217</v>
      </c>
      <c r="AE1889">
        <v>0</v>
      </c>
      <c r="AP1889" t="s">
        <v>2762</v>
      </c>
    </row>
    <row r="1890" spans="1:42">
      <c r="A1890" s="1" t="s">
        <v>46</v>
      </c>
      <c r="B1890" s="1" t="s">
        <v>3936</v>
      </c>
      <c r="C1890" s="1" t="s">
        <v>3936</v>
      </c>
      <c r="E1890" s="4" t="s">
        <v>3937</v>
      </c>
      <c r="G1890" s="16"/>
      <c r="M1890">
        <v>1</v>
      </c>
      <c r="N1890">
        <v>-182</v>
      </c>
      <c r="O1890">
        <v>0</v>
      </c>
      <c r="AE1890">
        <v>0</v>
      </c>
    </row>
    <row r="1891" spans="1:42">
      <c r="A1891" s="1" t="s">
        <v>46</v>
      </c>
      <c r="B1891" s="1" t="s">
        <v>3938</v>
      </c>
      <c r="C1891" s="1" t="s">
        <v>3938</v>
      </c>
      <c r="E1891" s="4" t="s">
        <v>3939</v>
      </c>
      <c r="G1891" s="16"/>
      <c r="M1891">
        <v>1</v>
      </c>
      <c r="N1891">
        <v>-1</v>
      </c>
      <c r="O1891">
        <v>0</v>
      </c>
      <c r="P1891">
        <v>122</v>
      </c>
      <c r="Q1891">
        <v>-122</v>
      </c>
      <c r="W1891">
        <v>400046</v>
      </c>
      <c r="AE1891">
        <v>0</v>
      </c>
      <c r="AP1891" t="s">
        <v>407</v>
      </c>
    </row>
    <row r="1892" spans="1:42">
      <c r="A1892" s="1" t="s">
        <v>46</v>
      </c>
      <c r="B1892" s="1" t="s">
        <v>3940</v>
      </c>
      <c r="C1892" s="1" t="s">
        <v>3940</v>
      </c>
      <c r="E1892" s="4" t="s">
        <v>3941</v>
      </c>
      <c r="G1892" s="16"/>
      <c r="M1892">
        <v>1</v>
      </c>
      <c r="N1892">
        <v>1</v>
      </c>
      <c r="O1892">
        <v>0</v>
      </c>
      <c r="P1892">
        <v>165</v>
      </c>
      <c r="Q1892">
        <v>165</v>
      </c>
      <c r="W1892">
        <v>400046</v>
      </c>
      <c r="AE1892">
        <v>0</v>
      </c>
      <c r="AP1892" t="s">
        <v>407</v>
      </c>
    </row>
    <row r="1893" spans="1:42">
      <c r="A1893" s="1" t="s">
        <v>46</v>
      </c>
      <c r="B1893" s="1" t="s">
        <v>3942</v>
      </c>
      <c r="C1893" s="1" t="s">
        <v>3942</v>
      </c>
      <c r="E1893" s="4" t="s">
        <v>3943</v>
      </c>
      <c r="G1893" s="16"/>
      <c r="M1893">
        <v>1</v>
      </c>
      <c r="N1893">
        <v>2</v>
      </c>
      <c r="O1893">
        <v>0</v>
      </c>
      <c r="P1893">
        <v>105</v>
      </c>
      <c r="Q1893">
        <v>210</v>
      </c>
      <c r="W1893">
        <v>400046</v>
      </c>
      <c r="AE1893">
        <v>0</v>
      </c>
      <c r="AP1893" t="s">
        <v>407</v>
      </c>
    </row>
    <row r="1894" spans="1:42">
      <c r="A1894" s="1" t="s">
        <v>46</v>
      </c>
      <c r="B1894" s="1" t="s">
        <v>3944</v>
      </c>
      <c r="C1894" s="1" t="s">
        <v>3944</v>
      </c>
      <c r="E1894" s="4" t="s">
        <v>3945</v>
      </c>
      <c r="G1894" s="16"/>
      <c r="M1894">
        <v>1</v>
      </c>
      <c r="N1894">
        <v>2</v>
      </c>
      <c r="O1894">
        <v>0</v>
      </c>
      <c r="P1894">
        <v>165</v>
      </c>
      <c r="Q1894">
        <v>330</v>
      </c>
      <c r="W1894">
        <v>400046</v>
      </c>
      <c r="AE1894">
        <v>0</v>
      </c>
      <c r="AP1894" t="s">
        <v>407</v>
      </c>
    </row>
    <row r="1895" spans="1:42">
      <c r="A1895" s="1" t="s">
        <v>46</v>
      </c>
      <c r="B1895" s="1" t="s">
        <v>3946</v>
      </c>
      <c r="C1895" s="1" t="s">
        <v>3946</v>
      </c>
      <c r="E1895" s="4" t="s">
        <v>3947</v>
      </c>
      <c r="G1895" s="16"/>
      <c r="M1895">
        <v>1</v>
      </c>
      <c r="N1895">
        <v>1</v>
      </c>
      <c r="O1895">
        <v>0</v>
      </c>
      <c r="P1895">
        <v>280</v>
      </c>
      <c r="Q1895">
        <v>280</v>
      </c>
      <c r="W1895">
        <v>400046</v>
      </c>
      <c r="AE1895">
        <v>0</v>
      </c>
      <c r="AP1895" t="s">
        <v>407</v>
      </c>
    </row>
    <row r="1896" spans="1:42">
      <c r="A1896" s="1" t="s">
        <v>46</v>
      </c>
      <c r="B1896" s="1" t="s">
        <v>3948</v>
      </c>
      <c r="C1896" s="1" t="s">
        <v>3948</v>
      </c>
      <c r="E1896" s="4" t="s">
        <v>3949</v>
      </c>
      <c r="G1896" s="16"/>
      <c r="M1896">
        <v>1</v>
      </c>
      <c r="N1896">
        <v>1</v>
      </c>
      <c r="O1896">
        <v>0</v>
      </c>
      <c r="P1896">
        <v>220</v>
      </c>
      <c r="Q1896">
        <v>220</v>
      </c>
      <c r="W1896">
        <v>400046</v>
      </c>
      <c r="AE1896">
        <v>0</v>
      </c>
      <c r="AP1896" t="s">
        <v>407</v>
      </c>
    </row>
    <row r="1897" spans="1:42">
      <c r="A1897" s="1" t="s">
        <v>46</v>
      </c>
      <c r="B1897" s="1" t="s">
        <v>3950</v>
      </c>
      <c r="C1897" s="1" t="s">
        <v>3950</v>
      </c>
      <c r="E1897" s="4" t="s">
        <v>3951</v>
      </c>
      <c r="G1897" s="16">
        <v>2.5</v>
      </c>
      <c r="M1897">
        <v>1</v>
      </c>
      <c r="N1897">
        <v>18</v>
      </c>
      <c r="O1897">
        <v>0</v>
      </c>
      <c r="P1897">
        <v>42</v>
      </c>
      <c r="Q1897">
        <v>756</v>
      </c>
      <c r="R1897" t="s">
        <v>3952</v>
      </c>
      <c r="S1897">
        <v>0</v>
      </c>
      <c r="T1897" t="s">
        <v>52</v>
      </c>
      <c r="W1897">
        <v>400139</v>
      </c>
      <c r="AE1897">
        <v>0</v>
      </c>
      <c r="AP1897" t="s">
        <v>1233</v>
      </c>
    </row>
    <row r="1898" spans="1:42">
      <c r="A1898" s="1" t="s">
        <v>46</v>
      </c>
      <c r="B1898" s="1" t="s">
        <v>3953</v>
      </c>
      <c r="C1898" s="1" t="s">
        <v>3953</v>
      </c>
      <c r="E1898" s="4" t="s">
        <v>3954</v>
      </c>
      <c r="G1898" s="16"/>
      <c r="M1898">
        <v>1</v>
      </c>
      <c r="N1898">
        <v>10</v>
      </c>
      <c r="O1898">
        <v>0</v>
      </c>
      <c r="P1898">
        <v>21</v>
      </c>
      <c r="Q1898">
        <v>210</v>
      </c>
      <c r="W1898">
        <v>400139</v>
      </c>
      <c r="AE1898">
        <v>0</v>
      </c>
      <c r="AP1898" t="s">
        <v>1233</v>
      </c>
    </row>
    <row r="1899" spans="1:42">
      <c r="A1899" s="1" t="s">
        <v>46</v>
      </c>
      <c r="B1899" s="1" t="s">
        <v>3955</v>
      </c>
      <c r="C1899" s="1" t="s">
        <v>3955</v>
      </c>
      <c r="E1899" s="4" t="s">
        <v>3956</v>
      </c>
      <c r="G1899" s="16"/>
      <c r="M1899">
        <v>1</v>
      </c>
      <c r="N1899">
        <v>62</v>
      </c>
      <c r="O1899">
        <v>0</v>
      </c>
      <c r="P1899">
        <v>0.35</v>
      </c>
      <c r="Q1899">
        <v>21.7</v>
      </c>
      <c r="R1899">
        <v>0</v>
      </c>
      <c r="S1899">
        <v>0</v>
      </c>
      <c r="T1899" t="s">
        <v>52</v>
      </c>
      <c r="U1899">
        <v>0</v>
      </c>
      <c r="V1899">
        <v>0</v>
      </c>
      <c r="W1899">
        <v>400017</v>
      </c>
      <c r="X1899" t="s">
        <v>56</v>
      </c>
      <c r="Y1899" t="s">
        <v>57</v>
      </c>
      <c r="AE1899">
        <v>0</v>
      </c>
      <c r="AP1899" t="s">
        <v>49</v>
      </c>
    </row>
    <row r="1900" spans="1:42">
      <c r="A1900" s="1" t="s">
        <v>46</v>
      </c>
      <c r="B1900" s="1" t="s">
        <v>3957</v>
      </c>
      <c r="C1900" s="1" t="s">
        <v>3957</v>
      </c>
      <c r="E1900" s="4" t="s">
        <v>3958</v>
      </c>
      <c r="G1900" s="16"/>
      <c r="M1900">
        <v>1</v>
      </c>
      <c r="N1900">
        <v>13</v>
      </c>
      <c r="O1900">
        <v>0</v>
      </c>
      <c r="P1900">
        <v>0.65</v>
      </c>
      <c r="Q1900">
        <v>8.4499999999999993</v>
      </c>
      <c r="R1900">
        <v>0</v>
      </c>
      <c r="S1900">
        <v>0</v>
      </c>
      <c r="T1900" t="s">
        <v>52</v>
      </c>
      <c r="U1900">
        <v>0</v>
      </c>
      <c r="V1900">
        <v>0</v>
      </c>
      <c r="W1900">
        <v>400017</v>
      </c>
      <c r="X1900" t="s">
        <v>56</v>
      </c>
      <c r="Y1900" t="s">
        <v>57</v>
      </c>
      <c r="AE1900">
        <v>0</v>
      </c>
      <c r="AP1900" t="s">
        <v>49</v>
      </c>
    </row>
    <row r="1901" spans="1:42">
      <c r="A1901" s="1" t="s">
        <v>46</v>
      </c>
      <c r="B1901" s="1" t="s">
        <v>3959</v>
      </c>
      <c r="C1901" s="1" t="s">
        <v>3959</v>
      </c>
      <c r="E1901" s="4" t="s">
        <v>3960</v>
      </c>
      <c r="G1901" s="16">
        <v>3.5</v>
      </c>
      <c r="M1901">
        <v>1</v>
      </c>
      <c r="N1901">
        <v>15</v>
      </c>
      <c r="O1901">
        <v>0</v>
      </c>
      <c r="P1901">
        <v>0.3</v>
      </c>
      <c r="Q1901">
        <v>4.5</v>
      </c>
      <c r="R1901">
        <v>0</v>
      </c>
      <c r="S1901">
        <v>0</v>
      </c>
      <c r="T1901" t="s">
        <v>52</v>
      </c>
      <c r="U1901">
        <v>0</v>
      </c>
      <c r="V1901">
        <v>0</v>
      </c>
      <c r="W1901">
        <v>400017</v>
      </c>
      <c r="X1901" t="s">
        <v>56</v>
      </c>
      <c r="Y1901" t="s">
        <v>57</v>
      </c>
      <c r="AE1901">
        <v>0</v>
      </c>
      <c r="AP1901" t="s">
        <v>49</v>
      </c>
    </row>
    <row r="1902" spans="1:42">
      <c r="A1902" s="1" t="s">
        <v>46</v>
      </c>
      <c r="B1902" s="1" t="s">
        <v>3961</v>
      </c>
      <c r="C1902" s="1" t="s">
        <v>3961</v>
      </c>
      <c r="E1902" s="4" t="s">
        <v>3962</v>
      </c>
      <c r="G1902" s="16">
        <v>2.75</v>
      </c>
      <c r="M1902">
        <v>1</v>
      </c>
      <c r="N1902">
        <v>1</v>
      </c>
      <c r="O1902">
        <v>0</v>
      </c>
      <c r="P1902">
        <v>3.5</v>
      </c>
      <c r="Q1902">
        <v>3.5</v>
      </c>
      <c r="R1902">
        <v>0</v>
      </c>
      <c r="S1902">
        <v>0</v>
      </c>
      <c r="T1902" t="s">
        <v>52</v>
      </c>
      <c r="U1902">
        <v>0</v>
      </c>
      <c r="V1902">
        <v>0</v>
      </c>
      <c r="W1902">
        <v>400032</v>
      </c>
      <c r="X1902" t="s">
        <v>56</v>
      </c>
      <c r="Y1902" t="s">
        <v>57</v>
      </c>
      <c r="AE1902">
        <v>0</v>
      </c>
      <c r="AP1902" t="s">
        <v>404</v>
      </c>
    </row>
    <row r="1903" spans="1:42">
      <c r="A1903" s="1" t="s">
        <v>46</v>
      </c>
      <c r="B1903" s="1" t="s">
        <v>3963</v>
      </c>
      <c r="C1903" s="1" t="s">
        <v>3963</v>
      </c>
      <c r="E1903" s="4" t="s">
        <v>3964</v>
      </c>
      <c r="G1903" s="16">
        <v>3.5</v>
      </c>
      <c r="M1903">
        <v>1</v>
      </c>
      <c r="N1903">
        <v>1</v>
      </c>
      <c r="O1903">
        <v>0</v>
      </c>
      <c r="P1903">
        <v>229</v>
      </c>
      <c r="Q1903">
        <v>229</v>
      </c>
      <c r="R1903">
        <v>0</v>
      </c>
      <c r="S1903">
        <v>0</v>
      </c>
      <c r="T1903" t="s">
        <v>52</v>
      </c>
      <c r="U1903">
        <v>0</v>
      </c>
      <c r="V1903">
        <v>0</v>
      </c>
      <c r="W1903">
        <v>400046</v>
      </c>
      <c r="AE1903">
        <v>0</v>
      </c>
      <c r="AP1903" t="s">
        <v>407</v>
      </c>
    </row>
    <row r="1904" spans="1:42">
      <c r="A1904" s="1" t="s">
        <v>46</v>
      </c>
      <c r="B1904" s="1" t="s">
        <v>3965</v>
      </c>
      <c r="C1904" s="1" t="s">
        <v>3965</v>
      </c>
      <c r="E1904" s="4" t="s">
        <v>3966</v>
      </c>
      <c r="G1904" s="16">
        <v>1.35</v>
      </c>
      <c r="M1904">
        <v>1</v>
      </c>
      <c r="N1904">
        <v>1</v>
      </c>
      <c r="O1904">
        <v>0</v>
      </c>
      <c r="P1904">
        <v>248</v>
      </c>
      <c r="Q1904">
        <v>248</v>
      </c>
      <c r="R1904">
        <v>0</v>
      </c>
      <c r="S1904">
        <v>0</v>
      </c>
      <c r="T1904" t="s">
        <v>52</v>
      </c>
      <c r="U1904">
        <v>0</v>
      </c>
      <c r="V1904">
        <v>0</v>
      </c>
      <c r="W1904">
        <v>400046</v>
      </c>
      <c r="AE1904">
        <v>0</v>
      </c>
      <c r="AP1904" t="s">
        <v>407</v>
      </c>
    </row>
    <row r="1905" spans="1:42">
      <c r="A1905" s="1" t="s">
        <v>46</v>
      </c>
      <c r="B1905" s="1" t="s">
        <v>3967</v>
      </c>
      <c r="C1905" s="1" t="s">
        <v>3967</v>
      </c>
      <c r="E1905" s="4" t="s">
        <v>3968</v>
      </c>
      <c r="G1905" s="16">
        <v>1.35</v>
      </c>
      <c r="M1905">
        <v>1</v>
      </c>
      <c r="N1905">
        <v>2</v>
      </c>
      <c r="O1905">
        <v>0</v>
      </c>
      <c r="P1905">
        <v>285</v>
      </c>
      <c r="Q1905">
        <v>570</v>
      </c>
      <c r="W1905">
        <v>400046</v>
      </c>
      <c r="AE1905">
        <v>0</v>
      </c>
      <c r="AP1905" t="s">
        <v>407</v>
      </c>
    </row>
    <row r="1906" spans="1:42">
      <c r="A1906" s="1" t="s">
        <v>46</v>
      </c>
      <c r="B1906" s="1" t="s">
        <v>3969</v>
      </c>
      <c r="C1906" s="1" t="s">
        <v>3969</v>
      </c>
      <c r="E1906" s="4" t="s">
        <v>3970</v>
      </c>
      <c r="G1906" s="16">
        <v>1.5</v>
      </c>
      <c r="M1906">
        <v>1</v>
      </c>
      <c r="N1906">
        <v>-218</v>
      </c>
      <c r="O1906">
        <v>0</v>
      </c>
      <c r="AE1906">
        <v>0</v>
      </c>
    </row>
    <row r="1907" spans="1:42">
      <c r="A1907" s="1" t="s">
        <v>46</v>
      </c>
      <c r="B1907" s="1" t="s">
        <v>3971</v>
      </c>
      <c r="C1907" s="1" t="s">
        <v>3971</v>
      </c>
      <c r="E1907" s="4" t="s">
        <v>3972</v>
      </c>
      <c r="G1907" s="16">
        <v>1.5</v>
      </c>
      <c r="M1907">
        <v>1</v>
      </c>
      <c r="N1907">
        <v>-84</v>
      </c>
      <c r="O1907">
        <v>0</v>
      </c>
      <c r="AE1907">
        <v>0</v>
      </c>
    </row>
    <row r="1908" spans="1:42">
      <c r="A1908" s="1" t="s">
        <v>46</v>
      </c>
      <c r="B1908" s="1" t="s">
        <v>3973</v>
      </c>
      <c r="C1908" s="1" t="s">
        <v>3973</v>
      </c>
      <c r="E1908" s="4" t="s">
        <v>3974</v>
      </c>
      <c r="G1908" s="16">
        <v>1.75</v>
      </c>
      <c r="M1908">
        <v>1</v>
      </c>
      <c r="N1908">
        <v>-182</v>
      </c>
      <c r="O1908">
        <v>0</v>
      </c>
      <c r="AE1908">
        <v>0</v>
      </c>
    </row>
    <row r="1909" spans="1:42">
      <c r="A1909" s="1" t="s">
        <v>46</v>
      </c>
      <c r="B1909" s="1" t="s">
        <v>3975</v>
      </c>
      <c r="C1909" s="1" t="s">
        <v>3975</v>
      </c>
      <c r="E1909" s="4" t="s">
        <v>3976</v>
      </c>
      <c r="G1909" s="16">
        <v>1.75</v>
      </c>
      <c r="M1909">
        <v>1</v>
      </c>
      <c r="N1909">
        <v>2</v>
      </c>
      <c r="O1909">
        <v>0</v>
      </c>
      <c r="P1909">
        <v>593.85</v>
      </c>
      <c r="Q1909">
        <v>1187.7</v>
      </c>
      <c r="R1909">
        <v>0</v>
      </c>
      <c r="S1909">
        <v>0</v>
      </c>
      <c r="T1909" t="s">
        <v>17</v>
      </c>
      <c r="W1909">
        <v>400046</v>
      </c>
      <c r="AE1909">
        <v>0</v>
      </c>
      <c r="AP1909" t="s">
        <v>407</v>
      </c>
    </row>
    <row r="1910" spans="1:42">
      <c r="A1910" s="1" t="s">
        <v>46</v>
      </c>
      <c r="B1910" s="1" t="s">
        <v>3977</v>
      </c>
      <c r="C1910" s="1" t="s">
        <v>3977</v>
      </c>
      <c r="E1910" s="4" t="s">
        <v>3978</v>
      </c>
      <c r="G1910" s="16"/>
      <c r="I1910">
        <v>13.5</v>
      </c>
      <c r="M1910">
        <v>1</v>
      </c>
      <c r="N1910">
        <v>85</v>
      </c>
      <c r="O1910">
        <v>0</v>
      </c>
      <c r="P1910">
        <v>15.54</v>
      </c>
      <c r="Q1910">
        <v>1320.9</v>
      </c>
      <c r="R1910">
        <v>0</v>
      </c>
      <c r="S1910">
        <v>0</v>
      </c>
      <c r="T1910" t="s">
        <v>17</v>
      </c>
      <c r="W1910">
        <v>400160</v>
      </c>
      <c r="AE1910">
        <v>0</v>
      </c>
      <c r="AH1910">
        <v>13.5</v>
      </c>
      <c r="AP1910" t="s">
        <v>201</v>
      </c>
    </row>
    <row r="1911" spans="1:42">
      <c r="A1911" s="1" t="s">
        <v>46</v>
      </c>
      <c r="B1911" s="1" t="s">
        <v>3979</v>
      </c>
      <c r="C1911" s="1" t="s">
        <v>3979</v>
      </c>
      <c r="E1911" s="4" t="s">
        <v>3980</v>
      </c>
      <c r="G1911" s="16">
        <v>3</v>
      </c>
      <c r="M1911">
        <v>1</v>
      </c>
      <c r="N1911">
        <v>7</v>
      </c>
      <c r="O1911">
        <v>0</v>
      </c>
      <c r="P1911">
        <v>95.29</v>
      </c>
      <c r="Q1911">
        <v>667.03</v>
      </c>
      <c r="R1911" t="s">
        <v>107</v>
      </c>
      <c r="S1911">
        <v>0</v>
      </c>
      <c r="T1911" t="s">
        <v>52</v>
      </c>
      <c r="U1911">
        <v>0</v>
      </c>
      <c r="V1911">
        <v>0</v>
      </c>
      <c r="W1911">
        <v>400217</v>
      </c>
      <c r="AE1911">
        <v>0</v>
      </c>
      <c r="AP1911" t="s">
        <v>2762</v>
      </c>
    </row>
    <row r="1912" spans="1:42">
      <c r="A1912" s="1" t="s">
        <v>46</v>
      </c>
      <c r="B1912" s="1" t="s">
        <v>3981</v>
      </c>
      <c r="C1912" s="1" t="s">
        <v>3981</v>
      </c>
      <c r="E1912" s="4" t="s">
        <v>3982</v>
      </c>
      <c r="G1912" s="16"/>
      <c r="M1912">
        <v>1</v>
      </c>
      <c r="N1912">
        <v>-277</v>
      </c>
      <c r="O1912">
        <v>0</v>
      </c>
      <c r="AE1912">
        <v>0</v>
      </c>
    </row>
    <row r="1913" spans="1:42">
      <c r="A1913" s="1" t="s">
        <v>46</v>
      </c>
      <c r="B1913" s="1" t="s">
        <v>3983</v>
      </c>
      <c r="C1913" s="1" t="s">
        <v>3983</v>
      </c>
      <c r="E1913" s="4" t="s">
        <v>3984</v>
      </c>
      <c r="G1913" s="16"/>
      <c r="M1913">
        <v>1</v>
      </c>
      <c r="N1913">
        <v>-277</v>
      </c>
      <c r="O1913">
        <v>0</v>
      </c>
      <c r="AE1913">
        <v>0</v>
      </c>
    </row>
    <row r="1914" spans="1:42">
      <c r="A1914" s="1" t="s">
        <v>46</v>
      </c>
      <c r="B1914" s="1" t="s">
        <v>3985</v>
      </c>
      <c r="C1914" s="1" t="s">
        <v>3985</v>
      </c>
      <c r="E1914" s="4" t="s">
        <v>3986</v>
      </c>
      <c r="G1914" s="16"/>
      <c r="M1914">
        <v>1</v>
      </c>
      <c r="N1914">
        <v>4</v>
      </c>
      <c r="O1914">
        <v>0</v>
      </c>
      <c r="P1914">
        <v>340</v>
      </c>
      <c r="Q1914">
        <v>1360</v>
      </c>
      <c r="R1914">
        <v>0</v>
      </c>
      <c r="S1914">
        <v>0</v>
      </c>
      <c r="T1914" t="s">
        <v>52</v>
      </c>
      <c r="W1914">
        <v>400028</v>
      </c>
      <c r="AE1914">
        <v>0</v>
      </c>
      <c r="AP1914" t="s">
        <v>246</v>
      </c>
    </row>
    <row r="1915" spans="1:42">
      <c r="A1915" s="1" t="s">
        <v>46</v>
      </c>
      <c r="B1915" s="1" t="s">
        <v>3987</v>
      </c>
      <c r="C1915" s="1" t="s">
        <v>3987</v>
      </c>
      <c r="E1915" s="4" t="s">
        <v>3988</v>
      </c>
      <c r="G1915" s="16">
        <v>7</v>
      </c>
      <c r="M1915">
        <v>1</v>
      </c>
      <c r="N1915">
        <v>71</v>
      </c>
      <c r="O1915">
        <v>0</v>
      </c>
      <c r="P1915">
        <v>18.13</v>
      </c>
      <c r="Q1915">
        <v>1287.23</v>
      </c>
      <c r="R1915" t="s">
        <v>3989</v>
      </c>
      <c r="S1915">
        <v>0</v>
      </c>
      <c r="T1915" t="s">
        <v>52</v>
      </c>
      <c r="U1915">
        <v>0</v>
      </c>
      <c r="V1915">
        <v>0</v>
      </c>
      <c r="W1915">
        <v>400046</v>
      </c>
      <c r="X1915" t="s">
        <v>56</v>
      </c>
      <c r="Y1915" t="s">
        <v>57</v>
      </c>
      <c r="AE1915">
        <v>0</v>
      </c>
      <c r="AP1915" t="s">
        <v>407</v>
      </c>
    </row>
    <row r="1916" spans="1:42">
      <c r="A1916" s="1" t="s">
        <v>46</v>
      </c>
      <c r="B1916" s="1" t="s">
        <v>3990</v>
      </c>
      <c r="C1916" s="1" t="s">
        <v>3990</v>
      </c>
      <c r="E1916" s="4" t="s">
        <v>3991</v>
      </c>
      <c r="G1916" s="16"/>
      <c r="M1916">
        <v>1</v>
      </c>
      <c r="N1916">
        <v>40</v>
      </c>
      <c r="O1916">
        <v>0</v>
      </c>
      <c r="P1916">
        <v>26.1</v>
      </c>
      <c r="Q1916">
        <v>1044</v>
      </c>
      <c r="R1916" t="s">
        <v>1147</v>
      </c>
      <c r="S1916">
        <v>0</v>
      </c>
      <c r="T1916" t="s">
        <v>52</v>
      </c>
      <c r="U1916">
        <v>0</v>
      </c>
      <c r="V1916">
        <v>0</v>
      </c>
      <c r="W1916">
        <v>400046</v>
      </c>
      <c r="X1916" t="s">
        <v>56</v>
      </c>
      <c r="Y1916" t="s">
        <v>57</v>
      </c>
      <c r="AE1916">
        <v>0</v>
      </c>
      <c r="AP1916" t="s">
        <v>407</v>
      </c>
    </row>
    <row r="1917" spans="1:42">
      <c r="A1917" s="1" t="s">
        <v>46</v>
      </c>
      <c r="B1917" s="1" t="s">
        <v>3992</v>
      </c>
      <c r="C1917" s="1" t="s">
        <v>3992</v>
      </c>
      <c r="E1917" s="4" t="s">
        <v>3993</v>
      </c>
      <c r="G1917" s="16">
        <v>7</v>
      </c>
      <c r="M1917">
        <v>1</v>
      </c>
      <c r="N1917">
        <v>55</v>
      </c>
      <c r="O1917">
        <v>0</v>
      </c>
      <c r="P1917">
        <v>3.6</v>
      </c>
      <c r="Q1917">
        <v>198</v>
      </c>
      <c r="R1917" t="s">
        <v>3989</v>
      </c>
      <c r="S1917">
        <v>0</v>
      </c>
      <c r="T1917" t="s">
        <v>52</v>
      </c>
      <c r="U1917">
        <v>0</v>
      </c>
      <c r="V1917">
        <v>0</v>
      </c>
      <c r="W1917">
        <v>400046</v>
      </c>
      <c r="X1917" t="s">
        <v>56</v>
      </c>
      <c r="Y1917" t="s">
        <v>57</v>
      </c>
      <c r="AE1917">
        <v>0</v>
      </c>
      <c r="AP1917" t="s">
        <v>407</v>
      </c>
    </row>
    <row r="1918" spans="1:42">
      <c r="A1918" s="1" t="s">
        <v>46</v>
      </c>
      <c r="B1918" s="1" t="s">
        <v>3994</v>
      </c>
      <c r="C1918" s="1" t="s">
        <v>3994</v>
      </c>
      <c r="E1918" s="4" t="s">
        <v>3995</v>
      </c>
      <c r="G1918" s="16"/>
      <c r="M1918">
        <v>1</v>
      </c>
      <c r="N1918">
        <v>326</v>
      </c>
      <c r="O1918">
        <v>0</v>
      </c>
      <c r="P1918">
        <v>24.29</v>
      </c>
      <c r="Q1918">
        <v>7918.54</v>
      </c>
      <c r="R1918" t="s">
        <v>3989</v>
      </c>
      <c r="S1918">
        <v>0</v>
      </c>
      <c r="T1918" t="s">
        <v>52</v>
      </c>
      <c r="U1918">
        <v>0</v>
      </c>
      <c r="V1918">
        <v>0</v>
      </c>
      <c r="W1918">
        <v>400046</v>
      </c>
      <c r="X1918" t="s">
        <v>56</v>
      </c>
      <c r="Y1918" t="s">
        <v>57</v>
      </c>
      <c r="AE1918">
        <v>0</v>
      </c>
      <c r="AP1918" t="s">
        <v>407</v>
      </c>
    </row>
    <row r="1919" spans="1:42">
      <c r="A1919" s="1" t="s">
        <v>46</v>
      </c>
      <c r="B1919" s="1" t="s">
        <v>3996</v>
      </c>
      <c r="C1919" s="1" t="s">
        <v>3996</v>
      </c>
      <c r="E1919" s="4" t="s">
        <v>3997</v>
      </c>
      <c r="G1919" s="16"/>
      <c r="M1919">
        <v>1</v>
      </c>
      <c r="N1919">
        <v>175</v>
      </c>
      <c r="O1919">
        <v>0</v>
      </c>
      <c r="P1919">
        <v>44.95</v>
      </c>
      <c r="Q1919">
        <v>7866.42</v>
      </c>
      <c r="R1919" t="s">
        <v>1147</v>
      </c>
      <c r="S1919">
        <v>0</v>
      </c>
      <c r="T1919" t="s">
        <v>52</v>
      </c>
      <c r="U1919">
        <v>0</v>
      </c>
      <c r="V1919">
        <v>0</v>
      </c>
      <c r="W1919">
        <v>400046</v>
      </c>
      <c r="AE1919">
        <v>0</v>
      </c>
      <c r="AP1919" t="s">
        <v>407</v>
      </c>
    </row>
    <row r="1920" spans="1:42">
      <c r="A1920" s="1" t="s">
        <v>46</v>
      </c>
      <c r="B1920" s="1" t="s">
        <v>3998</v>
      </c>
      <c r="C1920" s="1" t="s">
        <v>3998</v>
      </c>
      <c r="E1920" s="4" t="s">
        <v>3999</v>
      </c>
      <c r="G1920" s="16"/>
      <c r="M1920">
        <v>1</v>
      </c>
      <c r="N1920">
        <v>2</v>
      </c>
      <c r="O1920">
        <v>0</v>
      </c>
      <c r="P1920">
        <v>84.5</v>
      </c>
      <c r="Q1920">
        <v>169</v>
      </c>
      <c r="R1920" t="s">
        <v>3989</v>
      </c>
      <c r="S1920">
        <v>0</v>
      </c>
      <c r="T1920" t="s">
        <v>52</v>
      </c>
      <c r="U1920">
        <v>0</v>
      </c>
      <c r="V1920">
        <v>0</v>
      </c>
      <c r="W1920">
        <v>400046</v>
      </c>
      <c r="AE1920">
        <v>0</v>
      </c>
      <c r="AP1920" t="s">
        <v>407</v>
      </c>
    </row>
    <row r="1921" spans="1:42">
      <c r="A1921" s="1" t="s">
        <v>46</v>
      </c>
      <c r="B1921" s="1" t="s">
        <v>4000</v>
      </c>
      <c r="C1921" s="1" t="s">
        <v>4000</v>
      </c>
      <c r="E1921" s="4" t="s">
        <v>4001</v>
      </c>
      <c r="G1921" s="16"/>
      <c r="M1921">
        <v>1</v>
      </c>
      <c r="N1921">
        <v>18</v>
      </c>
      <c r="O1921">
        <v>0</v>
      </c>
      <c r="P1921">
        <v>7.5</v>
      </c>
      <c r="Q1921">
        <v>135</v>
      </c>
      <c r="R1921">
        <v>0</v>
      </c>
      <c r="S1921">
        <v>0</v>
      </c>
      <c r="T1921" t="s">
        <v>52</v>
      </c>
      <c r="U1921">
        <v>0</v>
      </c>
      <c r="V1921">
        <v>0</v>
      </c>
      <c r="W1921">
        <v>400032</v>
      </c>
      <c r="X1921" t="s">
        <v>56</v>
      </c>
      <c r="Y1921" t="s">
        <v>57</v>
      </c>
      <c r="AE1921">
        <v>0</v>
      </c>
      <c r="AP1921" t="s">
        <v>404</v>
      </c>
    </row>
    <row r="1922" spans="1:42">
      <c r="A1922" s="1" t="s">
        <v>46</v>
      </c>
      <c r="B1922" s="1" t="s">
        <v>4002</v>
      </c>
      <c r="C1922" s="1" t="s">
        <v>4002</v>
      </c>
      <c r="E1922" s="4" t="s">
        <v>4003</v>
      </c>
      <c r="G1922" s="16"/>
      <c r="M1922">
        <v>1</v>
      </c>
      <c r="N1922">
        <v>40</v>
      </c>
      <c r="O1922">
        <v>0</v>
      </c>
      <c r="P1922">
        <v>0.75</v>
      </c>
      <c r="Q1922">
        <v>30</v>
      </c>
      <c r="R1922">
        <v>0</v>
      </c>
      <c r="S1922">
        <v>0</v>
      </c>
      <c r="T1922" t="s">
        <v>52</v>
      </c>
      <c r="W1922">
        <v>400154</v>
      </c>
      <c r="AE1922">
        <v>0</v>
      </c>
      <c r="AP1922" t="s">
        <v>98</v>
      </c>
    </row>
    <row r="1923" spans="1:42">
      <c r="A1923" s="1" t="s">
        <v>46</v>
      </c>
      <c r="B1923" s="1" t="s">
        <v>4004</v>
      </c>
      <c r="C1923" s="1" t="s">
        <v>4004</v>
      </c>
      <c r="E1923" s="4" t="s">
        <v>4005</v>
      </c>
      <c r="G1923" s="16"/>
      <c r="M1923">
        <v>1</v>
      </c>
      <c r="N1923">
        <v>2127</v>
      </c>
      <c r="O1923">
        <v>0</v>
      </c>
      <c r="P1923">
        <v>4.1100000000000003</v>
      </c>
      <c r="Q1923">
        <v>8747.39</v>
      </c>
      <c r="R1923">
        <v>0</v>
      </c>
      <c r="S1923">
        <v>0</v>
      </c>
      <c r="T1923" t="s">
        <v>52</v>
      </c>
      <c r="U1923">
        <v>0</v>
      </c>
      <c r="V1923">
        <v>0</v>
      </c>
      <c r="W1923">
        <v>400046</v>
      </c>
      <c r="AE1923">
        <v>0</v>
      </c>
      <c r="AP1923" t="s">
        <v>407</v>
      </c>
    </row>
    <row r="1924" spans="1:42">
      <c r="A1924" s="1" t="s">
        <v>46</v>
      </c>
      <c r="B1924" s="1" t="s">
        <v>4006</v>
      </c>
      <c r="C1924" s="1" t="s">
        <v>4006</v>
      </c>
      <c r="E1924" s="4" t="s">
        <v>4007</v>
      </c>
      <c r="G1924" s="16">
        <v>1.35</v>
      </c>
      <c r="M1924">
        <v>1</v>
      </c>
      <c r="N1924">
        <v>15</v>
      </c>
      <c r="O1924">
        <v>0</v>
      </c>
      <c r="P1924">
        <v>3.15</v>
      </c>
      <c r="Q1924">
        <v>47.25</v>
      </c>
      <c r="AE1924">
        <v>0</v>
      </c>
    </row>
    <row r="1925" spans="1:42">
      <c r="A1925" s="1" t="s">
        <v>46</v>
      </c>
      <c r="B1925" s="1" t="s">
        <v>4008</v>
      </c>
      <c r="C1925" s="1" t="s">
        <v>4008</v>
      </c>
      <c r="E1925" s="4" t="s">
        <v>4009</v>
      </c>
      <c r="G1925" s="16">
        <v>1.35</v>
      </c>
      <c r="M1925">
        <v>1</v>
      </c>
      <c r="N1925">
        <v>68</v>
      </c>
      <c r="O1925">
        <v>0</v>
      </c>
      <c r="P1925">
        <v>29</v>
      </c>
      <c r="Q1925">
        <v>1972</v>
      </c>
      <c r="W1925">
        <v>400080</v>
      </c>
      <c r="AE1925">
        <v>0</v>
      </c>
      <c r="AP1925" t="s">
        <v>696</v>
      </c>
    </row>
    <row r="1926" spans="1:42">
      <c r="A1926" s="1" t="s">
        <v>46</v>
      </c>
      <c r="B1926" s="1" t="s">
        <v>4010</v>
      </c>
      <c r="C1926" s="1" t="s">
        <v>4010</v>
      </c>
      <c r="E1926" s="4" t="s">
        <v>4011</v>
      </c>
      <c r="G1926" s="16">
        <v>1.5</v>
      </c>
      <c r="M1926">
        <v>1</v>
      </c>
      <c r="N1926">
        <v>-195</v>
      </c>
      <c r="O1926">
        <v>0</v>
      </c>
      <c r="P1926">
        <v>5</v>
      </c>
      <c r="Q1926">
        <v>-974.8</v>
      </c>
      <c r="R1926">
        <v>0</v>
      </c>
      <c r="S1926">
        <v>0</v>
      </c>
      <c r="T1926">
        <v>0</v>
      </c>
      <c r="W1926">
        <v>400046</v>
      </c>
      <c r="AE1926">
        <v>0</v>
      </c>
      <c r="AP1926" t="s">
        <v>407</v>
      </c>
    </row>
    <row r="1927" spans="1:42">
      <c r="A1927" s="1" t="s">
        <v>46</v>
      </c>
      <c r="B1927" s="1" t="s">
        <v>4012</v>
      </c>
      <c r="C1927" s="1" t="s">
        <v>4012</v>
      </c>
      <c r="E1927" s="4" t="s">
        <v>4013</v>
      </c>
      <c r="G1927" s="16">
        <v>1.5</v>
      </c>
      <c r="M1927">
        <v>1</v>
      </c>
      <c r="N1927">
        <v>1435</v>
      </c>
      <c r="O1927">
        <v>0</v>
      </c>
      <c r="P1927">
        <v>0.77</v>
      </c>
      <c r="Q1927">
        <v>1106.53</v>
      </c>
      <c r="R1927">
        <v>0</v>
      </c>
      <c r="S1927">
        <v>0</v>
      </c>
      <c r="T1927">
        <v>0</v>
      </c>
      <c r="W1927">
        <v>400184</v>
      </c>
      <c r="AE1927">
        <v>0</v>
      </c>
      <c r="AP1927" t="s">
        <v>136</v>
      </c>
    </row>
    <row r="1928" spans="1:42">
      <c r="A1928" s="1" t="s">
        <v>46</v>
      </c>
      <c r="B1928" s="1" t="s">
        <v>4014</v>
      </c>
      <c r="C1928" s="1" t="s">
        <v>4014</v>
      </c>
      <c r="E1928" s="4" t="s">
        <v>4015</v>
      </c>
      <c r="G1928" s="16">
        <v>1.75</v>
      </c>
      <c r="M1928">
        <v>1</v>
      </c>
      <c r="N1928">
        <v>198</v>
      </c>
      <c r="O1928">
        <v>0</v>
      </c>
      <c r="P1928">
        <v>1.75</v>
      </c>
      <c r="Q1928">
        <v>346.5</v>
      </c>
      <c r="R1928">
        <v>0</v>
      </c>
      <c r="S1928">
        <v>0</v>
      </c>
      <c r="T1928" t="s">
        <v>52</v>
      </c>
      <c r="U1928">
        <v>0</v>
      </c>
      <c r="V1928">
        <v>0</v>
      </c>
      <c r="W1928">
        <v>400158</v>
      </c>
      <c r="X1928" t="s">
        <v>56</v>
      </c>
      <c r="Y1928" t="s">
        <v>57</v>
      </c>
      <c r="AE1928">
        <v>0</v>
      </c>
      <c r="AP1928" t="s">
        <v>61</v>
      </c>
    </row>
    <row r="1929" spans="1:42">
      <c r="A1929" s="1" t="s">
        <v>46</v>
      </c>
      <c r="B1929" s="1" t="s">
        <v>4016</v>
      </c>
      <c r="C1929" s="1" t="s">
        <v>4016</v>
      </c>
      <c r="E1929" s="4" t="s">
        <v>4017</v>
      </c>
      <c r="G1929" s="16">
        <v>1.75</v>
      </c>
      <c r="M1929">
        <v>1</v>
      </c>
      <c r="N1929">
        <v>12</v>
      </c>
      <c r="O1929">
        <v>0</v>
      </c>
      <c r="P1929">
        <v>147</v>
      </c>
      <c r="Q1929">
        <v>1764</v>
      </c>
      <c r="R1929">
        <v>0</v>
      </c>
      <c r="S1929">
        <v>0</v>
      </c>
      <c r="T1929" t="s">
        <v>52</v>
      </c>
      <c r="U1929">
        <v>0</v>
      </c>
      <c r="V1929">
        <v>0</v>
      </c>
      <c r="W1929">
        <v>400032</v>
      </c>
      <c r="X1929" t="s">
        <v>56</v>
      </c>
      <c r="Y1929" t="s">
        <v>57</v>
      </c>
      <c r="AE1929">
        <v>0</v>
      </c>
      <c r="AP1929" t="s">
        <v>404</v>
      </c>
    </row>
    <row r="1930" spans="1:42">
      <c r="A1930" s="1" t="s">
        <v>46</v>
      </c>
      <c r="B1930" s="1" t="s">
        <v>4018</v>
      </c>
      <c r="C1930" s="1" t="s">
        <v>4018</v>
      </c>
      <c r="E1930" s="4" t="s">
        <v>4019</v>
      </c>
      <c r="G1930" s="16"/>
      <c r="M1930">
        <v>1</v>
      </c>
      <c r="N1930">
        <v>-3740</v>
      </c>
      <c r="O1930">
        <v>0</v>
      </c>
      <c r="P1930">
        <v>1.25</v>
      </c>
      <c r="Q1930">
        <v>-4675</v>
      </c>
      <c r="R1930">
        <v>0</v>
      </c>
      <c r="S1930">
        <v>0</v>
      </c>
      <c r="T1930" t="s">
        <v>52</v>
      </c>
      <c r="U1930">
        <v>0</v>
      </c>
      <c r="V1930">
        <v>0</v>
      </c>
      <c r="W1930">
        <v>400017</v>
      </c>
      <c r="X1930" t="s">
        <v>56</v>
      </c>
      <c r="Y1930" t="s">
        <v>57</v>
      </c>
      <c r="AE1930">
        <v>0</v>
      </c>
      <c r="AP1930" t="s">
        <v>49</v>
      </c>
    </row>
    <row r="1931" spans="1:42">
      <c r="A1931" s="1" t="s">
        <v>46</v>
      </c>
      <c r="B1931" s="1" t="s">
        <v>4020</v>
      </c>
      <c r="C1931" s="1" t="s">
        <v>4020</v>
      </c>
      <c r="E1931" s="4" t="s">
        <v>4021</v>
      </c>
      <c r="G1931" s="16">
        <v>3</v>
      </c>
      <c r="M1931">
        <v>1</v>
      </c>
      <c r="N1931">
        <v>-103</v>
      </c>
      <c r="O1931">
        <v>0</v>
      </c>
      <c r="P1931">
        <v>1.5</v>
      </c>
      <c r="Q1931">
        <v>-154.5</v>
      </c>
      <c r="R1931">
        <v>0</v>
      </c>
      <c r="S1931">
        <v>0</v>
      </c>
      <c r="T1931" t="s">
        <v>4022</v>
      </c>
      <c r="W1931">
        <v>400017</v>
      </c>
      <c r="AE1931">
        <v>0</v>
      </c>
      <c r="AP1931" t="s">
        <v>49</v>
      </c>
    </row>
    <row r="1932" spans="1:42">
      <c r="A1932" s="1" t="s">
        <v>46</v>
      </c>
      <c r="B1932" s="1" t="s">
        <v>4023</v>
      </c>
      <c r="C1932" s="1" t="s">
        <v>4023</v>
      </c>
      <c r="E1932" s="4" t="s">
        <v>4024</v>
      </c>
      <c r="G1932" s="16"/>
      <c r="M1932">
        <v>1</v>
      </c>
      <c r="N1932">
        <v>7</v>
      </c>
      <c r="O1932">
        <v>0</v>
      </c>
      <c r="P1932">
        <v>1.7</v>
      </c>
      <c r="Q1932">
        <v>11.89</v>
      </c>
      <c r="R1932" t="s">
        <v>115</v>
      </c>
      <c r="S1932">
        <v>0</v>
      </c>
      <c r="T1932" t="s">
        <v>17</v>
      </c>
      <c r="U1932">
        <v>0</v>
      </c>
      <c r="V1932">
        <v>0</v>
      </c>
      <c r="W1932">
        <v>400013</v>
      </c>
      <c r="AE1932">
        <v>0</v>
      </c>
      <c r="AP1932" t="s">
        <v>232</v>
      </c>
    </row>
    <row r="1933" spans="1:42">
      <c r="A1933" s="1" t="s">
        <v>46</v>
      </c>
      <c r="B1933" s="1" t="s">
        <v>4025</v>
      </c>
      <c r="E1933" s="4" t="s">
        <v>4026</v>
      </c>
      <c r="G1933" s="16"/>
    </row>
    <row r="1934" spans="1:42">
      <c r="A1934" s="1" t="s">
        <v>4027</v>
      </c>
      <c r="E1934" s="4" t="s">
        <v>4028</v>
      </c>
      <c r="G1934" s="16"/>
    </row>
    <row r="1935" spans="1:42">
      <c r="A1935" s="1" t="s">
        <v>46</v>
      </c>
      <c r="B1935" s="1" t="s">
        <v>4029</v>
      </c>
      <c r="C1935" s="1" t="s">
        <v>4029</v>
      </c>
      <c r="E1935" s="4" t="s">
        <v>4030</v>
      </c>
      <c r="G1935" s="16">
        <v>7</v>
      </c>
      <c r="M1935">
        <v>1</v>
      </c>
      <c r="N1935">
        <v>0</v>
      </c>
      <c r="O1935">
        <v>0</v>
      </c>
      <c r="P1935">
        <v>38</v>
      </c>
      <c r="Q1935">
        <v>0</v>
      </c>
      <c r="AE1935">
        <v>0</v>
      </c>
    </row>
    <row r="1936" spans="1:42">
      <c r="A1936" s="1" t="s">
        <v>46</v>
      </c>
      <c r="B1936" s="1" t="s">
        <v>4031</v>
      </c>
      <c r="C1936" s="1" t="s">
        <v>4031</v>
      </c>
      <c r="E1936" s="4" t="s">
        <v>4032</v>
      </c>
      <c r="G1936" s="16"/>
      <c r="M1936">
        <v>1</v>
      </c>
      <c r="N1936">
        <v>4</v>
      </c>
      <c r="O1936">
        <v>0</v>
      </c>
      <c r="P1936">
        <v>7.43</v>
      </c>
      <c r="Q1936">
        <v>29.72</v>
      </c>
      <c r="W1936">
        <v>400140</v>
      </c>
      <c r="AE1936">
        <v>0</v>
      </c>
      <c r="AP1936" t="s">
        <v>4033</v>
      </c>
    </row>
    <row r="1937" spans="1:42">
      <c r="A1937" s="1" t="s">
        <v>46</v>
      </c>
      <c r="B1937" s="1" t="s">
        <v>4034</v>
      </c>
      <c r="C1937" s="1" t="s">
        <v>4034</v>
      </c>
      <c r="E1937" s="4" t="s">
        <v>4035</v>
      </c>
      <c r="G1937" s="16"/>
      <c r="M1937">
        <v>1</v>
      </c>
      <c r="N1937">
        <v>23</v>
      </c>
      <c r="O1937">
        <v>0</v>
      </c>
      <c r="P1937">
        <v>6.95</v>
      </c>
      <c r="Q1937">
        <v>159.85</v>
      </c>
      <c r="R1937">
        <v>0</v>
      </c>
      <c r="S1937">
        <v>0</v>
      </c>
      <c r="T1937" t="s">
        <v>52</v>
      </c>
      <c r="U1937">
        <v>0</v>
      </c>
      <c r="V1937">
        <v>0</v>
      </c>
      <c r="W1937">
        <v>400140</v>
      </c>
      <c r="AE1937">
        <v>0</v>
      </c>
      <c r="AP1937" t="s">
        <v>4033</v>
      </c>
    </row>
    <row r="1938" spans="1:42">
      <c r="A1938" s="1" t="s">
        <v>46</v>
      </c>
      <c r="B1938" s="1" t="s">
        <v>4036</v>
      </c>
      <c r="C1938" s="1" t="s">
        <v>4036</v>
      </c>
      <c r="E1938" s="4" t="s">
        <v>4037</v>
      </c>
      <c r="G1938" s="16"/>
      <c r="M1938">
        <v>1</v>
      </c>
      <c r="N1938">
        <v>5</v>
      </c>
      <c r="O1938">
        <v>0</v>
      </c>
      <c r="P1938">
        <v>7.43</v>
      </c>
      <c r="Q1938">
        <v>37.15</v>
      </c>
      <c r="R1938">
        <v>0</v>
      </c>
      <c r="S1938">
        <v>0</v>
      </c>
      <c r="T1938" t="s">
        <v>52</v>
      </c>
      <c r="U1938">
        <v>0</v>
      </c>
      <c r="V1938">
        <v>0</v>
      </c>
      <c r="W1938">
        <v>400140</v>
      </c>
      <c r="AE1938">
        <v>0</v>
      </c>
      <c r="AP1938" t="s">
        <v>4033</v>
      </c>
    </row>
    <row r="1939" spans="1:42">
      <c r="A1939" s="1" t="s">
        <v>46</v>
      </c>
      <c r="B1939" s="1" t="s">
        <v>4038</v>
      </c>
      <c r="C1939" s="1" t="s">
        <v>4038</v>
      </c>
      <c r="E1939" s="4" t="s">
        <v>4039</v>
      </c>
      <c r="G1939" s="16"/>
      <c r="I1939">
        <v>3000</v>
      </c>
      <c r="M1939">
        <v>1</v>
      </c>
      <c r="N1939">
        <v>118</v>
      </c>
      <c r="O1939">
        <v>0</v>
      </c>
      <c r="P1939">
        <v>1.35</v>
      </c>
      <c r="Q1939">
        <v>159.30000000000001</v>
      </c>
      <c r="R1939">
        <v>0</v>
      </c>
      <c r="S1939">
        <v>0</v>
      </c>
      <c r="T1939" t="s">
        <v>52</v>
      </c>
      <c r="U1939">
        <v>0</v>
      </c>
      <c r="V1939">
        <v>0</v>
      </c>
      <c r="W1939">
        <v>400133</v>
      </c>
      <c r="X1939" t="s">
        <v>56</v>
      </c>
      <c r="Y1939" t="s">
        <v>57</v>
      </c>
      <c r="AE1939">
        <v>0</v>
      </c>
      <c r="AH1939">
        <v>3000</v>
      </c>
      <c r="AP1939" t="s">
        <v>4040</v>
      </c>
    </row>
    <row r="1940" spans="1:42">
      <c r="E1940" s="4" t="s">
        <v>4041</v>
      </c>
      <c r="G1940" s="16"/>
    </row>
    <row r="1941" spans="1:42">
      <c r="A1941" s="1" t="s">
        <v>46</v>
      </c>
      <c r="B1941" s="1" t="s">
        <v>4042</v>
      </c>
      <c r="C1941" s="1" t="s">
        <v>4042</v>
      </c>
      <c r="E1941" s="4" t="s">
        <v>4043</v>
      </c>
      <c r="G1941" s="16">
        <v>18</v>
      </c>
      <c r="M1941">
        <v>1</v>
      </c>
      <c r="N1941">
        <v>5</v>
      </c>
      <c r="O1941">
        <v>0</v>
      </c>
      <c r="P1941">
        <v>20</v>
      </c>
      <c r="Q1941">
        <v>100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410302</v>
      </c>
      <c r="AE1941">
        <v>0</v>
      </c>
      <c r="AP1941" t="s">
        <v>177</v>
      </c>
    </row>
    <row r="1942" spans="1:42">
      <c r="A1942" s="1" t="s">
        <v>46</v>
      </c>
      <c r="B1942" s="1" t="s">
        <v>4044</v>
      </c>
      <c r="C1942" s="1" t="s">
        <v>4044</v>
      </c>
      <c r="E1942" s="4" t="s">
        <v>4045</v>
      </c>
      <c r="G1942" s="16"/>
      <c r="M1942">
        <v>1</v>
      </c>
      <c r="N1942">
        <v>12</v>
      </c>
      <c r="O1942">
        <v>0</v>
      </c>
      <c r="P1942">
        <v>4</v>
      </c>
      <c r="Q1942">
        <v>48</v>
      </c>
      <c r="R1942">
        <v>0</v>
      </c>
      <c r="S1942">
        <v>0</v>
      </c>
      <c r="T1942">
        <v>0</v>
      </c>
      <c r="W1942">
        <v>400091</v>
      </c>
      <c r="AE1942">
        <v>0</v>
      </c>
      <c r="AP1942" t="s">
        <v>3931</v>
      </c>
    </row>
    <row r="1943" spans="1:42">
      <c r="A1943" s="1" t="s">
        <v>46</v>
      </c>
      <c r="B1943" s="1" t="s">
        <v>4046</v>
      </c>
      <c r="C1943" s="1" t="s">
        <v>4046</v>
      </c>
      <c r="E1943" s="4" t="s">
        <v>4047</v>
      </c>
      <c r="G1943" s="16">
        <v>0.5</v>
      </c>
      <c r="M1943">
        <v>1</v>
      </c>
      <c r="N1943">
        <v>2</v>
      </c>
      <c r="O1943">
        <v>0</v>
      </c>
      <c r="P1943">
        <v>10</v>
      </c>
      <c r="Q1943">
        <v>20</v>
      </c>
      <c r="R1943">
        <v>0</v>
      </c>
      <c r="S1943">
        <v>0</v>
      </c>
      <c r="T1943">
        <v>0</v>
      </c>
      <c r="W1943">
        <v>400032</v>
      </c>
      <c r="AE1943">
        <v>0</v>
      </c>
      <c r="AP1943" t="s">
        <v>404</v>
      </c>
    </row>
    <row r="1944" spans="1:42">
      <c r="A1944" s="1" t="s">
        <v>46</v>
      </c>
      <c r="B1944" s="1" t="s">
        <v>4048</v>
      </c>
      <c r="C1944" s="1" t="s">
        <v>4048</v>
      </c>
      <c r="E1944" s="4" t="s">
        <v>4049</v>
      </c>
      <c r="G1944" s="16"/>
      <c r="M1944">
        <v>1</v>
      </c>
      <c r="N1944">
        <v>256</v>
      </c>
      <c r="O1944">
        <v>0</v>
      </c>
      <c r="P1944">
        <v>25</v>
      </c>
      <c r="Q1944">
        <v>6400</v>
      </c>
      <c r="R1944" t="s">
        <v>4050</v>
      </c>
      <c r="S1944">
        <v>0</v>
      </c>
      <c r="T1944" t="s">
        <v>52</v>
      </c>
      <c r="U1944">
        <v>0</v>
      </c>
      <c r="V1944">
        <v>0</v>
      </c>
      <c r="W1944">
        <v>400017</v>
      </c>
      <c r="X1944" t="s">
        <v>56</v>
      </c>
      <c r="Y1944" t="s">
        <v>57</v>
      </c>
      <c r="AE1944">
        <v>0</v>
      </c>
      <c r="AP1944" t="s">
        <v>49</v>
      </c>
    </row>
    <row r="1945" spans="1:42">
      <c r="A1945" s="1" t="s">
        <v>46</v>
      </c>
      <c r="B1945" s="1" t="s">
        <v>4051</v>
      </c>
      <c r="C1945" s="1" t="s">
        <v>4051</v>
      </c>
      <c r="E1945" s="4" t="s">
        <v>4052</v>
      </c>
      <c r="G1945" s="16">
        <v>0.5</v>
      </c>
      <c r="M1945">
        <v>1</v>
      </c>
      <c r="N1945">
        <v>1</v>
      </c>
      <c r="O1945">
        <v>0</v>
      </c>
      <c r="P1945">
        <v>46.2</v>
      </c>
      <c r="Q1945">
        <v>46.2</v>
      </c>
      <c r="R1945">
        <v>0</v>
      </c>
      <c r="S1945">
        <v>0</v>
      </c>
      <c r="T1945">
        <v>0</v>
      </c>
      <c r="W1945">
        <v>400093</v>
      </c>
      <c r="AE1945">
        <v>0</v>
      </c>
      <c r="AP1945" t="s">
        <v>4053</v>
      </c>
    </row>
    <row r="1946" spans="1:42">
      <c r="A1946" s="1" t="s">
        <v>46</v>
      </c>
      <c r="B1946" s="1" t="s">
        <v>4054</v>
      </c>
      <c r="C1946" s="1" t="s">
        <v>4054</v>
      </c>
      <c r="E1946" s="4" t="s">
        <v>4055</v>
      </c>
      <c r="G1946" s="16"/>
      <c r="M1946">
        <v>1</v>
      </c>
      <c r="N1946">
        <v>4555</v>
      </c>
      <c r="O1946">
        <v>0</v>
      </c>
      <c r="P1946">
        <v>0.62</v>
      </c>
      <c r="Q1946">
        <v>2824.1</v>
      </c>
      <c r="R1946">
        <v>0</v>
      </c>
      <c r="S1946">
        <v>0</v>
      </c>
      <c r="T1946" t="s">
        <v>52</v>
      </c>
      <c r="W1946">
        <v>400158</v>
      </c>
      <c r="AE1946">
        <v>0</v>
      </c>
      <c r="AP1946" t="s">
        <v>61</v>
      </c>
    </row>
    <row r="1947" spans="1:42">
      <c r="A1947" s="1" t="s">
        <v>46</v>
      </c>
      <c r="B1947" s="1" t="s">
        <v>4056</v>
      </c>
      <c r="C1947" s="1" t="s">
        <v>4056</v>
      </c>
      <c r="E1947" s="4" t="s">
        <v>4057</v>
      </c>
      <c r="G1947" s="16">
        <v>0.65</v>
      </c>
      <c r="M1947">
        <v>1</v>
      </c>
      <c r="N1947">
        <v>339</v>
      </c>
      <c r="O1947">
        <v>0</v>
      </c>
      <c r="P1947">
        <v>1.5</v>
      </c>
      <c r="Q1947">
        <v>508.5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400017</v>
      </c>
      <c r="X1947" t="s">
        <v>56</v>
      </c>
      <c r="Y1947" t="s">
        <v>57</v>
      </c>
      <c r="AE1947">
        <v>0</v>
      </c>
      <c r="AP1947" t="s">
        <v>49</v>
      </c>
    </row>
    <row r="1948" spans="1:42">
      <c r="A1948" s="1" t="s">
        <v>46</v>
      </c>
      <c r="B1948" s="1" t="s">
        <v>4058</v>
      </c>
      <c r="C1948" s="1" t="s">
        <v>4058</v>
      </c>
      <c r="E1948" s="4" t="s">
        <v>4059</v>
      </c>
      <c r="G1948" s="16">
        <v>0.35</v>
      </c>
      <c r="M1948">
        <v>1</v>
      </c>
      <c r="N1948">
        <v>106</v>
      </c>
      <c r="O1948">
        <v>0</v>
      </c>
      <c r="P1948">
        <v>6</v>
      </c>
      <c r="Q1948">
        <v>636</v>
      </c>
      <c r="R1948">
        <v>0</v>
      </c>
      <c r="S1948">
        <v>0</v>
      </c>
      <c r="T1948">
        <v>0</v>
      </c>
      <c r="U1948" t="s">
        <v>52</v>
      </c>
      <c r="V1948">
        <v>0</v>
      </c>
      <c r="W1948">
        <v>400054</v>
      </c>
      <c r="AE1948">
        <v>0</v>
      </c>
      <c r="AP1948" t="s">
        <v>4060</v>
      </c>
    </row>
    <row r="1949" spans="1:42">
      <c r="A1949" s="1" t="s">
        <v>46</v>
      </c>
      <c r="B1949" s="1" t="s">
        <v>4061</v>
      </c>
      <c r="C1949" s="1" t="s">
        <v>4061</v>
      </c>
      <c r="E1949" s="4" t="s">
        <v>4062</v>
      </c>
      <c r="G1949" s="16"/>
      <c r="M1949">
        <v>1</v>
      </c>
      <c r="N1949">
        <v>-12050</v>
      </c>
      <c r="O1949">
        <v>0</v>
      </c>
      <c r="P1949">
        <v>199.8</v>
      </c>
      <c r="Q1949">
        <v>-2407590</v>
      </c>
      <c r="W1949">
        <v>410302</v>
      </c>
      <c r="AE1949">
        <v>0</v>
      </c>
      <c r="AP1949" t="s">
        <v>177</v>
      </c>
    </row>
    <row r="1950" spans="1:42">
      <c r="A1950" s="1" t="s">
        <v>46</v>
      </c>
      <c r="B1950" s="1" t="s">
        <v>4063</v>
      </c>
      <c r="C1950" s="1" t="s">
        <v>4063</v>
      </c>
      <c r="E1950" s="4" t="s">
        <v>4064</v>
      </c>
      <c r="G1950" s="16">
        <v>0.65</v>
      </c>
      <c r="M1950">
        <v>1</v>
      </c>
      <c r="N1950">
        <v>1</v>
      </c>
      <c r="O1950">
        <v>0</v>
      </c>
      <c r="P1950">
        <v>20</v>
      </c>
      <c r="Q1950">
        <v>20</v>
      </c>
      <c r="R1950">
        <v>0</v>
      </c>
      <c r="S1950">
        <v>0</v>
      </c>
      <c r="T1950">
        <v>0</v>
      </c>
      <c r="W1950">
        <v>400044</v>
      </c>
      <c r="AE1950">
        <v>0</v>
      </c>
      <c r="AP1950" t="s">
        <v>628</v>
      </c>
    </row>
    <row r="1951" spans="1:42">
      <c r="A1951" s="1" t="s">
        <v>46</v>
      </c>
      <c r="B1951" s="1" t="s">
        <v>4065</v>
      </c>
      <c r="C1951" s="1" t="s">
        <v>4065</v>
      </c>
      <c r="E1951" s="4" t="s">
        <v>4066</v>
      </c>
      <c r="G1951" s="16">
        <v>0.9</v>
      </c>
      <c r="M1951">
        <v>1</v>
      </c>
      <c r="N1951">
        <v>333</v>
      </c>
      <c r="O1951">
        <v>0</v>
      </c>
      <c r="P1951">
        <v>0.03</v>
      </c>
      <c r="Q1951">
        <v>9.99</v>
      </c>
      <c r="R1951">
        <v>0</v>
      </c>
      <c r="S1951">
        <v>0</v>
      </c>
      <c r="T1951" t="s">
        <v>52</v>
      </c>
      <c r="W1951">
        <v>400017</v>
      </c>
      <c r="AE1951">
        <v>0</v>
      </c>
      <c r="AP1951" t="s">
        <v>49</v>
      </c>
    </row>
    <row r="1952" spans="1:42">
      <c r="A1952" s="1" t="s">
        <v>46</v>
      </c>
      <c r="B1952" s="1" t="s">
        <v>4067</v>
      </c>
      <c r="C1952" s="1" t="s">
        <v>4067</v>
      </c>
      <c r="E1952" s="4" t="s">
        <v>4068</v>
      </c>
      <c r="G1952" s="16">
        <v>7.4999999999999997E-2</v>
      </c>
      <c r="M1952">
        <v>1</v>
      </c>
      <c r="N1952">
        <v>810</v>
      </c>
      <c r="O1952">
        <v>0</v>
      </c>
      <c r="P1952">
        <v>60</v>
      </c>
      <c r="Q1952">
        <v>48600</v>
      </c>
      <c r="R1952">
        <v>0</v>
      </c>
      <c r="S1952">
        <v>0</v>
      </c>
      <c r="T1952" t="s">
        <v>52</v>
      </c>
      <c r="U1952">
        <v>0</v>
      </c>
      <c r="V1952">
        <v>0</v>
      </c>
      <c r="W1952">
        <v>400032</v>
      </c>
      <c r="X1952" t="s">
        <v>56</v>
      </c>
      <c r="Y1952" t="s">
        <v>57</v>
      </c>
      <c r="AE1952">
        <v>0</v>
      </c>
      <c r="AP1952" t="s">
        <v>404</v>
      </c>
    </row>
    <row r="1953" spans="1:42">
      <c r="A1953" s="1" t="s">
        <v>46</v>
      </c>
      <c r="B1953" s="1" t="s">
        <v>4069</v>
      </c>
      <c r="C1953" s="1" t="s">
        <v>4069</v>
      </c>
      <c r="E1953" s="4" t="s">
        <v>4070</v>
      </c>
      <c r="G1953" s="16"/>
      <c r="M1953">
        <v>1</v>
      </c>
      <c r="N1953">
        <v>157</v>
      </c>
      <c r="O1953">
        <v>0</v>
      </c>
      <c r="P1953">
        <v>30</v>
      </c>
      <c r="Q1953">
        <v>4710</v>
      </c>
      <c r="R1953">
        <v>0</v>
      </c>
      <c r="S1953">
        <v>0</v>
      </c>
      <c r="T1953" t="s">
        <v>52</v>
      </c>
      <c r="U1953">
        <v>0</v>
      </c>
      <c r="V1953">
        <v>0</v>
      </c>
      <c r="W1953">
        <v>400032</v>
      </c>
      <c r="X1953" t="s">
        <v>56</v>
      </c>
      <c r="Y1953" t="s">
        <v>57</v>
      </c>
      <c r="AE1953">
        <v>0</v>
      </c>
      <c r="AP1953" t="s">
        <v>404</v>
      </c>
    </row>
    <row r="1954" spans="1:42">
      <c r="E1954" s="4" t="s">
        <v>4071</v>
      </c>
      <c r="G1954" s="16"/>
    </row>
    <row r="1955" spans="1:42">
      <c r="E1955" s="4" t="s">
        <v>4072</v>
      </c>
      <c r="G1955" s="16">
        <v>0.65</v>
      </c>
    </row>
    <row r="1956" spans="1:42">
      <c r="E1956" s="4" t="s">
        <v>4073</v>
      </c>
      <c r="G1956" s="16">
        <v>1</v>
      </c>
    </row>
    <row r="1957" spans="1:42">
      <c r="A1957" s="1" t="s">
        <v>46</v>
      </c>
      <c r="B1957" s="1" t="s">
        <v>4074</v>
      </c>
      <c r="C1957" s="1" t="s">
        <v>4074</v>
      </c>
      <c r="E1957" s="4" t="s">
        <v>4075</v>
      </c>
      <c r="G1957" s="16">
        <v>1</v>
      </c>
      <c r="M1957">
        <v>1</v>
      </c>
      <c r="N1957">
        <v>646</v>
      </c>
      <c r="O1957">
        <v>0</v>
      </c>
      <c r="P1957">
        <v>15.5</v>
      </c>
      <c r="Q1957">
        <v>10013</v>
      </c>
      <c r="R1957">
        <v>0</v>
      </c>
      <c r="S1957">
        <v>0</v>
      </c>
      <c r="T1957" t="s">
        <v>52</v>
      </c>
      <c r="U1957">
        <v>0</v>
      </c>
      <c r="V1957">
        <v>0</v>
      </c>
      <c r="W1957">
        <v>400017</v>
      </c>
      <c r="X1957" t="s">
        <v>56</v>
      </c>
      <c r="Y1957" t="s">
        <v>57</v>
      </c>
      <c r="AE1957">
        <v>0</v>
      </c>
      <c r="AP1957" t="s">
        <v>49</v>
      </c>
    </row>
    <row r="1958" spans="1:42">
      <c r="A1958" s="1" t="s">
        <v>46</v>
      </c>
      <c r="B1958" s="1" t="s">
        <v>4076</v>
      </c>
      <c r="C1958" s="1" t="s">
        <v>4076</v>
      </c>
      <c r="E1958" s="4" t="s">
        <v>4077</v>
      </c>
      <c r="G1958" s="16"/>
      <c r="M1958">
        <v>1</v>
      </c>
      <c r="N1958">
        <v>4</v>
      </c>
      <c r="O1958">
        <v>0</v>
      </c>
      <c r="P1958">
        <v>10</v>
      </c>
      <c r="Q1958">
        <v>40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400032</v>
      </c>
      <c r="X1958" t="s">
        <v>56</v>
      </c>
      <c r="Y1958" t="s">
        <v>57</v>
      </c>
      <c r="AE1958">
        <v>0</v>
      </c>
      <c r="AP1958" t="s">
        <v>404</v>
      </c>
    </row>
    <row r="1959" spans="1:42">
      <c r="A1959" s="1" t="s">
        <v>46</v>
      </c>
      <c r="B1959" s="1" t="s">
        <v>4078</v>
      </c>
      <c r="C1959" s="1" t="s">
        <v>4078</v>
      </c>
      <c r="E1959" s="4" t="s">
        <v>4079</v>
      </c>
      <c r="G1959" s="16"/>
      <c r="M1959">
        <v>1</v>
      </c>
      <c r="N1959">
        <v>193</v>
      </c>
      <c r="O1959">
        <v>0</v>
      </c>
      <c r="P1959">
        <v>35</v>
      </c>
      <c r="Q1959">
        <v>6755</v>
      </c>
      <c r="R1959">
        <v>0</v>
      </c>
      <c r="S1959" t="s">
        <v>17</v>
      </c>
      <c r="T1959">
        <v>0</v>
      </c>
      <c r="U1959">
        <v>0</v>
      </c>
      <c r="V1959">
        <v>0</v>
      </c>
      <c r="W1959">
        <v>410120</v>
      </c>
      <c r="X1959" t="s">
        <v>56</v>
      </c>
      <c r="Y1959" t="s">
        <v>57</v>
      </c>
      <c r="AE1959">
        <v>0</v>
      </c>
      <c r="AP1959" t="s">
        <v>112</v>
      </c>
    </row>
    <row r="1960" spans="1:42">
      <c r="E1960" s="4" t="s">
        <v>4080</v>
      </c>
      <c r="G1960" s="16"/>
    </row>
    <row r="1961" spans="1:42">
      <c r="E1961" s="4" t="s">
        <v>4081</v>
      </c>
      <c r="G1961" s="16"/>
    </row>
    <row r="1962" spans="1:42">
      <c r="E1962" s="4" t="s">
        <v>4082</v>
      </c>
      <c r="G1962" s="16"/>
    </row>
    <row r="1963" spans="1:42">
      <c r="E1963" s="4" t="s">
        <v>4083</v>
      </c>
      <c r="G1963" s="16"/>
    </row>
    <row r="1964" spans="1:42">
      <c r="A1964" s="1" t="s">
        <v>46</v>
      </c>
      <c r="B1964" s="1" t="s">
        <v>4084</v>
      </c>
      <c r="C1964" s="1" t="s">
        <v>4084</v>
      </c>
      <c r="E1964" s="4" t="s">
        <v>4085</v>
      </c>
      <c r="G1964" s="16"/>
      <c r="M1964">
        <v>1</v>
      </c>
      <c r="N1964">
        <v>290</v>
      </c>
      <c r="O1964">
        <v>0</v>
      </c>
      <c r="P1964">
        <v>28.85</v>
      </c>
      <c r="Q1964">
        <v>8366.51</v>
      </c>
      <c r="R1964" t="s">
        <v>556</v>
      </c>
      <c r="S1964">
        <v>0</v>
      </c>
      <c r="T1964" t="s">
        <v>52</v>
      </c>
      <c r="U1964">
        <v>0</v>
      </c>
      <c r="V1964">
        <v>0</v>
      </c>
      <c r="W1964">
        <v>400120</v>
      </c>
      <c r="AE1964">
        <v>0</v>
      </c>
      <c r="AP1964" t="s">
        <v>468</v>
      </c>
    </row>
    <row r="1965" spans="1:42">
      <c r="E1965" s="4" t="s">
        <v>4086</v>
      </c>
      <c r="G1965" s="16"/>
    </row>
    <row r="1966" spans="1:42">
      <c r="A1966" s="1" t="s">
        <v>46</v>
      </c>
      <c r="B1966" s="1" t="s">
        <v>4087</v>
      </c>
      <c r="C1966" s="1" t="s">
        <v>4087</v>
      </c>
      <c r="E1966" s="4" t="s">
        <v>4088</v>
      </c>
      <c r="G1966" s="16"/>
      <c r="M1966">
        <v>1</v>
      </c>
      <c r="N1966">
        <v>148</v>
      </c>
      <c r="O1966">
        <v>0</v>
      </c>
      <c r="P1966">
        <v>34</v>
      </c>
      <c r="Q1966">
        <v>5032</v>
      </c>
      <c r="R1966">
        <v>0</v>
      </c>
      <c r="S1966" t="s">
        <v>17</v>
      </c>
      <c r="T1966">
        <v>0</v>
      </c>
      <c r="U1966">
        <v>0</v>
      </c>
      <c r="V1966">
        <v>0</v>
      </c>
      <c r="W1966">
        <v>400056</v>
      </c>
      <c r="AE1966">
        <v>0</v>
      </c>
      <c r="AP1966" t="s">
        <v>1797</v>
      </c>
    </row>
    <row r="1967" spans="1:42">
      <c r="A1967" s="1" t="s">
        <v>46</v>
      </c>
      <c r="B1967" s="1" t="s">
        <v>4089</v>
      </c>
      <c r="C1967" s="1" t="s">
        <v>4089</v>
      </c>
      <c r="E1967" s="4" t="s">
        <v>4090</v>
      </c>
      <c r="G1967" s="16"/>
      <c r="M1967">
        <v>1</v>
      </c>
      <c r="N1967">
        <v>42</v>
      </c>
      <c r="O1967">
        <v>0</v>
      </c>
      <c r="P1967">
        <v>145</v>
      </c>
      <c r="Q1967">
        <v>6090</v>
      </c>
      <c r="R1967" t="s">
        <v>115</v>
      </c>
      <c r="S1967">
        <v>0</v>
      </c>
      <c r="T1967" t="s">
        <v>17</v>
      </c>
      <c r="U1967">
        <v>0</v>
      </c>
      <c r="V1967">
        <v>0</v>
      </c>
      <c r="W1967">
        <v>400056</v>
      </c>
      <c r="AE1967">
        <v>0</v>
      </c>
      <c r="AP1967" t="s">
        <v>1797</v>
      </c>
    </row>
    <row r="1968" spans="1:42">
      <c r="E1968" s="4" t="s">
        <v>4091</v>
      </c>
      <c r="G1968" s="16"/>
    </row>
    <row r="1969" spans="1:42">
      <c r="E1969" s="4" t="s">
        <v>4092</v>
      </c>
      <c r="G1969" s="16"/>
    </row>
    <row r="1970" spans="1:42">
      <c r="E1970" s="4" t="s">
        <v>4093</v>
      </c>
      <c r="G1970" s="16"/>
    </row>
    <row r="1971" spans="1:42">
      <c r="E1971" s="4" t="s">
        <v>4094</v>
      </c>
      <c r="G1971" s="16"/>
    </row>
    <row r="1972" spans="1:42">
      <c r="A1972" s="1" t="s">
        <v>46</v>
      </c>
      <c r="B1972" s="1" t="s">
        <v>4095</v>
      </c>
      <c r="C1972" s="1" t="s">
        <v>4095</v>
      </c>
      <c r="E1972" s="4" t="s">
        <v>4096</v>
      </c>
      <c r="G1972" s="16"/>
      <c r="M1972">
        <v>1</v>
      </c>
      <c r="N1972">
        <v>-1</v>
      </c>
      <c r="O1972">
        <v>0</v>
      </c>
      <c r="P1972">
        <v>80.19</v>
      </c>
      <c r="Q1972">
        <v>-80.19</v>
      </c>
      <c r="R1972">
        <v>0</v>
      </c>
      <c r="S1972">
        <v>0</v>
      </c>
      <c r="T1972">
        <v>0</v>
      </c>
      <c r="W1972">
        <v>400160</v>
      </c>
      <c r="AE1972">
        <v>0</v>
      </c>
      <c r="AP1972" t="s">
        <v>201</v>
      </c>
    </row>
    <row r="1973" spans="1:42">
      <c r="A1973" s="1" t="s">
        <v>46</v>
      </c>
      <c r="B1973" s="1" t="s">
        <v>4097</v>
      </c>
      <c r="C1973" s="1" t="s">
        <v>4097</v>
      </c>
      <c r="E1973" s="4" t="s">
        <v>4098</v>
      </c>
      <c r="G1973" s="16"/>
      <c r="M1973">
        <v>1</v>
      </c>
      <c r="N1973">
        <v>48</v>
      </c>
      <c r="O1973">
        <v>0</v>
      </c>
      <c r="P1973">
        <v>95.96</v>
      </c>
      <c r="Q1973">
        <v>4606.0600000000004</v>
      </c>
      <c r="R1973">
        <v>0</v>
      </c>
      <c r="S1973">
        <v>0</v>
      </c>
      <c r="T1973" t="s">
        <v>52</v>
      </c>
      <c r="U1973">
        <v>0</v>
      </c>
      <c r="V1973">
        <v>0</v>
      </c>
      <c r="W1973">
        <v>400160</v>
      </c>
      <c r="X1973" t="s">
        <v>56</v>
      </c>
      <c r="Y1973" t="s">
        <v>57</v>
      </c>
      <c r="AE1973">
        <v>0</v>
      </c>
      <c r="AP1973" t="s">
        <v>201</v>
      </c>
    </row>
    <row r="1974" spans="1:42">
      <c r="E1974" s="4" t="s">
        <v>4099</v>
      </c>
      <c r="G1974" s="16">
        <v>2.5</v>
      </c>
    </row>
    <row r="1975" spans="1:42">
      <c r="E1975" s="4" t="s">
        <v>4100</v>
      </c>
      <c r="G1975" s="16"/>
    </row>
    <row r="1976" spans="1:42">
      <c r="E1976" s="4" t="s">
        <v>4101</v>
      </c>
      <c r="G1976" s="16"/>
    </row>
    <row r="1977" spans="1:42">
      <c r="A1977" s="1" t="s">
        <v>46</v>
      </c>
      <c r="B1977" s="1" t="s">
        <v>4102</v>
      </c>
      <c r="C1977" s="1" t="s">
        <v>4102</v>
      </c>
      <c r="E1977" s="4" t="s">
        <v>4103</v>
      </c>
      <c r="G1977" s="16"/>
      <c r="M1977">
        <v>1</v>
      </c>
      <c r="N1977">
        <v>-512</v>
      </c>
      <c r="O1977">
        <v>0</v>
      </c>
      <c r="P1977">
        <v>0.99</v>
      </c>
      <c r="Q1977">
        <v>-506.93</v>
      </c>
      <c r="R1977">
        <v>0</v>
      </c>
      <c r="S1977">
        <v>0</v>
      </c>
      <c r="T1977">
        <v>0</v>
      </c>
      <c r="W1977">
        <v>400150</v>
      </c>
      <c r="AE1977">
        <v>0</v>
      </c>
      <c r="AP1977" t="s">
        <v>75</v>
      </c>
    </row>
    <row r="1978" spans="1:42">
      <c r="A1978" s="1" t="s">
        <v>46</v>
      </c>
      <c r="B1978" s="1" t="s">
        <v>4104</v>
      </c>
      <c r="C1978" s="1" t="s">
        <v>4104</v>
      </c>
      <c r="E1978" s="4" t="s">
        <v>4105</v>
      </c>
      <c r="G1978" s="16">
        <v>1</v>
      </c>
      <c r="M1978">
        <v>1</v>
      </c>
      <c r="N1978">
        <v>-21</v>
      </c>
      <c r="O1978">
        <v>0</v>
      </c>
      <c r="P1978">
        <v>1.25</v>
      </c>
      <c r="Q1978">
        <v>-26.25</v>
      </c>
      <c r="R1978">
        <v>0</v>
      </c>
      <c r="S1978">
        <v>0</v>
      </c>
      <c r="T1978" t="s">
        <v>52</v>
      </c>
      <c r="W1978">
        <v>400017</v>
      </c>
      <c r="AE1978">
        <v>0</v>
      </c>
      <c r="AP1978" t="s">
        <v>49</v>
      </c>
    </row>
    <row r="1979" spans="1:42">
      <c r="A1979" s="1" t="s">
        <v>46</v>
      </c>
      <c r="B1979" s="1" t="s">
        <v>4106</v>
      </c>
      <c r="C1979" s="1" t="s">
        <v>4106</v>
      </c>
      <c r="E1979" s="4" t="s">
        <v>4107</v>
      </c>
      <c r="G1979" s="16">
        <v>1.5</v>
      </c>
      <c r="M1979">
        <v>1</v>
      </c>
      <c r="N1979">
        <v>59</v>
      </c>
      <c r="O1979">
        <v>0</v>
      </c>
      <c r="P1979">
        <v>3.5</v>
      </c>
      <c r="Q1979">
        <v>206.5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400017</v>
      </c>
      <c r="X1979" t="s">
        <v>56</v>
      </c>
      <c r="Y1979" t="s">
        <v>57</v>
      </c>
      <c r="AE1979">
        <v>0</v>
      </c>
      <c r="AP1979" t="s">
        <v>49</v>
      </c>
    </row>
    <row r="1980" spans="1:42">
      <c r="A1980" s="1" t="s">
        <v>46</v>
      </c>
      <c r="B1980" s="1" t="s">
        <v>4108</v>
      </c>
      <c r="C1980" s="1" t="s">
        <v>4108</v>
      </c>
      <c r="E1980" s="4" t="s">
        <v>4109</v>
      </c>
      <c r="G1980" s="16">
        <v>0.2</v>
      </c>
      <c r="M1980">
        <v>1</v>
      </c>
      <c r="N1980">
        <v>5</v>
      </c>
      <c r="O1980">
        <v>0</v>
      </c>
      <c r="P1980">
        <v>6</v>
      </c>
      <c r="Q1980">
        <v>30</v>
      </c>
      <c r="R1980">
        <v>0</v>
      </c>
      <c r="S1980">
        <v>0</v>
      </c>
      <c r="T1980">
        <v>0</v>
      </c>
      <c r="W1980">
        <v>400017</v>
      </c>
      <c r="AE1980">
        <v>0</v>
      </c>
      <c r="AP1980" t="s">
        <v>49</v>
      </c>
    </row>
    <row r="1981" spans="1:42">
      <c r="A1981" s="1" t="s">
        <v>46</v>
      </c>
      <c r="B1981" s="1" t="s">
        <v>4110</v>
      </c>
      <c r="C1981" s="1" t="s">
        <v>4110</v>
      </c>
      <c r="E1981" s="4" t="s">
        <v>4111</v>
      </c>
      <c r="G1981" s="16">
        <v>0.2</v>
      </c>
      <c r="M1981">
        <v>1</v>
      </c>
      <c r="N1981">
        <v>42</v>
      </c>
      <c r="O1981">
        <v>0</v>
      </c>
      <c r="P1981">
        <v>15</v>
      </c>
      <c r="Q1981">
        <v>630</v>
      </c>
      <c r="R1981">
        <v>0</v>
      </c>
      <c r="S1981">
        <v>0</v>
      </c>
      <c r="T1981">
        <v>0</v>
      </c>
      <c r="W1981">
        <v>400017</v>
      </c>
      <c r="AE1981">
        <v>0</v>
      </c>
      <c r="AP1981" t="s">
        <v>49</v>
      </c>
    </row>
    <row r="1982" spans="1:42">
      <c r="A1982" s="1" t="s">
        <v>46</v>
      </c>
      <c r="B1982" s="1" t="s">
        <v>4112</v>
      </c>
      <c r="C1982" s="1" t="s">
        <v>4112</v>
      </c>
      <c r="E1982" s="4" t="s">
        <v>4113</v>
      </c>
      <c r="G1982" s="16">
        <v>0.25</v>
      </c>
      <c r="M1982">
        <v>1</v>
      </c>
      <c r="N1982">
        <v>17929</v>
      </c>
      <c r="O1982">
        <v>0</v>
      </c>
      <c r="P1982">
        <v>0.02</v>
      </c>
      <c r="Q1982">
        <v>268.94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400017</v>
      </c>
      <c r="X1982" t="s">
        <v>56</v>
      </c>
      <c r="Y1982" t="s">
        <v>57</v>
      </c>
      <c r="AE1982">
        <v>0</v>
      </c>
      <c r="AP1982" t="s">
        <v>49</v>
      </c>
    </row>
    <row r="1983" spans="1:42">
      <c r="A1983" s="1" t="s">
        <v>46</v>
      </c>
      <c r="B1983" s="1" t="s">
        <v>4114</v>
      </c>
      <c r="C1983" s="1" t="s">
        <v>4114</v>
      </c>
      <c r="E1983" s="4" t="s">
        <v>4115</v>
      </c>
      <c r="G1983" s="16">
        <v>0.25</v>
      </c>
      <c r="M1983">
        <v>1</v>
      </c>
      <c r="N1983">
        <v>1450</v>
      </c>
      <c r="O1983">
        <v>0</v>
      </c>
      <c r="P1983">
        <v>0.03</v>
      </c>
      <c r="Q1983">
        <v>39.880000000000003</v>
      </c>
      <c r="R1983">
        <v>0</v>
      </c>
      <c r="S1983">
        <v>0</v>
      </c>
      <c r="T1983">
        <v>0</v>
      </c>
      <c r="W1983">
        <v>400017</v>
      </c>
      <c r="AE1983">
        <v>0</v>
      </c>
      <c r="AP1983" t="s">
        <v>49</v>
      </c>
    </row>
    <row r="1984" spans="1:42">
      <c r="A1984" s="1" t="s">
        <v>46</v>
      </c>
      <c r="B1984" s="1" t="s">
        <v>4116</v>
      </c>
      <c r="C1984" s="1" t="s">
        <v>4116</v>
      </c>
      <c r="E1984" s="4" t="s">
        <v>4117</v>
      </c>
      <c r="G1984" s="16"/>
      <c r="M1984">
        <v>1</v>
      </c>
      <c r="N1984">
        <v>1000</v>
      </c>
      <c r="O1984">
        <v>0</v>
      </c>
      <c r="P1984">
        <v>0.02</v>
      </c>
      <c r="Q1984">
        <v>25</v>
      </c>
      <c r="W1984">
        <v>400017</v>
      </c>
      <c r="AE1984">
        <v>0</v>
      </c>
      <c r="AP1984" t="s">
        <v>49</v>
      </c>
    </row>
    <row r="1985" spans="1:42">
      <c r="A1985" s="1" t="s">
        <v>46</v>
      </c>
      <c r="B1985" s="1" t="s">
        <v>4118</v>
      </c>
      <c r="C1985" s="1" t="s">
        <v>4118</v>
      </c>
      <c r="E1985" s="4" t="s">
        <v>4119</v>
      </c>
      <c r="G1985" s="16">
        <v>0.35</v>
      </c>
      <c r="M1985">
        <v>1</v>
      </c>
      <c r="N1985">
        <v>6867</v>
      </c>
      <c r="O1985">
        <v>0</v>
      </c>
      <c r="P1985" s="2">
        <v>4.4999999999999997E-3</v>
      </c>
      <c r="Q1985">
        <v>30.9</v>
      </c>
      <c r="R1985">
        <v>0</v>
      </c>
      <c r="S1985">
        <v>0</v>
      </c>
      <c r="T1985" t="s">
        <v>52</v>
      </c>
      <c r="U1985">
        <v>0</v>
      </c>
      <c r="V1985">
        <v>0</v>
      </c>
      <c r="W1985">
        <v>400017</v>
      </c>
      <c r="X1985" t="s">
        <v>56</v>
      </c>
      <c r="Y1985" t="s">
        <v>57</v>
      </c>
      <c r="AE1985">
        <v>0</v>
      </c>
      <c r="AP1985" t="s">
        <v>49</v>
      </c>
    </row>
    <row r="1986" spans="1:42">
      <c r="A1986" s="1" t="s">
        <v>46</v>
      </c>
      <c r="B1986" s="1" t="s">
        <v>4120</v>
      </c>
      <c r="C1986" s="1" t="s">
        <v>4120</v>
      </c>
      <c r="E1986" s="4" t="s">
        <v>4121</v>
      </c>
      <c r="G1986" s="16"/>
      <c r="M1986">
        <v>1</v>
      </c>
      <c r="N1986">
        <v>11000</v>
      </c>
      <c r="O1986">
        <v>0</v>
      </c>
      <c r="P1986" s="2">
        <v>3.0000000000000001E-3</v>
      </c>
      <c r="Q1986">
        <v>33</v>
      </c>
      <c r="R1986">
        <v>0</v>
      </c>
      <c r="S1986">
        <v>0</v>
      </c>
      <c r="T1986" t="s">
        <v>52</v>
      </c>
      <c r="U1986">
        <v>0</v>
      </c>
      <c r="V1986">
        <v>0</v>
      </c>
      <c r="W1986">
        <v>400017</v>
      </c>
      <c r="X1986" t="s">
        <v>56</v>
      </c>
      <c r="Y1986" t="s">
        <v>57</v>
      </c>
      <c r="AE1986">
        <v>0</v>
      </c>
      <c r="AP1986" t="s">
        <v>49</v>
      </c>
    </row>
    <row r="1987" spans="1:42">
      <c r="A1987" s="1" t="s">
        <v>46</v>
      </c>
      <c r="B1987" s="1" t="s">
        <v>4122</v>
      </c>
      <c r="C1987" s="1" t="s">
        <v>4122</v>
      </c>
      <c r="E1987" s="4" t="s">
        <v>4123</v>
      </c>
      <c r="G1987" s="16">
        <v>0.5</v>
      </c>
      <c r="M1987">
        <v>1</v>
      </c>
      <c r="N1987">
        <v>5018</v>
      </c>
      <c r="O1987">
        <v>0</v>
      </c>
      <c r="P1987" s="2">
        <v>3.5000000000000001E-3</v>
      </c>
      <c r="Q1987">
        <v>17.559999999999999</v>
      </c>
      <c r="R1987">
        <v>0</v>
      </c>
      <c r="S1987">
        <v>0</v>
      </c>
      <c r="T1987" t="s">
        <v>52</v>
      </c>
      <c r="U1987">
        <v>0</v>
      </c>
      <c r="V1987">
        <v>0</v>
      </c>
      <c r="W1987">
        <v>400017</v>
      </c>
      <c r="X1987" t="s">
        <v>56</v>
      </c>
      <c r="Y1987" t="s">
        <v>57</v>
      </c>
      <c r="AE1987">
        <v>0</v>
      </c>
      <c r="AP1987" t="s">
        <v>49</v>
      </c>
    </row>
    <row r="1988" spans="1:42">
      <c r="A1988" s="1" t="s">
        <v>46</v>
      </c>
      <c r="B1988" s="1" t="s">
        <v>4124</v>
      </c>
      <c r="C1988" s="1" t="s">
        <v>4124</v>
      </c>
      <c r="E1988" s="4" t="s">
        <v>4125</v>
      </c>
      <c r="G1988" s="16"/>
      <c r="M1988">
        <v>1</v>
      </c>
      <c r="N1988">
        <v>2781</v>
      </c>
      <c r="O1988">
        <v>0</v>
      </c>
      <c r="P1988" s="2">
        <v>3.2499999999999999E-3</v>
      </c>
      <c r="Q1988">
        <v>9.0399999999999991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400017</v>
      </c>
      <c r="X1988" t="s">
        <v>56</v>
      </c>
      <c r="Y1988" t="s">
        <v>57</v>
      </c>
      <c r="AE1988">
        <v>0</v>
      </c>
      <c r="AP1988" t="s">
        <v>49</v>
      </c>
    </row>
    <row r="1989" spans="1:42">
      <c r="A1989" s="1" t="s">
        <v>46</v>
      </c>
      <c r="B1989" s="1" t="s">
        <v>4126</v>
      </c>
      <c r="C1989" s="1" t="s">
        <v>4126</v>
      </c>
      <c r="E1989" s="4" t="s">
        <v>4127</v>
      </c>
      <c r="G1989" s="16"/>
      <c r="M1989">
        <v>1</v>
      </c>
      <c r="N1989">
        <v>5985</v>
      </c>
      <c r="O1989">
        <v>0</v>
      </c>
      <c r="P1989">
        <v>0.01</v>
      </c>
      <c r="Q1989">
        <v>32.92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400017</v>
      </c>
      <c r="X1989" t="s">
        <v>56</v>
      </c>
      <c r="Y1989" t="s">
        <v>57</v>
      </c>
      <c r="AE1989">
        <v>0</v>
      </c>
      <c r="AP1989" t="s">
        <v>49</v>
      </c>
    </row>
    <row r="1990" spans="1:42">
      <c r="A1990" s="1" t="s">
        <v>46</v>
      </c>
      <c r="B1990" s="1" t="s">
        <v>4128</v>
      </c>
      <c r="C1990" s="1" t="s">
        <v>4128</v>
      </c>
      <c r="E1990" s="4" t="s">
        <v>4129</v>
      </c>
      <c r="G1990" s="16"/>
      <c r="M1990">
        <v>1</v>
      </c>
      <c r="N1990">
        <v>3089</v>
      </c>
      <c r="O1990">
        <v>0</v>
      </c>
      <c r="P1990">
        <v>0.01</v>
      </c>
      <c r="Q1990">
        <v>20.079999999999998</v>
      </c>
      <c r="R1990">
        <v>0</v>
      </c>
      <c r="S1990">
        <v>0</v>
      </c>
      <c r="T1990" t="s">
        <v>52</v>
      </c>
      <c r="U1990">
        <v>0</v>
      </c>
      <c r="V1990">
        <v>0</v>
      </c>
      <c r="W1990">
        <v>400017</v>
      </c>
      <c r="X1990" t="s">
        <v>56</v>
      </c>
      <c r="Y1990" t="s">
        <v>57</v>
      </c>
      <c r="AE1990">
        <v>0</v>
      </c>
      <c r="AP1990" t="s">
        <v>49</v>
      </c>
    </row>
    <row r="1991" spans="1:42">
      <c r="A1991" s="1" t="s">
        <v>46</v>
      </c>
      <c r="B1991" s="1" t="s">
        <v>4130</v>
      </c>
      <c r="C1991" s="1" t="s">
        <v>4130</v>
      </c>
      <c r="E1991" s="4" t="s">
        <v>4131</v>
      </c>
      <c r="G1991" s="16"/>
      <c r="M1991">
        <v>1</v>
      </c>
      <c r="N1991">
        <v>875</v>
      </c>
      <c r="O1991">
        <v>0</v>
      </c>
      <c r="P1991">
        <v>0.01</v>
      </c>
      <c r="Q1991">
        <v>7.87</v>
      </c>
      <c r="W1991">
        <v>400017</v>
      </c>
      <c r="AE1991">
        <v>0</v>
      </c>
      <c r="AP1991" t="s">
        <v>49</v>
      </c>
    </row>
    <row r="1992" spans="1:42">
      <c r="A1992" s="1" t="s">
        <v>46</v>
      </c>
      <c r="B1992" s="1" t="s">
        <v>4132</v>
      </c>
      <c r="C1992" s="1" t="s">
        <v>4132</v>
      </c>
      <c r="E1992" s="4" t="s">
        <v>4133</v>
      </c>
      <c r="G1992" s="16"/>
      <c r="M1992">
        <v>1</v>
      </c>
      <c r="N1992">
        <v>1383</v>
      </c>
      <c r="O1992">
        <v>0</v>
      </c>
      <c r="P1992">
        <v>0.01</v>
      </c>
      <c r="Q1992">
        <v>13.83</v>
      </c>
      <c r="R1992">
        <v>0</v>
      </c>
      <c r="S1992">
        <v>0</v>
      </c>
      <c r="T1992" t="s">
        <v>52</v>
      </c>
      <c r="W1992">
        <v>400017</v>
      </c>
      <c r="AE1992">
        <v>0</v>
      </c>
      <c r="AP1992" t="s">
        <v>49</v>
      </c>
    </row>
    <row r="1993" spans="1:42">
      <c r="A1993" s="1" t="s">
        <v>46</v>
      </c>
      <c r="B1993" s="1" t="s">
        <v>4134</v>
      </c>
      <c r="C1993" s="1" t="s">
        <v>4134</v>
      </c>
      <c r="E1993" s="4" t="s">
        <v>4135</v>
      </c>
      <c r="G1993" s="16"/>
      <c r="M1993">
        <v>1</v>
      </c>
      <c r="N1993">
        <v>6602</v>
      </c>
      <c r="O1993">
        <v>0</v>
      </c>
      <c r="P1993">
        <v>0.01</v>
      </c>
      <c r="Q1993">
        <v>59.42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400017</v>
      </c>
      <c r="X1993" t="s">
        <v>56</v>
      </c>
      <c r="Y1993" t="s">
        <v>57</v>
      </c>
      <c r="AE1993">
        <v>0</v>
      </c>
      <c r="AP1993" t="s">
        <v>49</v>
      </c>
    </row>
    <row r="1994" spans="1:42">
      <c r="A1994" s="1" t="s">
        <v>46</v>
      </c>
      <c r="B1994" s="1" t="s">
        <v>4136</v>
      </c>
      <c r="C1994" s="1" t="s">
        <v>4136</v>
      </c>
      <c r="E1994" s="4" t="s">
        <v>4137</v>
      </c>
      <c r="G1994" s="16"/>
      <c r="M1994">
        <v>1</v>
      </c>
      <c r="N1994">
        <v>14495</v>
      </c>
      <c r="O1994">
        <v>0</v>
      </c>
      <c r="P1994">
        <v>0.01</v>
      </c>
      <c r="Q1994">
        <v>94.22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400017</v>
      </c>
      <c r="X1994" t="s">
        <v>56</v>
      </c>
      <c r="Y1994" t="s">
        <v>57</v>
      </c>
      <c r="AE1994">
        <v>0</v>
      </c>
      <c r="AP1994" t="s">
        <v>49</v>
      </c>
    </row>
    <row r="1995" spans="1:42">
      <c r="A1995" s="1" t="s">
        <v>46</v>
      </c>
      <c r="B1995" s="1" t="s">
        <v>4138</v>
      </c>
      <c r="C1995" s="1" t="s">
        <v>4138</v>
      </c>
      <c r="E1995" s="4" t="s">
        <v>4139</v>
      </c>
      <c r="G1995" s="16"/>
      <c r="M1995">
        <v>1</v>
      </c>
      <c r="N1995">
        <v>919</v>
      </c>
      <c r="O1995">
        <v>0</v>
      </c>
      <c r="P1995">
        <v>0.01</v>
      </c>
      <c r="Q1995">
        <v>6.89</v>
      </c>
      <c r="W1995">
        <v>400017</v>
      </c>
      <c r="AE1995">
        <v>0</v>
      </c>
      <c r="AP1995" t="s">
        <v>49</v>
      </c>
    </row>
    <row r="1996" spans="1:42">
      <c r="A1996" s="1" t="s">
        <v>46</v>
      </c>
      <c r="B1996" s="1" t="s">
        <v>4140</v>
      </c>
      <c r="C1996" s="1" t="s">
        <v>4140</v>
      </c>
      <c r="E1996" s="4" t="s">
        <v>4141</v>
      </c>
      <c r="G1996" s="16"/>
      <c r="M1996">
        <v>1</v>
      </c>
      <c r="N1996">
        <v>30472</v>
      </c>
      <c r="O1996">
        <v>0</v>
      </c>
      <c r="P1996">
        <v>0.01</v>
      </c>
      <c r="Q1996">
        <v>198.07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400017</v>
      </c>
      <c r="X1996" t="s">
        <v>56</v>
      </c>
      <c r="Y1996" t="s">
        <v>57</v>
      </c>
      <c r="AE1996">
        <v>0</v>
      </c>
      <c r="AP1996" t="s">
        <v>49</v>
      </c>
    </row>
    <row r="1997" spans="1:42">
      <c r="A1997" s="1" t="s">
        <v>46</v>
      </c>
      <c r="B1997" s="1" t="s">
        <v>4142</v>
      </c>
      <c r="C1997" s="1" t="s">
        <v>4142</v>
      </c>
      <c r="E1997" s="4" t="s">
        <v>4143</v>
      </c>
      <c r="G1997" s="16"/>
      <c r="M1997">
        <v>1</v>
      </c>
      <c r="N1997">
        <v>1702</v>
      </c>
      <c r="O1997">
        <v>0</v>
      </c>
      <c r="P1997">
        <v>0.01</v>
      </c>
      <c r="Q1997">
        <v>17.02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400017</v>
      </c>
      <c r="X1997" t="s">
        <v>56</v>
      </c>
      <c r="Y1997" t="s">
        <v>57</v>
      </c>
      <c r="AE1997">
        <v>0</v>
      </c>
      <c r="AP1997" t="s">
        <v>49</v>
      </c>
    </row>
    <row r="1998" spans="1:42">
      <c r="A1998" s="1" t="s">
        <v>46</v>
      </c>
      <c r="B1998" s="1" t="s">
        <v>4144</v>
      </c>
      <c r="C1998" s="1" t="s">
        <v>4144</v>
      </c>
      <c r="E1998" s="4" t="s">
        <v>4145</v>
      </c>
      <c r="G1998" s="16"/>
      <c r="M1998">
        <v>1</v>
      </c>
      <c r="N1998">
        <v>1213</v>
      </c>
      <c r="O1998">
        <v>0</v>
      </c>
      <c r="P1998">
        <v>0.02</v>
      </c>
      <c r="Q1998">
        <v>18.2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400017</v>
      </c>
      <c r="X1998" t="s">
        <v>56</v>
      </c>
      <c r="Y1998" t="s">
        <v>57</v>
      </c>
      <c r="AE1998">
        <v>0</v>
      </c>
      <c r="AP1998" t="s">
        <v>49</v>
      </c>
    </row>
    <row r="1999" spans="1:42">
      <c r="A1999" s="1" t="s">
        <v>46</v>
      </c>
      <c r="B1999" s="1" t="s">
        <v>4146</v>
      </c>
      <c r="C1999" s="1" t="s">
        <v>4146</v>
      </c>
      <c r="E1999" s="4" t="s">
        <v>4147</v>
      </c>
      <c r="G1999" s="16"/>
      <c r="M1999">
        <v>1</v>
      </c>
      <c r="N1999">
        <v>440</v>
      </c>
      <c r="O1999">
        <v>0</v>
      </c>
      <c r="P1999">
        <v>0.01</v>
      </c>
      <c r="Q1999">
        <v>6.16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400017</v>
      </c>
      <c r="X1999" t="s">
        <v>56</v>
      </c>
      <c r="Y1999" t="s">
        <v>57</v>
      </c>
      <c r="AE1999">
        <v>0</v>
      </c>
      <c r="AP1999" t="s">
        <v>49</v>
      </c>
    </row>
    <row r="2000" spans="1:42">
      <c r="A2000" s="1" t="s">
        <v>46</v>
      </c>
      <c r="B2000" s="1" t="s">
        <v>4148</v>
      </c>
      <c r="C2000" s="1" t="s">
        <v>4148</v>
      </c>
      <c r="E2000" s="4" t="s">
        <v>4149</v>
      </c>
      <c r="G2000" s="16"/>
      <c r="M2000">
        <v>1</v>
      </c>
      <c r="N2000">
        <v>3044</v>
      </c>
      <c r="O2000">
        <v>0</v>
      </c>
      <c r="P2000">
        <v>0.17</v>
      </c>
      <c r="Q2000">
        <v>506.83</v>
      </c>
      <c r="R2000">
        <v>0</v>
      </c>
      <c r="S2000">
        <v>0</v>
      </c>
      <c r="T2000" t="s">
        <v>52</v>
      </c>
      <c r="W2000">
        <v>400193</v>
      </c>
      <c r="AE2000">
        <v>0</v>
      </c>
      <c r="AP2000" t="s">
        <v>2741</v>
      </c>
    </row>
    <row r="2001" spans="1:42">
      <c r="A2001" s="1" t="s">
        <v>46</v>
      </c>
      <c r="B2001" s="1" t="s">
        <v>4150</v>
      </c>
      <c r="C2001" s="1" t="s">
        <v>4150</v>
      </c>
      <c r="E2001" s="4" t="s">
        <v>4151</v>
      </c>
      <c r="G2001" s="16"/>
      <c r="M2001">
        <v>1</v>
      </c>
      <c r="N2001">
        <v>1950</v>
      </c>
      <c r="O2001">
        <v>0</v>
      </c>
      <c r="P2001">
        <v>0.01</v>
      </c>
      <c r="Q2001">
        <v>11.7</v>
      </c>
      <c r="W2001">
        <v>400017</v>
      </c>
      <c r="AE2001">
        <v>0</v>
      </c>
      <c r="AP2001" t="s">
        <v>49</v>
      </c>
    </row>
    <row r="2002" spans="1:42">
      <c r="A2002" s="1" t="s">
        <v>46</v>
      </c>
      <c r="B2002" s="1" t="s">
        <v>4152</v>
      </c>
      <c r="C2002" s="1" t="s">
        <v>4152</v>
      </c>
      <c r="E2002" s="4" t="s">
        <v>4153</v>
      </c>
      <c r="G2002" s="16"/>
      <c r="M2002">
        <v>1</v>
      </c>
      <c r="N2002">
        <v>3000</v>
      </c>
      <c r="O2002">
        <v>0</v>
      </c>
      <c r="P2002">
        <v>0.01</v>
      </c>
      <c r="Q2002">
        <v>36</v>
      </c>
      <c r="W2002">
        <v>400017</v>
      </c>
      <c r="AE2002">
        <v>0</v>
      </c>
      <c r="AP2002" t="s">
        <v>49</v>
      </c>
    </row>
    <row r="2003" spans="1:42">
      <c r="A2003" s="1" t="s">
        <v>46</v>
      </c>
      <c r="B2003" s="1" t="s">
        <v>4154</v>
      </c>
      <c r="C2003" s="1" t="s">
        <v>4154</v>
      </c>
      <c r="E2003" s="4" t="s">
        <v>4155</v>
      </c>
      <c r="G2003" s="16"/>
      <c r="M2003">
        <v>1</v>
      </c>
      <c r="N2003">
        <v>450</v>
      </c>
      <c r="O2003">
        <v>0</v>
      </c>
      <c r="P2003">
        <v>0.01</v>
      </c>
      <c r="Q2003">
        <v>3.82</v>
      </c>
      <c r="W2003">
        <v>400017</v>
      </c>
      <c r="AE2003">
        <v>0</v>
      </c>
      <c r="AP2003" t="s">
        <v>49</v>
      </c>
    </row>
    <row r="2004" spans="1:42">
      <c r="A2004" s="1" t="s">
        <v>46</v>
      </c>
      <c r="B2004" s="1" t="s">
        <v>4156</v>
      </c>
      <c r="C2004" s="1" t="s">
        <v>4156</v>
      </c>
      <c r="E2004" s="4" t="s">
        <v>4157</v>
      </c>
      <c r="G2004" s="16"/>
      <c r="M2004">
        <v>1</v>
      </c>
      <c r="N2004">
        <v>500</v>
      </c>
      <c r="O2004">
        <v>0</v>
      </c>
      <c r="P2004">
        <v>0.02</v>
      </c>
      <c r="Q2004">
        <v>11.75</v>
      </c>
      <c r="W2004">
        <v>400017</v>
      </c>
      <c r="AE2004">
        <v>0</v>
      </c>
      <c r="AP2004" t="s">
        <v>49</v>
      </c>
    </row>
    <row r="2005" spans="1:42">
      <c r="A2005" s="1" t="s">
        <v>46</v>
      </c>
      <c r="B2005" s="1" t="s">
        <v>4158</v>
      </c>
      <c r="C2005" s="1" t="s">
        <v>4158</v>
      </c>
      <c r="E2005" s="4" t="s">
        <v>4159</v>
      </c>
      <c r="G2005" s="16"/>
      <c r="M2005">
        <v>1</v>
      </c>
      <c r="N2005">
        <v>600</v>
      </c>
      <c r="O2005">
        <v>0</v>
      </c>
      <c r="P2005">
        <v>0.02</v>
      </c>
      <c r="Q2005">
        <v>13.2</v>
      </c>
      <c r="W2005">
        <v>400017</v>
      </c>
      <c r="AE2005">
        <v>0</v>
      </c>
      <c r="AP2005" t="s">
        <v>49</v>
      </c>
    </row>
    <row r="2006" spans="1:42">
      <c r="A2006" s="1" t="s">
        <v>46</v>
      </c>
      <c r="B2006" s="1" t="s">
        <v>4160</v>
      </c>
      <c r="C2006" s="1" t="s">
        <v>4160</v>
      </c>
      <c r="E2006" s="4" t="s">
        <v>4161</v>
      </c>
      <c r="G2006" s="16"/>
      <c r="M2006">
        <v>1</v>
      </c>
      <c r="N2006">
        <v>3000</v>
      </c>
      <c r="O2006">
        <v>0</v>
      </c>
      <c r="P2006" s="2">
        <v>5.0000000000000001E-3</v>
      </c>
      <c r="Q2006">
        <v>15</v>
      </c>
      <c r="R2006">
        <v>0</v>
      </c>
      <c r="S2006">
        <v>0</v>
      </c>
      <c r="T2006">
        <v>0</v>
      </c>
      <c r="W2006">
        <v>400017</v>
      </c>
      <c r="AE2006">
        <v>0</v>
      </c>
      <c r="AP2006" t="s">
        <v>49</v>
      </c>
    </row>
    <row r="2007" spans="1:42">
      <c r="A2007" s="1" t="s">
        <v>46</v>
      </c>
      <c r="B2007" s="1" t="s">
        <v>4162</v>
      </c>
      <c r="C2007" s="1" t="s">
        <v>4162</v>
      </c>
      <c r="E2007" s="4" t="s">
        <v>4163</v>
      </c>
      <c r="G2007" s="16">
        <v>0.5</v>
      </c>
      <c r="M2007">
        <v>1</v>
      </c>
      <c r="N2007">
        <v>-440</v>
      </c>
      <c r="O2007">
        <v>0</v>
      </c>
      <c r="P2007">
        <v>0.01</v>
      </c>
      <c r="Q2007">
        <v>-3.52</v>
      </c>
      <c r="R2007">
        <v>0</v>
      </c>
      <c r="S2007">
        <v>0</v>
      </c>
      <c r="T2007">
        <v>0</v>
      </c>
      <c r="W2007">
        <v>400017</v>
      </c>
      <c r="AE2007">
        <v>0</v>
      </c>
      <c r="AP2007" t="s">
        <v>49</v>
      </c>
    </row>
    <row r="2008" spans="1:42">
      <c r="A2008" s="1" t="s">
        <v>46</v>
      </c>
      <c r="B2008" s="1" t="s">
        <v>4164</v>
      </c>
      <c r="C2008" s="1" t="s">
        <v>4164</v>
      </c>
      <c r="E2008" s="4" t="s">
        <v>4165</v>
      </c>
      <c r="G2008" s="16"/>
      <c r="M2008">
        <v>1</v>
      </c>
      <c r="N2008">
        <v>3750</v>
      </c>
      <c r="O2008">
        <v>0</v>
      </c>
      <c r="P2008" s="2">
        <v>4.4999999999999997E-3</v>
      </c>
      <c r="Q2008">
        <v>16.88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400017</v>
      </c>
      <c r="X2008" t="s">
        <v>56</v>
      </c>
      <c r="Y2008" t="s">
        <v>57</v>
      </c>
      <c r="AE2008">
        <v>0</v>
      </c>
      <c r="AP2008" t="s">
        <v>49</v>
      </c>
    </row>
    <row r="2009" spans="1:42">
      <c r="A2009" s="1" t="s">
        <v>46</v>
      </c>
      <c r="B2009" s="1" t="s">
        <v>4166</v>
      </c>
      <c r="C2009" s="1" t="s">
        <v>4166</v>
      </c>
      <c r="E2009" s="4" t="s">
        <v>4167</v>
      </c>
      <c r="G2009" s="16"/>
      <c r="M2009">
        <v>1</v>
      </c>
      <c r="N2009">
        <v>94</v>
      </c>
      <c r="O2009">
        <v>0</v>
      </c>
      <c r="P2009">
        <v>2.25</v>
      </c>
      <c r="Q2009">
        <v>211.5</v>
      </c>
      <c r="R2009">
        <v>0</v>
      </c>
      <c r="S2009">
        <v>0</v>
      </c>
      <c r="T2009" t="s">
        <v>52</v>
      </c>
      <c r="U2009">
        <v>0</v>
      </c>
      <c r="V2009">
        <v>0</v>
      </c>
      <c r="W2009">
        <v>400017</v>
      </c>
      <c r="X2009" t="s">
        <v>56</v>
      </c>
      <c r="Y2009" t="s">
        <v>57</v>
      </c>
      <c r="AE2009">
        <v>0</v>
      </c>
      <c r="AP2009" t="s">
        <v>49</v>
      </c>
    </row>
    <row r="2010" spans="1:42">
      <c r="A2010" s="1" t="s">
        <v>46</v>
      </c>
      <c r="B2010" s="1" t="s">
        <v>4168</v>
      </c>
      <c r="C2010" s="1" t="s">
        <v>4168</v>
      </c>
      <c r="E2010" s="4" t="s">
        <v>4169</v>
      </c>
      <c r="G2010" s="16"/>
      <c r="M2010">
        <v>1</v>
      </c>
      <c r="N2010">
        <v>12676</v>
      </c>
      <c r="O2010">
        <v>0</v>
      </c>
      <c r="P2010">
        <v>0.01</v>
      </c>
      <c r="Q2010">
        <v>82.39</v>
      </c>
      <c r="R2010">
        <v>0</v>
      </c>
      <c r="S2010">
        <v>0</v>
      </c>
      <c r="T2010" t="s">
        <v>52</v>
      </c>
      <c r="W2010">
        <v>400017</v>
      </c>
      <c r="AE2010">
        <v>0</v>
      </c>
      <c r="AP2010" t="s">
        <v>49</v>
      </c>
    </row>
    <row r="2011" spans="1:42">
      <c r="A2011" s="1" t="s">
        <v>46</v>
      </c>
      <c r="B2011" s="1" t="s">
        <v>4170</v>
      </c>
      <c r="C2011" s="1" t="s">
        <v>4170</v>
      </c>
      <c r="E2011" s="4" t="s">
        <v>4171</v>
      </c>
      <c r="G2011" s="16"/>
      <c r="M2011">
        <v>1</v>
      </c>
      <c r="N2011">
        <v>2000</v>
      </c>
      <c r="O2011">
        <v>0</v>
      </c>
      <c r="P2011">
        <v>0.01</v>
      </c>
      <c r="Q2011">
        <v>14.5</v>
      </c>
      <c r="R2011">
        <v>0</v>
      </c>
      <c r="S2011">
        <v>0</v>
      </c>
      <c r="T2011" t="s">
        <v>52</v>
      </c>
      <c r="W2011">
        <v>400017</v>
      </c>
      <c r="AE2011">
        <v>0</v>
      </c>
      <c r="AP2011" t="s">
        <v>49</v>
      </c>
    </row>
    <row r="2012" spans="1:42">
      <c r="A2012" s="1" t="s">
        <v>46</v>
      </c>
      <c r="B2012" s="1" t="s">
        <v>4172</v>
      </c>
      <c r="C2012" s="1" t="s">
        <v>4172</v>
      </c>
      <c r="E2012" s="4" t="s">
        <v>4173</v>
      </c>
      <c r="G2012" s="16"/>
      <c r="M2012">
        <v>1</v>
      </c>
      <c r="N2012">
        <v>3290</v>
      </c>
      <c r="O2012">
        <v>0</v>
      </c>
      <c r="P2012">
        <v>1.5</v>
      </c>
      <c r="Q2012">
        <v>4935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400154</v>
      </c>
      <c r="X2012" t="s">
        <v>56</v>
      </c>
      <c r="Y2012" t="s">
        <v>57</v>
      </c>
      <c r="AE2012">
        <v>0</v>
      </c>
      <c r="AP2012" t="s">
        <v>98</v>
      </c>
    </row>
    <row r="2013" spans="1:42">
      <c r="A2013" s="1" t="s">
        <v>46</v>
      </c>
      <c r="B2013" s="1" t="s">
        <v>4174</v>
      </c>
      <c r="C2013" s="1" t="s">
        <v>4174</v>
      </c>
      <c r="E2013" s="4" t="s">
        <v>4175</v>
      </c>
      <c r="G2013" s="16">
        <v>0.75</v>
      </c>
      <c r="M2013">
        <v>1</v>
      </c>
      <c r="N2013">
        <v>2510</v>
      </c>
      <c r="O2013">
        <v>0</v>
      </c>
      <c r="P2013">
        <v>1.8</v>
      </c>
      <c r="Q2013">
        <v>4518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400154</v>
      </c>
      <c r="X2013" t="s">
        <v>56</v>
      </c>
      <c r="Y2013" t="s">
        <v>57</v>
      </c>
      <c r="AE2013">
        <v>0</v>
      </c>
      <c r="AP2013" t="s">
        <v>98</v>
      </c>
    </row>
    <row r="2014" spans="1:42">
      <c r="A2014" s="1" t="s">
        <v>46</v>
      </c>
      <c r="B2014" s="1" t="s">
        <v>4176</v>
      </c>
      <c r="C2014" s="1" t="s">
        <v>4176</v>
      </c>
      <c r="E2014" s="4" t="s">
        <v>4177</v>
      </c>
      <c r="G2014" s="16"/>
      <c r="M2014">
        <v>1</v>
      </c>
      <c r="N2014">
        <v>14</v>
      </c>
      <c r="O2014">
        <v>0</v>
      </c>
      <c r="P2014">
        <v>1.45</v>
      </c>
      <c r="Q2014">
        <v>20.29</v>
      </c>
      <c r="R2014">
        <v>0</v>
      </c>
      <c r="S2014">
        <v>0</v>
      </c>
      <c r="T2014" t="s">
        <v>17</v>
      </c>
      <c r="U2014">
        <v>0</v>
      </c>
      <c r="V2014">
        <v>0</v>
      </c>
      <c r="W2014">
        <v>400013</v>
      </c>
      <c r="AE2014">
        <v>0</v>
      </c>
      <c r="AP2014" t="s">
        <v>232</v>
      </c>
    </row>
    <row r="2015" spans="1:42">
      <c r="A2015" s="1" t="s">
        <v>46</v>
      </c>
      <c r="B2015" s="1" t="s">
        <v>4178</v>
      </c>
      <c r="C2015" s="1" t="s">
        <v>4178</v>
      </c>
      <c r="E2015" s="4" t="s">
        <v>4179</v>
      </c>
      <c r="G2015" s="16"/>
      <c r="M2015">
        <v>1</v>
      </c>
      <c r="N2015">
        <v>-24</v>
      </c>
      <c r="O2015">
        <v>0</v>
      </c>
      <c r="P2015">
        <v>0.06</v>
      </c>
      <c r="Q2015">
        <v>-1.44</v>
      </c>
      <c r="W2015">
        <v>400017</v>
      </c>
      <c r="AE2015">
        <v>0</v>
      </c>
      <c r="AP2015" t="s">
        <v>49</v>
      </c>
    </row>
    <row r="2016" spans="1:42">
      <c r="A2016" s="1" t="s">
        <v>46</v>
      </c>
      <c r="B2016" s="1" t="s">
        <v>4180</v>
      </c>
      <c r="C2016" s="1" t="s">
        <v>4180</v>
      </c>
      <c r="E2016" s="4" t="s">
        <v>4181</v>
      </c>
      <c r="G2016" s="16">
        <v>0.75</v>
      </c>
      <c r="M2016">
        <v>1</v>
      </c>
      <c r="N2016">
        <v>300</v>
      </c>
      <c r="O2016">
        <v>0</v>
      </c>
      <c r="P2016">
        <v>0.05</v>
      </c>
      <c r="Q2016">
        <v>15</v>
      </c>
      <c r="W2016">
        <v>400017</v>
      </c>
      <c r="AE2016">
        <v>0</v>
      </c>
      <c r="AP2016" t="s">
        <v>49</v>
      </c>
    </row>
    <row r="2017" spans="1:42">
      <c r="A2017" s="1" t="s">
        <v>46</v>
      </c>
      <c r="B2017" s="1" t="s">
        <v>4182</v>
      </c>
      <c r="C2017" s="1" t="s">
        <v>4182</v>
      </c>
      <c r="E2017" s="4" t="s">
        <v>4183</v>
      </c>
      <c r="G2017" s="16">
        <v>0.65</v>
      </c>
      <c r="M2017">
        <v>1</v>
      </c>
      <c r="N2017">
        <v>1140</v>
      </c>
      <c r="O2017">
        <v>0</v>
      </c>
      <c r="P2017">
        <v>0.03</v>
      </c>
      <c r="Q2017">
        <v>31.35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400017</v>
      </c>
      <c r="X2017" t="s">
        <v>56</v>
      </c>
      <c r="Y2017" t="s">
        <v>57</v>
      </c>
      <c r="AE2017">
        <v>0</v>
      </c>
      <c r="AP2017" t="s">
        <v>49</v>
      </c>
    </row>
    <row r="2018" spans="1:42">
      <c r="A2018" s="1" t="s">
        <v>46</v>
      </c>
      <c r="B2018" s="1" t="s">
        <v>4184</v>
      </c>
      <c r="C2018" s="1" t="s">
        <v>4184</v>
      </c>
      <c r="E2018" s="4" t="s">
        <v>4185</v>
      </c>
      <c r="G2018" s="16"/>
      <c r="M2018">
        <v>1</v>
      </c>
      <c r="N2018">
        <v>377</v>
      </c>
      <c r="O2018">
        <v>0</v>
      </c>
      <c r="P2018">
        <v>0.1</v>
      </c>
      <c r="Q2018">
        <v>36.76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400017</v>
      </c>
      <c r="AE2018">
        <v>0</v>
      </c>
      <c r="AP2018" t="s">
        <v>49</v>
      </c>
    </row>
    <row r="2019" spans="1:42">
      <c r="A2019" s="1" t="s">
        <v>46</v>
      </c>
      <c r="B2019" s="1" t="s">
        <v>4186</v>
      </c>
      <c r="C2019" s="1" t="s">
        <v>4186</v>
      </c>
      <c r="E2019" s="4" t="s">
        <v>4187</v>
      </c>
      <c r="G2019" s="16"/>
      <c r="M2019">
        <v>1</v>
      </c>
      <c r="N2019">
        <v>1633</v>
      </c>
      <c r="O2019">
        <v>0</v>
      </c>
      <c r="P2019">
        <v>0.05</v>
      </c>
      <c r="Q2019">
        <v>77.53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400017</v>
      </c>
      <c r="X2019" t="s">
        <v>56</v>
      </c>
      <c r="Y2019" t="s">
        <v>57</v>
      </c>
      <c r="AE2019">
        <v>0</v>
      </c>
      <c r="AP2019" t="s">
        <v>49</v>
      </c>
    </row>
    <row r="2020" spans="1:42">
      <c r="A2020" s="1" t="s">
        <v>46</v>
      </c>
      <c r="B2020" s="1" t="s">
        <v>4188</v>
      </c>
      <c r="C2020" s="1" t="s">
        <v>4188</v>
      </c>
      <c r="E2020" s="4" t="s">
        <v>4189</v>
      </c>
      <c r="G2020" s="16"/>
      <c r="M2020">
        <v>1</v>
      </c>
      <c r="N2020">
        <v>290</v>
      </c>
      <c r="O2020">
        <v>0</v>
      </c>
      <c r="P2020">
        <v>9</v>
      </c>
      <c r="Q2020">
        <v>2610</v>
      </c>
      <c r="W2020">
        <v>400017</v>
      </c>
      <c r="AE2020">
        <v>0</v>
      </c>
      <c r="AP2020" t="s">
        <v>49</v>
      </c>
    </row>
    <row r="2021" spans="1:42">
      <c r="A2021" s="1" t="s">
        <v>46</v>
      </c>
      <c r="B2021" s="1" t="s">
        <v>4190</v>
      </c>
      <c r="C2021" s="1" t="s">
        <v>4190</v>
      </c>
      <c r="E2021" s="4" t="s">
        <v>4191</v>
      </c>
      <c r="G2021" s="16"/>
      <c r="M2021">
        <v>1</v>
      </c>
      <c r="N2021">
        <v>2</v>
      </c>
      <c r="O2021">
        <v>0</v>
      </c>
      <c r="P2021">
        <v>25</v>
      </c>
      <c r="Q2021">
        <v>50</v>
      </c>
      <c r="R2021">
        <v>0</v>
      </c>
      <c r="S2021">
        <v>0</v>
      </c>
      <c r="T2021" t="s">
        <v>52</v>
      </c>
      <c r="W2021">
        <v>410302</v>
      </c>
      <c r="AE2021">
        <v>0</v>
      </c>
      <c r="AP2021" t="s">
        <v>177</v>
      </c>
    </row>
    <row r="2022" spans="1:42">
      <c r="E2022" s="4" t="s">
        <v>4192</v>
      </c>
      <c r="G2022" s="16"/>
    </row>
    <row r="2023" spans="1:42">
      <c r="E2023" s="4" t="s">
        <v>4193</v>
      </c>
      <c r="G2023" s="16"/>
    </row>
    <row r="2024" spans="1:42">
      <c r="E2024" s="4" t="s">
        <v>4194</v>
      </c>
      <c r="G2024" s="16"/>
    </row>
    <row r="2025" spans="1:42">
      <c r="A2025" s="1" t="s">
        <v>46</v>
      </c>
      <c r="B2025" s="1" t="s">
        <v>4195</v>
      </c>
      <c r="C2025" s="1" t="s">
        <v>4195</v>
      </c>
      <c r="E2025" s="4" t="s">
        <v>4196</v>
      </c>
      <c r="G2025" s="16"/>
      <c r="M2025">
        <v>1</v>
      </c>
      <c r="N2025">
        <v>1530</v>
      </c>
      <c r="O2025">
        <v>0</v>
      </c>
      <c r="P2025">
        <v>0.02</v>
      </c>
      <c r="Q2025">
        <v>38.25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400017</v>
      </c>
      <c r="X2025" t="s">
        <v>56</v>
      </c>
      <c r="Y2025" t="s">
        <v>57</v>
      </c>
      <c r="AE2025">
        <v>0</v>
      </c>
      <c r="AP2025" t="s">
        <v>49</v>
      </c>
    </row>
    <row r="2026" spans="1:42">
      <c r="A2026" s="1" t="s">
        <v>46</v>
      </c>
      <c r="B2026" s="1" t="s">
        <v>4197</v>
      </c>
      <c r="C2026" s="1" t="s">
        <v>4197</v>
      </c>
      <c r="E2026" s="4" t="s">
        <v>4198</v>
      </c>
      <c r="G2026" s="16"/>
      <c r="M2026">
        <v>1</v>
      </c>
      <c r="N2026">
        <v>20</v>
      </c>
      <c r="O2026">
        <v>0</v>
      </c>
      <c r="P2026">
        <v>14</v>
      </c>
      <c r="Q2026">
        <v>280</v>
      </c>
      <c r="R2026">
        <v>0</v>
      </c>
      <c r="S2026">
        <v>0</v>
      </c>
      <c r="T2026" t="s">
        <v>52</v>
      </c>
      <c r="U2026">
        <v>0</v>
      </c>
      <c r="V2026">
        <v>0</v>
      </c>
      <c r="W2026">
        <v>400032</v>
      </c>
      <c r="X2026" t="s">
        <v>56</v>
      </c>
      <c r="Y2026" t="s">
        <v>57</v>
      </c>
      <c r="AE2026">
        <v>0</v>
      </c>
      <c r="AP2026" t="s">
        <v>404</v>
      </c>
    </row>
    <row r="2027" spans="1:42">
      <c r="A2027" s="1" t="s">
        <v>46</v>
      </c>
      <c r="B2027" s="1" t="s">
        <v>4199</v>
      </c>
      <c r="C2027" s="1" t="s">
        <v>4199</v>
      </c>
      <c r="E2027" s="4" t="s">
        <v>4200</v>
      </c>
      <c r="G2027" s="16"/>
      <c r="M2027">
        <v>1</v>
      </c>
      <c r="N2027">
        <v>56</v>
      </c>
      <c r="O2027">
        <v>0</v>
      </c>
      <c r="P2027">
        <v>18</v>
      </c>
      <c r="Q2027">
        <v>1008</v>
      </c>
      <c r="R2027">
        <v>0</v>
      </c>
      <c r="S2027">
        <v>0</v>
      </c>
      <c r="T2027" t="s">
        <v>52</v>
      </c>
      <c r="U2027">
        <v>0</v>
      </c>
      <c r="V2027">
        <v>0</v>
      </c>
      <c r="W2027">
        <v>400032</v>
      </c>
      <c r="X2027" t="s">
        <v>56</v>
      </c>
      <c r="Y2027" t="s">
        <v>57</v>
      </c>
      <c r="AE2027">
        <v>0</v>
      </c>
      <c r="AP2027" t="s">
        <v>404</v>
      </c>
    </row>
    <row r="2028" spans="1:42">
      <c r="A2028" s="1" t="s">
        <v>46</v>
      </c>
      <c r="B2028" s="1" t="s">
        <v>4201</v>
      </c>
      <c r="C2028" s="1" t="s">
        <v>4201</v>
      </c>
      <c r="E2028" s="4" t="s">
        <v>4202</v>
      </c>
      <c r="G2028" s="16"/>
      <c r="M2028">
        <v>1</v>
      </c>
      <c r="N2028">
        <v>31</v>
      </c>
      <c r="O2028">
        <v>0</v>
      </c>
      <c r="P2028">
        <v>14</v>
      </c>
      <c r="Q2028">
        <v>434</v>
      </c>
      <c r="R2028">
        <v>0</v>
      </c>
      <c r="S2028">
        <v>0</v>
      </c>
      <c r="T2028" t="s">
        <v>52</v>
      </c>
      <c r="U2028">
        <v>0</v>
      </c>
      <c r="V2028">
        <v>0</v>
      </c>
      <c r="W2028">
        <v>400137</v>
      </c>
      <c r="X2028" t="s">
        <v>4203</v>
      </c>
      <c r="Y2028" t="s">
        <v>57</v>
      </c>
      <c r="AE2028">
        <v>0</v>
      </c>
      <c r="AP2028" t="s">
        <v>537</v>
      </c>
    </row>
    <row r="2029" spans="1:42">
      <c r="E2029" s="4" t="s">
        <v>4204</v>
      </c>
      <c r="G2029" s="16"/>
    </row>
    <row r="2030" spans="1:42">
      <c r="E2030" s="4" t="s">
        <v>4205</v>
      </c>
      <c r="G2030" s="16"/>
    </row>
    <row r="2031" spans="1:42">
      <c r="E2031" s="4" t="s">
        <v>4206</v>
      </c>
      <c r="G2031" s="16"/>
    </row>
    <row r="2032" spans="1:42">
      <c r="E2032" s="4" t="s">
        <v>4207</v>
      </c>
      <c r="G2032" s="16"/>
    </row>
    <row r="2033" spans="1:42">
      <c r="E2033" s="4" t="s">
        <v>4208</v>
      </c>
      <c r="G2033" s="16"/>
    </row>
    <row r="2034" spans="1:42">
      <c r="E2034" s="4" t="s">
        <v>4209</v>
      </c>
      <c r="G2034" s="16"/>
    </row>
    <row r="2035" spans="1:42">
      <c r="E2035" s="4" t="s">
        <v>4210</v>
      </c>
      <c r="G2035" s="16"/>
    </row>
    <row r="2036" spans="1:42">
      <c r="E2036" s="4" t="s">
        <v>4211</v>
      </c>
      <c r="G2036" s="16"/>
    </row>
    <row r="2037" spans="1:42">
      <c r="E2037" s="4" t="s">
        <v>4212</v>
      </c>
      <c r="G2037" s="16"/>
    </row>
    <row r="2038" spans="1:42">
      <c r="E2038" s="4" t="s">
        <v>4213</v>
      </c>
      <c r="G2038" s="16"/>
    </row>
    <row r="2039" spans="1:42">
      <c r="E2039" s="4" t="s">
        <v>4214</v>
      </c>
      <c r="G2039" s="16"/>
    </row>
    <row r="2040" spans="1:42">
      <c r="E2040" s="4" t="s">
        <v>4215</v>
      </c>
      <c r="G2040" s="16"/>
    </row>
    <row r="2041" spans="1:42">
      <c r="E2041" s="4" t="s">
        <v>4216</v>
      </c>
      <c r="G2041" s="16"/>
    </row>
    <row r="2042" spans="1:42">
      <c r="A2042" s="1" t="s">
        <v>46</v>
      </c>
      <c r="B2042" s="1" t="s">
        <v>4217</v>
      </c>
      <c r="C2042" s="1" t="s">
        <v>4217</v>
      </c>
      <c r="E2042" s="4" t="s">
        <v>4218</v>
      </c>
      <c r="G2042" s="16"/>
      <c r="M2042">
        <v>1</v>
      </c>
      <c r="N2042">
        <v>1</v>
      </c>
      <c r="O2042">
        <v>0</v>
      </c>
      <c r="P2042">
        <v>7</v>
      </c>
      <c r="Q2042">
        <v>7</v>
      </c>
      <c r="R2042">
        <v>0</v>
      </c>
      <c r="S2042">
        <v>0</v>
      </c>
      <c r="T2042" t="s">
        <v>17</v>
      </c>
      <c r="U2042">
        <v>0</v>
      </c>
      <c r="V2042">
        <v>0</v>
      </c>
      <c r="W2042">
        <v>400111</v>
      </c>
      <c r="AE2042">
        <v>0</v>
      </c>
      <c r="AP2042" t="s">
        <v>646</v>
      </c>
    </row>
    <row r="2043" spans="1:42">
      <c r="A2043" s="1" t="s">
        <v>46</v>
      </c>
      <c r="B2043" s="1" t="s">
        <v>4219</v>
      </c>
      <c r="C2043" s="1" t="s">
        <v>4219</v>
      </c>
      <c r="E2043" s="4" t="s">
        <v>4220</v>
      </c>
      <c r="G2043" s="16"/>
      <c r="M2043">
        <v>1</v>
      </c>
      <c r="N2043">
        <v>429</v>
      </c>
      <c r="O2043">
        <v>0</v>
      </c>
      <c r="P2043">
        <v>0.38</v>
      </c>
      <c r="Q2043">
        <v>161.30000000000001</v>
      </c>
      <c r="R2043">
        <v>0</v>
      </c>
      <c r="S2043">
        <v>0</v>
      </c>
      <c r="T2043" t="s">
        <v>52</v>
      </c>
      <c r="W2043">
        <v>400158</v>
      </c>
      <c r="AE2043">
        <v>0</v>
      </c>
      <c r="AP2043" t="s">
        <v>61</v>
      </c>
    </row>
    <row r="2044" spans="1:42">
      <c r="A2044" s="1" t="s">
        <v>46</v>
      </c>
      <c r="B2044" s="1" t="s">
        <v>4221</v>
      </c>
      <c r="C2044" s="1" t="s">
        <v>4221</v>
      </c>
      <c r="E2044" s="4" t="s">
        <v>4222</v>
      </c>
      <c r="G2044" s="16"/>
      <c r="M2044">
        <v>1</v>
      </c>
      <c r="N2044">
        <v>499</v>
      </c>
      <c r="O2044">
        <v>0</v>
      </c>
      <c r="P2044">
        <v>1</v>
      </c>
      <c r="Q2044">
        <v>499</v>
      </c>
      <c r="T2044" t="s">
        <v>52</v>
      </c>
      <c r="W2044">
        <v>400002</v>
      </c>
      <c r="AE2044">
        <v>0</v>
      </c>
      <c r="AP2044" t="s">
        <v>116</v>
      </c>
    </row>
    <row r="2045" spans="1:42">
      <c r="A2045" s="1" t="s">
        <v>46</v>
      </c>
      <c r="B2045" s="1" t="s">
        <v>4223</v>
      </c>
      <c r="C2045" s="1" t="s">
        <v>4223</v>
      </c>
      <c r="E2045" s="4" t="s">
        <v>4224</v>
      </c>
      <c r="G2045" s="16"/>
      <c r="M2045">
        <v>1</v>
      </c>
      <c r="N2045">
        <v>-105</v>
      </c>
      <c r="O2045">
        <v>0</v>
      </c>
      <c r="P2045">
        <v>175</v>
      </c>
      <c r="Q2045">
        <v>-18375</v>
      </c>
      <c r="W2045">
        <v>400121</v>
      </c>
      <c r="AE2045">
        <v>0</v>
      </c>
      <c r="AP2045" t="s">
        <v>123</v>
      </c>
    </row>
    <row r="2046" spans="1:42">
      <c r="A2046" s="1" t="s">
        <v>46</v>
      </c>
      <c r="B2046" s="1" t="s">
        <v>4225</v>
      </c>
      <c r="C2046" s="1" t="s">
        <v>4225</v>
      </c>
      <c r="E2046" s="4" t="s">
        <v>4226</v>
      </c>
      <c r="G2046" s="16"/>
      <c r="M2046">
        <v>1</v>
      </c>
      <c r="N2046">
        <v>1</v>
      </c>
      <c r="O2046">
        <v>0</v>
      </c>
      <c r="P2046">
        <v>77.7</v>
      </c>
      <c r="Q2046">
        <v>77.7</v>
      </c>
      <c r="R2046">
        <v>0</v>
      </c>
      <c r="S2046">
        <v>0</v>
      </c>
      <c r="T2046">
        <v>0</v>
      </c>
      <c r="W2046">
        <v>400120</v>
      </c>
      <c r="AE2046">
        <v>0</v>
      </c>
      <c r="AF2046">
        <v>77.7</v>
      </c>
      <c r="AP2046" t="s">
        <v>468</v>
      </c>
    </row>
    <row r="2047" spans="1:42">
      <c r="E2047" s="4" t="s">
        <v>4227</v>
      </c>
      <c r="G2047" s="16"/>
    </row>
    <row r="2048" spans="1:42">
      <c r="E2048" s="4" t="s">
        <v>4228</v>
      </c>
      <c r="G2048" s="16"/>
    </row>
    <row r="2049" spans="1:42">
      <c r="E2049" s="4" t="s">
        <v>4229</v>
      </c>
      <c r="G2049" s="16"/>
    </row>
    <row r="2050" spans="1:42">
      <c r="E2050" s="4" t="s">
        <v>4230</v>
      </c>
      <c r="G2050" s="16"/>
    </row>
    <row r="2051" spans="1:42">
      <c r="E2051" s="4" t="s">
        <v>4231</v>
      </c>
      <c r="G2051" s="16">
        <v>1.5</v>
      </c>
    </row>
    <row r="2052" spans="1:42">
      <c r="E2052" s="4" t="s">
        <v>4232</v>
      </c>
      <c r="G2052" s="16"/>
    </row>
    <row r="2053" spans="1:42">
      <c r="A2053" s="1" t="s">
        <v>46</v>
      </c>
      <c r="B2053" s="1" t="s">
        <v>4233</v>
      </c>
      <c r="C2053" s="1" t="s">
        <v>4233</v>
      </c>
      <c r="E2053" s="4" t="s">
        <v>4234</v>
      </c>
      <c r="G2053" s="16">
        <v>1.35</v>
      </c>
      <c r="M2053">
        <v>1</v>
      </c>
      <c r="N2053">
        <v>-1</v>
      </c>
      <c r="O2053">
        <v>0</v>
      </c>
      <c r="P2053">
        <v>18</v>
      </c>
      <c r="Q2053">
        <v>-18</v>
      </c>
      <c r="T2053" t="s">
        <v>52</v>
      </c>
      <c r="W2053">
        <v>400017</v>
      </c>
      <c r="AE2053">
        <v>0</v>
      </c>
      <c r="AP2053" t="s">
        <v>49</v>
      </c>
    </row>
    <row r="2054" spans="1:42">
      <c r="A2054" s="1" t="s">
        <v>46</v>
      </c>
      <c r="B2054" s="1" t="s">
        <v>4235</v>
      </c>
      <c r="C2054" s="1" t="s">
        <v>4235</v>
      </c>
      <c r="E2054" s="4" t="s">
        <v>4236</v>
      </c>
      <c r="G2054" s="16"/>
      <c r="M2054">
        <v>1</v>
      </c>
      <c r="N2054">
        <v>6446.32</v>
      </c>
      <c r="O2054">
        <v>0</v>
      </c>
      <c r="P2054">
        <v>9.44</v>
      </c>
      <c r="Q2054">
        <v>60853.31</v>
      </c>
      <c r="R2054">
        <v>0</v>
      </c>
      <c r="S2054">
        <v>0</v>
      </c>
      <c r="T2054" t="s">
        <v>3335</v>
      </c>
      <c r="U2054">
        <v>0</v>
      </c>
      <c r="V2054">
        <v>0</v>
      </c>
      <c r="W2054">
        <v>400217</v>
      </c>
      <c r="X2054" t="s">
        <v>56</v>
      </c>
      <c r="Y2054" t="s">
        <v>57</v>
      </c>
      <c r="AE2054">
        <v>0</v>
      </c>
      <c r="AP2054" t="s">
        <v>2762</v>
      </c>
    </row>
    <row r="2055" spans="1:42">
      <c r="A2055" s="1" t="s">
        <v>46</v>
      </c>
      <c r="B2055" s="1" t="s">
        <v>4237</v>
      </c>
      <c r="C2055" s="1" t="s">
        <v>4237</v>
      </c>
      <c r="E2055" s="4" t="s">
        <v>4238</v>
      </c>
      <c r="G2055" s="16">
        <v>0.75</v>
      </c>
      <c r="M2055">
        <v>1</v>
      </c>
      <c r="N2055">
        <v>511</v>
      </c>
      <c r="O2055">
        <v>0</v>
      </c>
      <c r="P2055">
        <v>1.2</v>
      </c>
      <c r="Q2055">
        <v>613.20000000000005</v>
      </c>
      <c r="R2055">
        <v>0</v>
      </c>
      <c r="S2055">
        <v>0</v>
      </c>
      <c r="T2055" t="s">
        <v>52</v>
      </c>
      <c r="U2055" t="s">
        <v>52</v>
      </c>
      <c r="V2055">
        <v>0</v>
      </c>
      <c r="W2055">
        <v>400158</v>
      </c>
      <c r="X2055" t="s">
        <v>56</v>
      </c>
      <c r="Y2055" t="s">
        <v>57</v>
      </c>
      <c r="AE2055">
        <v>0</v>
      </c>
      <c r="AP2055" t="s">
        <v>61</v>
      </c>
    </row>
    <row r="2056" spans="1:42">
      <c r="A2056" s="1" t="s">
        <v>46</v>
      </c>
      <c r="B2056" s="1" t="s">
        <v>4239</v>
      </c>
      <c r="C2056" s="1" t="s">
        <v>4239</v>
      </c>
      <c r="E2056" s="4" t="s">
        <v>4240</v>
      </c>
      <c r="G2056" s="16"/>
      <c r="M2056">
        <v>1</v>
      </c>
      <c r="N2056">
        <v>6</v>
      </c>
      <c r="O2056">
        <v>0</v>
      </c>
      <c r="P2056">
        <v>2.25</v>
      </c>
      <c r="Q2056">
        <v>13.5</v>
      </c>
      <c r="R2056">
        <v>0</v>
      </c>
      <c r="S2056">
        <v>0</v>
      </c>
      <c r="T2056" t="s">
        <v>52</v>
      </c>
      <c r="W2056">
        <v>400017</v>
      </c>
      <c r="AE2056">
        <v>0</v>
      </c>
      <c r="AP2056" t="s">
        <v>49</v>
      </c>
    </row>
    <row r="2057" spans="1:42">
      <c r="A2057" s="1" t="s">
        <v>46</v>
      </c>
      <c r="B2057" s="1" t="s">
        <v>4241</v>
      </c>
      <c r="C2057" s="1" t="s">
        <v>4241</v>
      </c>
      <c r="E2057" s="4" t="s">
        <v>4242</v>
      </c>
      <c r="G2057" s="16">
        <v>0.5</v>
      </c>
      <c r="M2057">
        <v>1</v>
      </c>
      <c r="N2057">
        <v>-2</v>
      </c>
      <c r="O2057">
        <v>0</v>
      </c>
      <c r="AE2057">
        <v>0</v>
      </c>
    </row>
    <row r="2058" spans="1:42">
      <c r="A2058" s="1" t="s">
        <v>46</v>
      </c>
      <c r="B2058" s="1" t="s">
        <v>4243</v>
      </c>
      <c r="C2058" s="1" t="s">
        <v>4243</v>
      </c>
      <c r="E2058" s="4" t="s">
        <v>4244</v>
      </c>
      <c r="G2058" s="16"/>
      <c r="M2058">
        <v>1</v>
      </c>
      <c r="N2058">
        <v>289</v>
      </c>
      <c r="O2058">
        <v>0</v>
      </c>
      <c r="P2058">
        <v>2</v>
      </c>
      <c r="Q2058">
        <v>578</v>
      </c>
      <c r="R2058">
        <v>0</v>
      </c>
      <c r="S2058">
        <v>0</v>
      </c>
      <c r="T2058" t="s">
        <v>52</v>
      </c>
      <c r="U2058">
        <v>0</v>
      </c>
      <c r="V2058">
        <v>0</v>
      </c>
      <c r="W2058">
        <v>400158</v>
      </c>
      <c r="X2058" t="s">
        <v>56</v>
      </c>
      <c r="Y2058" t="s">
        <v>57</v>
      </c>
      <c r="AE2058">
        <v>0</v>
      </c>
      <c r="AP2058" t="s">
        <v>61</v>
      </c>
    </row>
    <row r="2059" spans="1:42">
      <c r="E2059" s="4" t="s">
        <v>4245</v>
      </c>
      <c r="G2059" s="16"/>
    </row>
    <row r="2060" spans="1:42">
      <c r="E2060" s="4" t="s">
        <v>4246</v>
      </c>
      <c r="G2060" s="16">
        <v>2.5</v>
      </c>
    </row>
    <row r="2061" spans="1:42">
      <c r="E2061" s="4" t="s">
        <v>4247</v>
      </c>
      <c r="G2061" s="16"/>
    </row>
    <row r="2062" spans="1:42">
      <c r="E2062" s="4" t="s">
        <v>4248</v>
      </c>
      <c r="G2062" s="16"/>
    </row>
    <row r="2063" spans="1:42">
      <c r="A2063" s="1" t="s">
        <v>46</v>
      </c>
      <c r="B2063" s="1" t="s">
        <v>4249</v>
      </c>
      <c r="C2063" s="1" t="s">
        <v>4249</v>
      </c>
      <c r="E2063" s="4" t="s">
        <v>4250</v>
      </c>
      <c r="G2063" s="16"/>
      <c r="M2063">
        <v>1</v>
      </c>
      <c r="N2063">
        <v>450</v>
      </c>
      <c r="O2063">
        <v>0</v>
      </c>
      <c r="P2063">
        <v>1.75</v>
      </c>
      <c r="Q2063">
        <v>787.5</v>
      </c>
      <c r="R2063">
        <v>0</v>
      </c>
      <c r="S2063">
        <v>0</v>
      </c>
      <c r="T2063" t="s">
        <v>52</v>
      </c>
      <c r="U2063">
        <v>0</v>
      </c>
      <c r="V2063">
        <v>0</v>
      </c>
      <c r="W2063">
        <v>400091</v>
      </c>
      <c r="X2063" t="s">
        <v>4203</v>
      </c>
      <c r="Y2063" t="s">
        <v>57</v>
      </c>
      <c r="AE2063">
        <v>0</v>
      </c>
      <c r="AP2063" t="s">
        <v>3931</v>
      </c>
    </row>
    <row r="2064" spans="1:42">
      <c r="A2064" s="1" t="s">
        <v>46</v>
      </c>
      <c r="B2064" s="1" t="s">
        <v>4251</v>
      </c>
      <c r="C2064" s="1" t="s">
        <v>4251</v>
      </c>
      <c r="E2064" s="4" t="s">
        <v>4252</v>
      </c>
      <c r="G2064" s="16">
        <v>0.65</v>
      </c>
      <c r="M2064">
        <v>1</v>
      </c>
      <c r="N2064">
        <v>39</v>
      </c>
      <c r="O2064">
        <v>0</v>
      </c>
      <c r="P2064">
        <v>1.25</v>
      </c>
      <c r="Q2064">
        <v>48.75</v>
      </c>
      <c r="R2064">
        <v>0</v>
      </c>
      <c r="S2064">
        <v>0</v>
      </c>
      <c r="T2064" t="s">
        <v>52</v>
      </c>
      <c r="W2064">
        <v>400139</v>
      </c>
      <c r="AE2064">
        <v>0</v>
      </c>
      <c r="AP2064" t="s">
        <v>1233</v>
      </c>
    </row>
    <row r="2065" spans="1:42">
      <c r="A2065" s="1" t="s">
        <v>46</v>
      </c>
      <c r="B2065" s="1" t="s">
        <v>4253</v>
      </c>
      <c r="C2065" s="1" t="s">
        <v>4253</v>
      </c>
      <c r="E2065" s="4" t="s">
        <v>4254</v>
      </c>
      <c r="G2065" s="16"/>
      <c r="M2065">
        <v>1</v>
      </c>
      <c r="N2065">
        <v>-2</v>
      </c>
      <c r="O2065">
        <v>0</v>
      </c>
      <c r="P2065">
        <v>5</v>
      </c>
      <c r="Q2065">
        <v>-10</v>
      </c>
      <c r="R2065">
        <v>0</v>
      </c>
      <c r="S2065">
        <v>0</v>
      </c>
      <c r="T2065" t="s">
        <v>52</v>
      </c>
      <c r="W2065">
        <v>410028</v>
      </c>
      <c r="AE2065">
        <v>0</v>
      </c>
      <c r="AP2065" t="s">
        <v>4255</v>
      </c>
    </row>
    <row r="2066" spans="1:42">
      <c r="A2066" s="1" t="s">
        <v>46</v>
      </c>
      <c r="B2066" s="1" t="s">
        <v>4256</v>
      </c>
      <c r="C2066" s="1" t="s">
        <v>4256</v>
      </c>
      <c r="E2066" s="4" t="s">
        <v>4257</v>
      </c>
      <c r="G2066" s="16"/>
      <c r="M2066">
        <v>1</v>
      </c>
      <c r="N2066">
        <v>2640</v>
      </c>
      <c r="O2066">
        <v>0</v>
      </c>
      <c r="P2066">
        <v>17.5</v>
      </c>
      <c r="Q2066">
        <v>46200</v>
      </c>
      <c r="R2066">
        <v>0</v>
      </c>
      <c r="S2066">
        <v>0</v>
      </c>
      <c r="T2066" t="s">
        <v>52</v>
      </c>
      <c r="U2066">
        <v>0</v>
      </c>
      <c r="V2066">
        <v>0</v>
      </c>
      <c r="W2066">
        <v>400032</v>
      </c>
      <c r="X2066" t="s">
        <v>56</v>
      </c>
      <c r="Y2066" t="s">
        <v>57</v>
      </c>
      <c r="AE2066">
        <v>0</v>
      </c>
      <c r="AP2066" t="s">
        <v>404</v>
      </c>
    </row>
    <row r="2067" spans="1:42">
      <c r="A2067" s="1" t="s">
        <v>46</v>
      </c>
      <c r="B2067" s="1" t="s">
        <v>4258</v>
      </c>
      <c r="C2067" s="1" t="s">
        <v>4258</v>
      </c>
      <c r="E2067" s="4" t="s">
        <v>4259</v>
      </c>
      <c r="G2067" s="16">
        <v>0.65</v>
      </c>
      <c r="M2067">
        <v>1</v>
      </c>
      <c r="N2067">
        <v>-1</v>
      </c>
      <c r="O2067">
        <v>0</v>
      </c>
      <c r="W2067">
        <v>400010</v>
      </c>
      <c r="AE2067">
        <v>0</v>
      </c>
      <c r="AP2067" t="s">
        <v>66</v>
      </c>
    </row>
    <row r="2068" spans="1:42">
      <c r="A2068" s="1" t="s">
        <v>46</v>
      </c>
      <c r="B2068" s="1" t="s">
        <v>4260</v>
      </c>
      <c r="C2068" s="1" t="s">
        <v>4260</v>
      </c>
      <c r="E2068" s="4" t="s">
        <v>4261</v>
      </c>
      <c r="G2068" s="16">
        <v>0.75</v>
      </c>
      <c r="I2068">
        <v>38.5</v>
      </c>
      <c r="M2068">
        <v>1</v>
      </c>
      <c r="N2068">
        <v>6</v>
      </c>
      <c r="O2068">
        <v>0</v>
      </c>
      <c r="P2068">
        <v>20.74</v>
      </c>
      <c r="Q2068">
        <v>124.47</v>
      </c>
      <c r="R2068" t="s">
        <v>107</v>
      </c>
      <c r="S2068">
        <v>0</v>
      </c>
      <c r="T2068" t="s">
        <v>52</v>
      </c>
      <c r="U2068">
        <v>0</v>
      </c>
      <c r="V2068">
        <v>0</v>
      </c>
      <c r="W2068">
        <v>400010</v>
      </c>
      <c r="AE2068">
        <v>0</v>
      </c>
      <c r="AH2068">
        <v>38.5</v>
      </c>
      <c r="AP2068" t="s">
        <v>66</v>
      </c>
    </row>
    <row r="2069" spans="1:42">
      <c r="E2069" s="4" t="s">
        <v>4262</v>
      </c>
      <c r="G2069" s="16"/>
    </row>
    <row r="2070" spans="1:42">
      <c r="A2070" s="1" t="s">
        <v>46</v>
      </c>
      <c r="B2070" s="1" t="s">
        <v>4263</v>
      </c>
      <c r="C2070" s="1" t="s">
        <v>4263</v>
      </c>
      <c r="E2070" s="4" t="s">
        <v>4264</v>
      </c>
      <c r="G2070" s="16">
        <v>7.4999999999999997E-2</v>
      </c>
      <c r="I2070">
        <v>96.8</v>
      </c>
      <c r="M2070">
        <v>1</v>
      </c>
      <c r="N2070">
        <v>3</v>
      </c>
      <c r="O2070">
        <v>0</v>
      </c>
      <c r="P2070">
        <v>57.01</v>
      </c>
      <c r="Q2070">
        <v>171.03</v>
      </c>
      <c r="R2070" t="s">
        <v>107</v>
      </c>
      <c r="S2070">
        <v>0</v>
      </c>
      <c r="T2070" t="s">
        <v>52</v>
      </c>
      <c r="U2070">
        <v>0</v>
      </c>
      <c r="V2070">
        <v>0</v>
      </c>
      <c r="W2070">
        <v>400013</v>
      </c>
      <c r="AE2070">
        <v>0</v>
      </c>
      <c r="AH2070">
        <v>96.8</v>
      </c>
      <c r="AP2070" t="s">
        <v>232</v>
      </c>
    </row>
    <row r="2071" spans="1:42">
      <c r="A2071" s="1" t="s">
        <v>46</v>
      </c>
      <c r="B2071" s="1" t="s">
        <v>4265</v>
      </c>
      <c r="C2071" s="1" t="s">
        <v>4265</v>
      </c>
      <c r="E2071" s="4" t="s">
        <v>4266</v>
      </c>
      <c r="G2071" s="16"/>
      <c r="I2071">
        <v>96.8</v>
      </c>
      <c r="M2071">
        <v>1</v>
      </c>
      <c r="N2071">
        <v>1</v>
      </c>
      <c r="O2071">
        <v>0</v>
      </c>
      <c r="P2071">
        <v>74.59</v>
      </c>
      <c r="Q2071">
        <v>74.59</v>
      </c>
      <c r="R2071" t="s">
        <v>107</v>
      </c>
      <c r="S2071">
        <v>0</v>
      </c>
      <c r="T2071" t="s">
        <v>52</v>
      </c>
      <c r="U2071">
        <v>0</v>
      </c>
      <c r="V2071">
        <v>0</v>
      </c>
      <c r="W2071">
        <v>400010</v>
      </c>
      <c r="AE2071">
        <v>0</v>
      </c>
      <c r="AH2071">
        <v>96.8</v>
      </c>
      <c r="AP2071" t="s">
        <v>66</v>
      </c>
    </row>
    <row r="2072" spans="1:42">
      <c r="E2072" s="4" t="s">
        <v>4267</v>
      </c>
      <c r="G2072" s="16"/>
    </row>
    <row r="2073" spans="1:42">
      <c r="A2073" s="1" t="s">
        <v>46</v>
      </c>
      <c r="B2073" s="1" t="s">
        <v>4268</v>
      </c>
      <c r="C2073" s="1" t="s">
        <v>4268</v>
      </c>
      <c r="E2073" s="4" t="s">
        <v>4269</v>
      </c>
      <c r="G2073" s="16">
        <v>0.75</v>
      </c>
      <c r="I2073">
        <v>151.80000000000001</v>
      </c>
      <c r="M2073">
        <v>1</v>
      </c>
      <c r="N2073">
        <v>2</v>
      </c>
      <c r="O2073">
        <v>0</v>
      </c>
      <c r="P2073">
        <v>40.98</v>
      </c>
      <c r="Q2073">
        <v>81.96</v>
      </c>
      <c r="R2073" t="s">
        <v>107</v>
      </c>
      <c r="S2073">
        <v>0</v>
      </c>
      <c r="T2073" t="s">
        <v>52</v>
      </c>
      <c r="U2073">
        <v>0</v>
      </c>
      <c r="V2073">
        <v>0</v>
      </c>
      <c r="W2073">
        <v>400207</v>
      </c>
      <c r="AE2073">
        <v>0</v>
      </c>
      <c r="AH2073">
        <v>151.80000000000001</v>
      </c>
      <c r="AP2073" t="s">
        <v>483</v>
      </c>
    </row>
    <row r="2074" spans="1:42">
      <c r="A2074" s="1" t="s">
        <v>46</v>
      </c>
      <c r="B2074" s="1" t="s">
        <v>4270</v>
      </c>
      <c r="C2074" s="1" t="s">
        <v>4270</v>
      </c>
      <c r="E2074" s="4" t="s">
        <v>4271</v>
      </c>
      <c r="G2074" s="16"/>
      <c r="M2074">
        <v>1</v>
      </c>
      <c r="N2074">
        <v>3</v>
      </c>
      <c r="O2074">
        <v>0</v>
      </c>
      <c r="P2074">
        <v>50</v>
      </c>
      <c r="Q2074">
        <v>150</v>
      </c>
      <c r="R2074" t="s">
        <v>4272</v>
      </c>
      <c r="S2074">
        <v>0</v>
      </c>
      <c r="T2074" t="s">
        <v>52</v>
      </c>
      <c r="W2074">
        <v>400128</v>
      </c>
      <c r="AE2074">
        <v>0</v>
      </c>
      <c r="AP2074" t="s">
        <v>1180</v>
      </c>
    </row>
    <row r="2075" spans="1:42">
      <c r="A2075" s="1" t="s">
        <v>46</v>
      </c>
      <c r="B2075" s="1" t="s">
        <v>4273</v>
      </c>
      <c r="C2075" s="1" t="s">
        <v>4273</v>
      </c>
      <c r="E2075" s="4" t="s">
        <v>4274</v>
      </c>
      <c r="G2075" s="16">
        <v>0.75</v>
      </c>
      <c r="I2075">
        <v>70</v>
      </c>
      <c r="M2075">
        <v>1</v>
      </c>
      <c r="N2075">
        <v>56</v>
      </c>
      <c r="O2075">
        <v>0</v>
      </c>
      <c r="P2075">
        <v>33.85</v>
      </c>
      <c r="Q2075">
        <v>1895.88</v>
      </c>
      <c r="R2075" t="s">
        <v>107</v>
      </c>
      <c r="S2075">
        <v>0</v>
      </c>
      <c r="T2075" t="s">
        <v>52</v>
      </c>
      <c r="U2075">
        <v>0</v>
      </c>
      <c r="V2075">
        <v>0</v>
      </c>
      <c r="W2075">
        <v>400214</v>
      </c>
      <c r="X2075" t="s">
        <v>56</v>
      </c>
      <c r="Y2075" t="s">
        <v>57</v>
      </c>
      <c r="AE2075">
        <v>0</v>
      </c>
      <c r="AH2075">
        <v>70</v>
      </c>
      <c r="AP2075" t="s">
        <v>689</v>
      </c>
    </row>
    <row r="2076" spans="1:42">
      <c r="A2076" s="1" t="s">
        <v>46</v>
      </c>
      <c r="B2076" s="1" t="s">
        <v>4275</v>
      </c>
      <c r="C2076" s="1" t="s">
        <v>4275</v>
      </c>
      <c r="E2076" s="4" t="s">
        <v>4276</v>
      </c>
      <c r="G2076" s="16"/>
      <c r="I2076">
        <v>89.1</v>
      </c>
      <c r="M2076">
        <v>1</v>
      </c>
      <c r="N2076">
        <v>1</v>
      </c>
      <c r="O2076">
        <v>0</v>
      </c>
      <c r="P2076">
        <v>29.1</v>
      </c>
      <c r="Q2076">
        <v>29.1</v>
      </c>
      <c r="R2076" t="s">
        <v>107</v>
      </c>
      <c r="S2076">
        <v>0</v>
      </c>
      <c r="T2076" t="s">
        <v>52</v>
      </c>
      <c r="U2076">
        <v>0</v>
      </c>
      <c r="V2076">
        <v>0</v>
      </c>
      <c r="W2076">
        <v>400010</v>
      </c>
      <c r="AE2076">
        <v>0</v>
      </c>
      <c r="AH2076">
        <v>89.1</v>
      </c>
      <c r="AP2076" t="s">
        <v>66</v>
      </c>
    </row>
    <row r="2077" spans="1:42">
      <c r="A2077" s="1" t="s">
        <v>46</v>
      </c>
      <c r="B2077" s="1" t="s">
        <v>4277</v>
      </c>
      <c r="C2077" s="1" t="s">
        <v>4277</v>
      </c>
      <c r="E2077" s="4" t="s">
        <v>4278</v>
      </c>
      <c r="G2077" s="16">
        <v>1</v>
      </c>
      <c r="I2077">
        <v>89.1</v>
      </c>
      <c r="M2077">
        <v>1</v>
      </c>
      <c r="N2077">
        <v>5</v>
      </c>
      <c r="O2077">
        <v>0</v>
      </c>
      <c r="P2077">
        <v>33.85</v>
      </c>
      <c r="Q2077">
        <v>169.27</v>
      </c>
      <c r="R2077" t="s">
        <v>107</v>
      </c>
      <c r="S2077">
        <v>0</v>
      </c>
      <c r="T2077" t="s">
        <v>52</v>
      </c>
      <c r="U2077">
        <v>0</v>
      </c>
      <c r="V2077">
        <v>0</v>
      </c>
      <c r="W2077">
        <v>400013</v>
      </c>
      <c r="X2077" t="s">
        <v>56</v>
      </c>
      <c r="Y2077" t="s">
        <v>57</v>
      </c>
      <c r="AE2077">
        <v>0</v>
      </c>
      <c r="AH2077">
        <v>89.1</v>
      </c>
      <c r="AP2077" t="s">
        <v>232</v>
      </c>
    </row>
    <row r="2078" spans="1:42">
      <c r="A2078" s="1" t="s">
        <v>46</v>
      </c>
      <c r="B2078" s="1" t="s">
        <v>4279</v>
      </c>
      <c r="C2078" s="1" t="s">
        <v>4279</v>
      </c>
      <c r="E2078" s="4" t="s">
        <v>4280</v>
      </c>
      <c r="G2078" s="16">
        <v>1</v>
      </c>
      <c r="I2078">
        <v>127.6</v>
      </c>
      <c r="M2078">
        <v>1</v>
      </c>
      <c r="N2078">
        <v>1</v>
      </c>
      <c r="O2078">
        <v>0</v>
      </c>
      <c r="P2078">
        <v>49.06</v>
      </c>
      <c r="Q2078">
        <v>49.06</v>
      </c>
      <c r="R2078" t="s">
        <v>107</v>
      </c>
      <c r="S2078">
        <v>0</v>
      </c>
      <c r="T2078" t="s">
        <v>52</v>
      </c>
      <c r="U2078">
        <v>0</v>
      </c>
      <c r="V2078">
        <v>0</v>
      </c>
      <c r="W2078">
        <v>400207</v>
      </c>
      <c r="AE2078">
        <v>0</v>
      </c>
      <c r="AH2078">
        <v>127.6</v>
      </c>
      <c r="AP2078" t="s">
        <v>483</v>
      </c>
    </row>
    <row r="2079" spans="1:42">
      <c r="A2079" s="1" t="s">
        <v>46</v>
      </c>
      <c r="B2079" s="1" t="s">
        <v>4281</v>
      </c>
      <c r="C2079" s="1" t="s">
        <v>4281</v>
      </c>
      <c r="E2079" s="4" t="s">
        <v>4282</v>
      </c>
      <c r="G2079" s="16">
        <v>1</v>
      </c>
      <c r="I2079">
        <v>154</v>
      </c>
      <c r="M2079">
        <v>1</v>
      </c>
      <c r="N2079">
        <v>3</v>
      </c>
      <c r="O2079">
        <v>0</v>
      </c>
      <c r="P2079">
        <v>100.43</v>
      </c>
      <c r="Q2079">
        <v>301.29000000000002</v>
      </c>
      <c r="R2079" t="s">
        <v>107</v>
      </c>
      <c r="S2079">
        <v>0</v>
      </c>
      <c r="T2079" t="s">
        <v>52</v>
      </c>
      <c r="U2079">
        <v>0</v>
      </c>
      <c r="V2079">
        <v>0</v>
      </c>
      <c r="W2079">
        <v>400207</v>
      </c>
      <c r="AE2079">
        <v>0</v>
      </c>
      <c r="AH2079">
        <v>154</v>
      </c>
      <c r="AP2079" t="s">
        <v>483</v>
      </c>
    </row>
    <row r="2080" spans="1:42">
      <c r="A2080" s="1" t="s">
        <v>46</v>
      </c>
      <c r="B2080" s="1" t="s">
        <v>4283</v>
      </c>
      <c r="C2080" s="1" t="s">
        <v>4283</v>
      </c>
      <c r="E2080" s="4" t="s">
        <v>4284</v>
      </c>
      <c r="G2080" s="16"/>
      <c r="I2080">
        <v>115.5</v>
      </c>
      <c r="M2080">
        <v>1</v>
      </c>
      <c r="N2080">
        <v>17</v>
      </c>
      <c r="O2080">
        <v>0</v>
      </c>
      <c r="P2080">
        <v>33.909999999999997</v>
      </c>
      <c r="Q2080">
        <v>576.47</v>
      </c>
      <c r="R2080" t="s">
        <v>107</v>
      </c>
      <c r="S2080">
        <v>0</v>
      </c>
      <c r="T2080" t="s">
        <v>52</v>
      </c>
      <c r="U2080">
        <v>0</v>
      </c>
      <c r="V2080">
        <v>0</v>
      </c>
      <c r="W2080">
        <v>400207</v>
      </c>
      <c r="AE2080">
        <v>0</v>
      </c>
      <c r="AH2080">
        <v>115.5</v>
      </c>
      <c r="AP2080" t="s">
        <v>483</v>
      </c>
    </row>
    <row r="2081" spans="1:42">
      <c r="E2081" s="4" t="s">
        <v>4285</v>
      </c>
      <c r="G2081" s="16">
        <v>0.65</v>
      </c>
    </row>
    <row r="2082" spans="1:42">
      <c r="A2082" s="1" t="s">
        <v>46</v>
      </c>
      <c r="B2082" s="1" t="s">
        <v>4286</v>
      </c>
      <c r="C2082" s="1" t="s">
        <v>4286</v>
      </c>
      <c r="E2082" s="4" t="s">
        <v>4287</v>
      </c>
      <c r="G2082" s="16"/>
      <c r="I2082">
        <v>130.9</v>
      </c>
      <c r="M2082">
        <v>1</v>
      </c>
      <c r="N2082">
        <v>2</v>
      </c>
      <c r="O2082">
        <v>0</v>
      </c>
      <c r="P2082">
        <v>102.36</v>
      </c>
      <c r="Q2082">
        <v>204.73</v>
      </c>
      <c r="R2082" t="s">
        <v>107</v>
      </c>
      <c r="S2082">
        <v>0</v>
      </c>
      <c r="T2082" t="s">
        <v>52</v>
      </c>
      <c r="U2082">
        <v>0</v>
      </c>
      <c r="V2082">
        <v>0</v>
      </c>
      <c r="W2082">
        <v>400013</v>
      </c>
      <c r="AE2082">
        <v>0</v>
      </c>
      <c r="AH2082">
        <v>130.9</v>
      </c>
      <c r="AP2082" t="s">
        <v>232</v>
      </c>
    </row>
    <row r="2083" spans="1:42">
      <c r="A2083" s="1" t="s">
        <v>46</v>
      </c>
      <c r="B2083" s="1" t="s">
        <v>4288</v>
      </c>
      <c r="C2083" s="1" t="s">
        <v>4288</v>
      </c>
      <c r="E2083" s="4" t="s">
        <v>4289</v>
      </c>
      <c r="G2083" s="16">
        <v>1</v>
      </c>
      <c r="M2083">
        <v>1</v>
      </c>
      <c r="N2083">
        <v>2</v>
      </c>
      <c r="O2083">
        <v>0</v>
      </c>
      <c r="P2083">
        <v>16.98</v>
      </c>
      <c r="Q2083">
        <v>33.97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400207</v>
      </c>
      <c r="X2083" t="s">
        <v>56</v>
      </c>
      <c r="Y2083" t="s">
        <v>57</v>
      </c>
      <c r="AE2083">
        <v>0</v>
      </c>
      <c r="AP2083" t="s">
        <v>483</v>
      </c>
    </row>
    <row r="2084" spans="1:42">
      <c r="A2084" s="1" t="s">
        <v>46</v>
      </c>
      <c r="B2084" s="1" t="s">
        <v>4290</v>
      </c>
      <c r="C2084" s="1" t="s">
        <v>4290</v>
      </c>
      <c r="E2084" s="4" t="s">
        <v>4291</v>
      </c>
      <c r="G2084" s="16"/>
      <c r="M2084">
        <v>1</v>
      </c>
      <c r="N2084">
        <v>5</v>
      </c>
      <c r="O2084">
        <v>0</v>
      </c>
      <c r="P2084">
        <v>2.25</v>
      </c>
      <c r="Q2084">
        <v>11.25</v>
      </c>
      <c r="R2084">
        <v>0</v>
      </c>
      <c r="S2084">
        <v>0</v>
      </c>
      <c r="T2084">
        <v>0</v>
      </c>
      <c r="W2084">
        <v>400017</v>
      </c>
      <c r="AE2084">
        <v>0</v>
      </c>
      <c r="AP2084" t="s">
        <v>49</v>
      </c>
    </row>
    <row r="2085" spans="1:42">
      <c r="A2085" s="1" t="s">
        <v>46</v>
      </c>
      <c r="B2085" s="1" t="s">
        <v>4292</v>
      </c>
      <c r="C2085" s="1" t="s">
        <v>4292</v>
      </c>
      <c r="E2085" s="4" t="s">
        <v>4293</v>
      </c>
      <c r="G2085" s="16">
        <v>1.5</v>
      </c>
      <c r="M2085">
        <v>1</v>
      </c>
      <c r="N2085">
        <v>-1</v>
      </c>
      <c r="O2085">
        <v>0</v>
      </c>
      <c r="W2085">
        <v>400110</v>
      </c>
      <c r="AE2085">
        <v>0</v>
      </c>
      <c r="AP2085" t="s">
        <v>344</v>
      </c>
    </row>
    <row r="2086" spans="1:42">
      <c r="A2086" s="1" t="s">
        <v>46</v>
      </c>
      <c r="B2086" s="1" t="s">
        <v>4294</v>
      </c>
      <c r="C2086" s="1" t="s">
        <v>4294</v>
      </c>
      <c r="E2086" s="4" t="s">
        <v>4295</v>
      </c>
      <c r="G2086" s="16">
        <v>1.5</v>
      </c>
      <c r="M2086">
        <v>1</v>
      </c>
      <c r="N2086">
        <v>5</v>
      </c>
      <c r="O2086">
        <v>0</v>
      </c>
      <c r="P2086">
        <v>5</v>
      </c>
      <c r="Q2086">
        <v>25</v>
      </c>
      <c r="R2086">
        <v>0</v>
      </c>
      <c r="S2086">
        <v>0</v>
      </c>
      <c r="T2086">
        <v>0</v>
      </c>
      <c r="W2086">
        <v>400116</v>
      </c>
      <c r="AE2086">
        <v>0</v>
      </c>
      <c r="AP2086" t="s">
        <v>513</v>
      </c>
    </row>
    <row r="2087" spans="1:42">
      <c r="A2087" s="1" t="s">
        <v>46</v>
      </c>
      <c r="B2087" s="1" t="s">
        <v>4296</v>
      </c>
      <c r="C2087" s="1" t="s">
        <v>4296</v>
      </c>
      <c r="E2087" s="4" t="s">
        <v>4297</v>
      </c>
      <c r="G2087" s="16"/>
      <c r="M2087">
        <v>1</v>
      </c>
      <c r="N2087">
        <v>2</v>
      </c>
      <c r="O2087">
        <v>0</v>
      </c>
      <c r="P2087">
        <v>4.5</v>
      </c>
      <c r="Q2087">
        <v>9</v>
      </c>
      <c r="R2087">
        <v>0</v>
      </c>
      <c r="S2087">
        <v>0</v>
      </c>
      <c r="T2087" t="s">
        <v>52</v>
      </c>
      <c r="W2087">
        <v>400140</v>
      </c>
      <c r="AE2087">
        <v>0</v>
      </c>
      <c r="AP2087" t="s">
        <v>4033</v>
      </c>
    </row>
    <row r="2088" spans="1:42">
      <c r="A2088" s="1" t="s">
        <v>46</v>
      </c>
      <c r="B2088" s="1" t="s">
        <v>4298</v>
      </c>
      <c r="C2088" s="1" t="s">
        <v>4298</v>
      </c>
      <c r="E2088" s="4" t="s">
        <v>4299</v>
      </c>
      <c r="G2088" s="16"/>
      <c r="M2088">
        <v>1</v>
      </c>
      <c r="N2088">
        <v>-990</v>
      </c>
      <c r="O2088">
        <v>0</v>
      </c>
      <c r="P2088" s="2">
        <v>3.5000000000000001E-3</v>
      </c>
      <c r="Q2088">
        <v>-3.46</v>
      </c>
      <c r="R2088">
        <v>0</v>
      </c>
      <c r="S2088">
        <v>0</v>
      </c>
      <c r="T2088" t="s">
        <v>17</v>
      </c>
      <c r="W2088">
        <v>400017</v>
      </c>
      <c r="AE2088">
        <v>0</v>
      </c>
      <c r="AP2088" t="s">
        <v>49</v>
      </c>
    </row>
    <row r="2089" spans="1:42">
      <c r="A2089" s="1" t="s">
        <v>46</v>
      </c>
      <c r="B2089" s="1" t="s">
        <v>4300</v>
      </c>
      <c r="C2089" s="1" t="s">
        <v>4300</v>
      </c>
      <c r="E2089" s="4" t="s">
        <v>4301</v>
      </c>
      <c r="G2089" s="16"/>
      <c r="M2089">
        <v>1</v>
      </c>
      <c r="N2089">
        <v>24</v>
      </c>
      <c r="O2089">
        <v>0</v>
      </c>
      <c r="P2089">
        <v>5</v>
      </c>
      <c r="Q2089">
        <v>120</v>
      </c>
      <c r="R2089">
        <v>0</v>
      </c>
      <c r="S2089">
        <v>0</v>
      </c>
      <c r="T2089" t="s">
        <v>17</v>
      </c>
      <c r="U2089">
        <v>0</v>
      </c>
      <c r="V2089">
        <v>0</v>
      </c>
      <c r="W2089">
        <v>400080</v>
      </c>
      <c r="X2089" t="s">
        <v>56</v>
      </c>
      <c r="Y2089" t="s">
        <v>57</v>
      </c>
      <c r="AE2089">
        <v>0</v>
      </c>
      <c r="AP2089" t="s">
        <v>696</v>
      </c>
    </row>
    <row r="2090" spans="1:42">
      <c r="A2090" s="1" t="s">
        <v>46</v>
      </c>
      <c r="B2090" s="1" t="s">
        <v>4302</v>
      </c>
      <c r="C2090" s="1" t="s">
        <v>4302</v>
      </c>
      <c r="E2090" s="4" t="s">
        <v>4303</v>
      </c>
      <c r="G2090" s="16"/>
      <c r="M2090">
        <v>1</v>
      </c>
      <c r="N2090">
        <v>694</v>
      </c>
      <c r="O2090">
        <v>0</v>
      </c>
      <c r="P2090">
        <v>2.75</v>
      </c>
      <c r="Q2090">
        <v>1908.5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400080</v>
      </c>
      <c r="X2090" t="s">
        <v>56</v>
      </c>
      <c r="Y2090" t="s">
        <v>57</v>
      </c>
      <c r="AE2090">
        <v>0</v>
      </c>
      <c r="AP2090" t="s">
        <v>696</v>
      </c>
    </row>
    <row r="2091" spans="1:42">
      <c r="E2091" s="4" t="s">
        <v>4304</v>
      </c>
      <c r="G2091" s="16"/>
    </row>
    <row r="2092" spans="1:42">
      <c r="A2092" s="1" t="s">
        <v>46</v>
      </c>
      <c r="B2092" s="1" t="s">
        <v>4305</v>
      </c>
      <c r="C2092" s="1" t="s">
        <v>4305</v>
      </c>
      <c r="E2092" s="4" t="s">
        <v>4306</v>
      </c>
      <c r="G2092" s="16"/>
      <c r="M2092">
        <v>1</v>
      </c>
      <c r="N2092">
        <v>87</v>
      </c>
      <c r="O2092">
        <v>0</v>
      </c>
      <c r="P2092">
        <v>0.95</v>
      </c>
      <c r="Q2092">
        <v>82.65</v>
      </c>
      <c r="R2092">
        <v>0</v>
      </c>
      <c r="S2092">
        <v>0</v>
      </c>
      <c r="T2092" t="s">
        <v>52</v>
      </c>
      <c r="U2092">
        <v>0</v>
      </c>
      <c r="V2092">
        <v>0</v>
      </c>
      <c r="W2092">
        <v>400033</v>
      </c>
      <c r="X2092" t="s">
        <v>56</v>
      </c>
      <c r="Y2092" t="s">
        <v>57</v>
      </c>
      <c r="AE2092">
        <v>0</v>
      </c>
      <c r="AP2092" t="s">
        <v>126</v>
      </c>
    </row>
    <row r="2093" spans="1:42">
      <c r="E2093" s="4" t="s">
        <v>4307</v>
      </c>
      <c r="G2093" s="16"/>
    </row>
    <row r="2094" spans="1:42">
      <c r="A2094" s="1" t="s">
        <v>46</v>
      </c>
      <c r="B2094" s="1" t="s">
        <v>4308</v>
      </c>
      <c r="C2094" s="1" t="s">
        <v>4308</v>
      </c>
      <c r="E2094" s="4" t="s">
        <v>4309</v>
      </c>
      <c r="G2094" s="16"/>
      <c r="M2094">
        <v>1</v>
      </c>
      <c r="N2094">
        <v>11</v>
      </c>
      <c r="O2094">
        <v>0</v>
      </c>
      <c r="P2094">
        <v>2</v>
      </c>
      <c r="Q2094">
        <v>22</v>
      </c>
      <c r="R2094">
        <v>0</v>
      </c>
      <c r="S2094">
        <v>0</v>
      </c>
      <c r="T2094" t="s">
        <v>52</v>
      </c>
      <c r="U2094">
        <v>0</v>
      </c>
      <c r="V2094">
        <v>0</v>
      </c>
      <c r="W2094">
        <v>400017</v>
      </c>
      <c r="X2094" t="s">
        <v>56</v>
      </c>
      <c r="Y2094" t="s">
        <v>57</v>
      </c>
      <c r="AE2094">
        <v>0</v>
      </c>
      <c r="AP2094" t="s">
        <v>49</v>
      </c>
    </row>
    <row r="2095" spans="1:42">
      <c r="A2095" s="1" t="s">
        <v>46</v>
      </c>
      <c r="B2095" s="1" t="s">
        <v>4310</v>
      </c>
      <c r="C2095" s="1" t="s">
        <v>4310</v>
      </c>
      <c r="E2095" s="4" t="s">
        <v>4311</v>
      </c>
      <c r="G2095" s="16"/>
      <c r="M2095">
        <v>1</v>
      </c>
      <c r="N2095">
        <v>-2618</v>
      </c>
      <c r="O2095">
        <v>0</v>
      </c>
      <c r="P2095">
        <v>165.02</v>
      </c>
      <c r="Q2095">
        <v>-432013.2</v>
      </c>
      <c r="R2095">
        <v>0</v>
      </c>
      <c r="S2095">
        <v>0</v>
      </c>
      <c r="T2095">
        <v>0</v>
      </c>
      <c r="W2095">
        <v>400150</v>
      </c>
      <c r="AE2095">
        <v>0</v>
      </c>
      <c r="AP2095" t="s">
        <v>75</v>
      </c>
    </row>
    <row r="2096" spans="1:42">
      <c r="A2096" s="1" t="s">
        <v>46</v>
      </c>
      <c r="B2096" s="1" t="s">
        <v>4312</v>
      </c>
      <c r="C2096" s="1" t="s">
        <v>4312</v>
      </c>
      <c r="E2096" s="4" t="s">
        <v>4313</v>
      </c>
      <c r="G2096" s="16"/>
      <c r="M2096">
        <v>1</v>
      </c>
      <c r="N2096">
        <v>159</v>
      </c>
      <c r="O2096">
        <v>0</v>
      </c>
      <c r="P2096">
        <v>4.28</v>
      </c>
      <c r="Q2096">
        <v>680.87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400032</v>
      </c>
      <c r="X2096" t="s">
        <v>56</v>
      </c>
      <c r="Y2096" t="s">
        <v>57</v>
      </c>
      <c r="AE2096">
        <v>0</v>
      </c>
      <c r="AP2096" t="s">
        <v>404</v>
      </c>
    </row>
    <row r="2097" spans="1:42">
      <c r="A2097" s="1" t="s">
        <v>46</v>
      </c>
      <c r="B2097" s="1" t="s">
        <v>4314</v>
      </c>
      <c r="C2097" s="1" t="s">
        <v>4314</v>
      </c>
      <c r="E2097" s="4" t="s">
        <v>4315</v>
      </c>
      <c r="G2097" s="16"/>
      <c r="M2097">
        <v>1</v>
      </c>
      <c r="N2097">
        <v>0</v>
      </c>
      <c r="O2097">
        <v>0</v>
      </c>
      <c r="P2097">
        <v>60.61</v>
      </c>
      <c r="Q2097">
        <v>0</v>
      </c>
      <c r="R2097">
        <v>0</v>
      </c>
      <c r="S2097">
        <v>0</v>
      </c>
      <c r="T2097">
        <v>0</v>
      </c>
      <c r="W2097">
        <v>400192</v>
      </c>
      <c r="AE2097">
        <v>0</v>
      </c>
      <c r="AP2097" t="s">
        <v>4316</v>
      </c>
    </row>
    <row r="2098" spans="1:42">
      <c r="A2098" s="1" t="s">
        <v>46</v>
      </c>
      <c r="B2098" s="1" t="s">
        <v>4317</v>
      </c>
      <c r="C2098" s="1" t="s">
        <v>4317</v>
      </c>
      <c r="E2098" s="4" t="s">
        <v>4318</v>
      </c>
      <c r="G2098" s="16"/>
      <c r="M2098">
        <v>1</v>
      </c>
      <c r="N2098">
        <v>-2596.5</v>
      </c>
      <c r="O2098">
        <v>0</v>
      </c>
      <c r="P2098">
        <v>49.5</v>
      </c>
      <c r="Q2098">
        <v>-128539.6</v>
      </c>
      <c r="R2098">
        <v>0</v>
      </c>
      <c r="S2098">
        <v>0</v>
      </c>
      <c r="T2098">
        <v>0</v>
      </c>
      <c r="W2098">
        <v>400150</v>
      </c>
      <c r="AE2098">
        <v>0</v>
      </c>
      <c r="AP2098" t="s">
        <v>75</v>
      </c>
    </row>
    <row r="2099" spans="1:42">
      <c r="A2099" s="1" t="s">
        <v>46</v>
      </c>
      <c r="B2099" s="1" t="s">
        <v>4319</v>
      </c>
      <c r="C2099" s="1" t="s">
        <v>4319</v>
      </c>
      <c r="E2099" s="4" t="s">
        <v>4320</v>
      </c>
      <c r="G2099" s="16"/>
      <c r="M2099">
        <v>1</v>
      </c>
      <c r="N2099">
        <v>30</v>
      </c>
      <c r="O2099">
        <v>0</v>
      </c>
      <c r="P2099">
        <v>6</v>
      </c>
      <c r="Q2099">
        <v>180</v>
      </c>
      <c r="R2099">
        <v>0</v>
      </c>
      <c r="S2099">
        <v>0</v>
      </c>
      <c r="T2099" t="s">
        <v>52</v>
      </c>
      <c r="W2099">
        <v>400120</v>
      </c>
      <c r="AE2099">
        <v>0</v>
      </c>
      <c r="AP2099" t="s">
        <v>468</v>
      </c>
    </row>
    <row r="2100" spans="1:42">
      <c r="A2100" s="1" t="s">
        <v>46</v>
      </c>
      <c r="B2100" s="1" t="s">
        <v>4321</v>
      </c>
      <c r="C2100" s="1" t="s">
        <v>4321</v>
      </c>
      <c r="E2100" s="4" t="s">
        <v>4322</v>
      </c>
      <c r="G2100" s="16"/>
      <c r="M2100">
        <v>1</v>
      </c>
      <c r="N2100">
        <v>303</v>
      </c>
      <c r="O2100">
        <v>0</v>
      </c>
      <c r="P2100">
        <v>21</v>
      </c>
      <c r="Q2100">
        <v>6363</v>
      </c>
      <c r="R2100">
        <v>0</v>
      </c>
      <c r="S2100">
        <v>0</v>
      </c>
      <c r="T2100" t="s">
        <v>17</v>
      </c>
      <c r="U2100">
        <v>0</v>
      </c>
      <c r="V2100">
        <v>0</v>
      </c>
      <c r="W2100">
        <v>400120</v>
      </c>
      <c r="AE2100">
        <v>0</v>
      </c>
      <c r="AP2100" t="s">
        <v>468</v>
      </c>
    </row>
    <row r="2101" spans="1:42">
      <c r="E2101" s="4" t="s">
        <v>4323</v>
      </c>
      <c r="G2101" s="16"/>
    </row>
    <row r="2102" spans="1:42">
      <c r="A2102" s="1" t="s">
        <v>46</v>
      </c>
      <c r="B2102" s="1" t="s">
        <v>4324</v>
      </c>
      <c r="C2102" s="1" t="s">
        <v>4324</v>
      </c>
      <c r="E2102" s="4" t="s">
        <v>4325</v>
      </c>
      <c r="G2102" s="16"/>
      <c r="M2102">
        <v>1</v>
      </c>
      <c r="N2102">
        <v>-10</v>
      </c>
      <c r="O2102">
        <v>0</v>
      </c>
      <c r="P2102">
        <v>6</v>
      </c>
      <c r="Q2102">
        <v>-60</v>
      </c>
      <c r="R2102">
        <v>0</v>
      </c>
      <c r="S2102">
        <v>0</v>
      </c>
      <c r="T2102">
        <v>0</v>
      </c>
      <c r="W2102">
        <v>400035</v>
      </c>
      <c r="AE2102">
        <v>0</v>
      </c>
      <c r="AP2102" t="s">
        <v>784</v>
      </c>
    </row>
    <row r="2103" spans="1:42">
      <c r="A2103" s="1" t="s">
        <v>46</v>
      </c>
      <c r="B2103" s="1" t="s">
        <v>4326</v>
      </c>
      <c r="C2103" s="1" t="s">
        <v>4326</v>
      </c>
      <c r="E2103" s="4" t="s">
        <v>4327</v>
      </c>
      <c r="G2103" s="16"/>
      <c r="M2103">
        <v>1</v>
      </c>
      <c r="N2103">
        <v>-27</v>
      </c>
      <c r="O2103">
        <v>0</v>
      </c>
      <c r="P2103">
        <v>2</v>
      </c>
      <c r="Q2103">
        <v>-54</v>
      </c>
      <c r="R2103">
        <v>0</v>
      </c>
      <c r="S2103">
        <v>0</v>
      </c>
      <c r="T2103">
        <v>0</v>
      </c>
      <c r="W2103">
        <v>400017</v>
      </c>
      <c r="AE2103">
        <v>0</v>
      </c>
      <c r="AP2103" t="s">
        <v>49</v>
      </c>
    </row>
    <row r="2104" spans="1:42">
      <c r="A2104" s="1" t="s">
        <v>46</v>
      </c>
      <c r="B2104" s="1" t="s">
        <v>4328</v>
      </c>
      <c r="C2104" s="1" t="s">
        <v>4328</v>
      </c>
      <c r="E2104" s="4" t="s">
        <v>4329</v>
      </c>
      <c r="G2104" s="16"/>
      <c r="M2104">
        <v>1</v>
      </c>
      <c r="N2104">
        <v>282</v>
      </c>
      <c r="O2104">
        <v>0</v>
      </c>
      <c r="P2104">
        <v>9</v>
      </c>
      <c r="Q2104">
        <v>2538</v>
      </c>
      <c r="R2104">
        <v>0</v>
      </c>
      <c r="S2104">
        <v>0</v>
      </c>
      <c r="T2104" t="s">
        <v>17</v>
      </c>
      <c r="W2104">
        <v>400111</v>
      </c>
      <c r="AE2104">
        <v>0</v>
      </c>
      <c r="AP2104" t="s">
        <v>646</v>
      </c>
    </row>
    <row r="2105" spans="1:42">
      <c r="A2105" s="1" t="s">
        <v>46</v>
      </c>
      <c r="B2105" s="1" t="s">
        <v>4330</v>
      </c>
      <c r="C2105" s="1" t="s">
        <v>4330</v>
      </c>
      <c r="E2105" s="4" t="s">
        <v>4331</v>
      </c>
      <c r="G2105" s="16"/>
      <c r="M2105">
        <v>1</v>
      </c>
      <c r="N2105">
        <v>15</v>
      </c>
      <c r="O2105">
        <v>0</v>
      </c>
      <c r="P2105">
        <v>5</v>
      </c>
      <c r="Q2105">
        <v>75</v>
      </c>
      <c r="W2105">
        <v>400017</v>
      </c>
      <c r="AE2105">
        <v>0</v>
      </c>
      <c r="AP2105" t="s">
        <v>49</v>
      </c>
    </row>
    <row r="2106" spans="1:42">
      <c r="A2106" s="1" t="s">
        <v>46</v>
      </c>
      <c r="B2106" s="1" t="s">
        <v>4332</v>
      </c>
      <c r="C2106" s="1" t="s">
        <v>4332</v>
      </c>
      <c r="E2106" s="4" t="s">
        <v>4333</v>
      </c>
      <c r="G2106" s="16"/>
      <c r="M2106">
        <v>1</v>
      </c>
      <c r="N2106">
        <v>31</v>
      </c>
      <c r="O2106">
        <v>0</v>
      </c>
      <c r="P2106">
        <v>2.8</v>
      </c>
      <c r="Q2106">
        <v>86.8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400111</v>
      </c>
      <c r="X2106" t="s">
        <v>56</v>
      </c>
      <c r="Y2106" t="s">
        <v>57</v>
      </c>
      <c r="AE2106">
        <v>0</v>
      </c>
      <c r="AP2106" t="s">
        <v>646</v>
      </c>
    </row>
    <row r="2107" spans="1:42">
      <c r="A2107" s="1" t="s">
        <v>46</v>
      </c>
      <c r="B2107" s="1" t="s">
        <v>4334</v>
      </c>
      <c r="C2107" s="1" t="s">
        <v>4334</v>
      </c>
      <c r="E2107" s="4" t="s">
        <v>4335</v>
      </c>
      <c r="G2107" s="16"/>
      <c r="M2107">
        <v>1</v>
      </c>
      <c r="N2107">
        <v>51</v>
      </c>
      <c r="O2107">
        <v>0</v>
      </c>
      <c r="P2107">
        <v>2.8</v>
      </c>
      <c r="Q2107">
        <v>142.80000000000001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400111</v>
      </c>
      <c r="X2107" t="s">
        <v>56</v>
      </c>
      <c r="Y2107" t="s">
        <v>57</v>
      </c>
      <c r="AE2107">
        <v>0</v>
      </c>
      <c r="AP2107" t="s">
        <v>646</v>
      </c>
    </row>
    <row r="2108" spans="1:42">
      <c r="A2108" s="1" t="s">
        <v>46</v>
      </c>
      <c r="B2108" s="1" t="s">
        <v>4336</v>
      </c>
      <c r="C2108" s="1" t="s">
        <v>4336</v>
      </c>
      <c r="E2108" s="4" t="s">
        <v>4337</v>
      </c>
      <c r="G2108" s="16"/>
      <c r="M2108">
        <v>1</v>
      </c>
      <c r="N2108">
        <v>4</v>
      </c>
      <c r="O2108">
        <v>0</v>
      </c>
      <c r="P2108">
        <v>9.6</v>
      </c>
      <c r="Q2108">
        <v>38.4</v>
      </c>
      <c r="R2108">
        <v>0</v>
      </c>
      <c r="S2108">
        <v>0</v>
      </c>
      <c r="T2108" t="s">
        <v>52</v>
      </c>
      <c r="U2108">
        <v>0</v>
      </c>
      <c r="V2108">
        <v>0</v>
      </c>
      <c r="W2108">
        <v>400111</v>
      </c>
      <c r="X2108" t="s">
        <v>56</v>
      </c>
      <c r="Y2108" t="s">
        <v>57</v>
      </c>
      <c r="AE2108">
        <v>0</v>
      </c>
      <c r="AP2108" t="s">
        <v>646</v>
      </c>
    </row>
    <row r="2109" spans="1:42">
      <c r="A2109" s="1" t="s">
        <v>46</v>
      </c>
      <c r="B2109" s="1" t="s">
        <v>4338</v>
      </c>
      <c r="C2109" s="1" t="s">
        <v>4338</v>
      </c>
      <c r="E2109" s="4" t="s">
        <v>4339</v>
      </c>
      <c r="G2109" s="16"/>
      <c r="M2109">
        <v>1</v>
      </c>
      <c r="N2109">
        <v>-4</v>
      </c>
      <c r="O2109">
        <v>0</v>
      </c>
      <c r="P2109">
        <v>0.25</v>
      </c>
      <c r="Q2109">
        <v>-1</v>
      </c>
      <c r="R2109">
        <v>0</v>
      </c>
      <c r="S2109">
        <v>0</v>
      </c>
      <c r="T2109" t="s">
        <v>52</v>
      </c>
      <c r="AE2109">
        <v>0</v>
      </c>
    </row>
    <row r="2110" spans="1:42">
      <c r="A2110" s="1" t="s">
        <v>46</v>
      </c>
      <c r="B2110" s="1" t="s">
        <v>4340</v>
      </c>
      <c r="C2110" s="1" t="s">
        <v>4340</v>
      </c>
      <c r="E2110" s="4" t="s">
        <v>4341</v>
      </c>
      <c r="G2110" s="16"/>
      <c r="M2110">
        <v>1</v>
      </c>
      <c r="N2110">
        <v>115</v>
      </c>
      <c r="O2110">
        <v>0</v>
      </c>
      <c r="P2110">
        <v>2.8</v>
      </c>
      <c r="Q2110">
        <v>322</v>
      </c>
      <c r="R2110">
        <v>0</v>
      </c>
      <c r="S2110">
        <v>0</v>
      </c>
      <c r="T2110" t="s">
        <v>52</v>
      </c>
      <c r="W2110">
        <v>400111</v>
      </c>
      <c r="AE2110">
        <v>0</v>
      </c>
      <c r="AP2110" t="s">
        <v>646</v>
      </c>
    </row>
    <row r="2111" spans="1:42">
      <c r="E2111" s="4" t="s">
        <v>4342</v>
      </c>
      <c r="G2111" s="16"/>
    </row>
    <row r="2112" spans="1:42">
      <c r="A2112" s="1" t="s">
        <v>46</v>
      </c>
      <c r="B2112" s="1" t="s">
        <v>4343</v>
      </c>
      <c r="C2112" s="1" t="s">
        <v>4343</v>
      </c>
      <c r="E2112" s="4" t="s">
        <v>4344</v>
      </c>
      <c r="G2112" s="16">
        <v>0.25</v>
      </c>
      <c r="M2112">
        <v>1</v>
      </c>
      <c r="N2112">
        <v>11</v>
      </c>
      <c r="O2112">
        <v>0</v>
      </c>
      <c r="P2112">
        <v>13</v>
      </c>
      <c r="Q2112">
        <v>143</v>
      </c>
      <c r="R2112">
        <v>0</v>
      </c>
      <c r="S2112">
        <v>0</v>
      </c>
      <c r="T2112" t="s">
        <v>52</v>
      </c>
      <c r="W2112">
        <v>400111</v>
      </c>
      <c r="AE2112">
        <v>0</v>
      </c>
      <c r="AP2112" t="s">
        <v>646</v>
      </c>
    </row>
    <row r="2113" spans="1:42">
      <c r="A2113" s="1" t="s">
        <v>46</v>
      </c>
      <c r="B2113" s="1" t="s">
        <v>4345</v>
      </c>
      <c r="C2113" s="1" t="s">
        <v>4345</v>
      </c>
      <c r="E2113" s="4" t="s">
        <v>4346</v>
      </c>
      <c r="G2113" s="16">
        <v>0.25</v>
      </c>
      <c r="I2113">
        <v>14</v>
      </c>
      <c r="M2113">
        <v>1</v>
      </c>
      <c r="N2113">
        <v>35</v>
      </c>
      <c r="O2113">
        <v>0</v>
      </c>
      <c r="P2113">
        <v>4</v>
      </c>
      <c r="Q2113">
        <v>140</v>
      </c>
      <c r="R2113">
        <v>0</v>
      </c>
      <c r="S2113">
        <v>0</v>
      </c>
      <c r="T2113" t="s">
        <v>52</v>
      </c>
      <c r="U2113">
        <v>0</v>
      </c>
      <c r="V2113">
        <v>0</v>
      </c>
      <c r="W2113">
        <v>400111</v>
      </c>
      <c r="X2113" t="s">
        <v>56</v>
      </c>
      <c r="Y2113" t="s">
        <v>57</v>
      </c>
      <c r="AE2113">
        <v>0</v>
      </c>
      <c r="AH2113">
        <v>14</v>
      </c>
      <c r="AP2113" t="s">
        <v>646</v>
      </c>
    </row>
    <row r="2114" spans="1:42">
      <c r="A2114" s="1" t="s">
        <v>46</v>
      </c>
      <c r="B2114" s="1" t="s">
        <v>4347</v>
      </c>
      <c r="C2114" s="1" t="s">
        <v>4347</v>
      </c>
      <c r="E2114" s="4" t="s">
        <v>4348</v>
      </c>
      <c r="G2114" s="16">
        <v>0.35</v>
      </c>
      <c r="M2114">
        <v>1</v>
      </c>
      <c r="N2114">
        <v>300</v>
      </c>
      <c r="O2114">
        <v>0</v>
      </c>
      <c r="P2114">
        <v>0.03</v>
      </c>
      <c r="Q2114">
        <v>9</v>
      </c>
      <c r="W2114">
        <v>400017</v>
      </c>
      <c r="AE2114">
        <v>0</v>
      </c>
      <c r="AP2114" t="s">
        <v>49</v>
      </c>
    </row>
    <row r="2115" spans="1:42">
      <c r="A2115" s="1" t="s">
        <v>46</v>
      </c>
      <c r="B2115" s="1" t="s">
        <v>4349</v>
      </c>
      <c r="C2115" s="1" t="s">
        <v>4349</v>
      </c>
      <c r="E2115" s="4" t="s">
        <v>4350</v>
      </c>
      <c r="G2115" s="16">
        <v>0.35</v>
      </c>
      <c r="M2115">
        <v>1</v>
      </c>
      <c r="N2115">
        <v>6</v>
      </c>
      <c r="O2115">
        <v>0</v>
      </c>
      <c r="P2115">
        <v>12.6</v>
      </c>
      <c r="Q2115">
        <v>75.599999999999994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400111</v>
      </c>
      <c r="X2115" t="s">
        <v>56</v>
      </c>
      <c r="Y2115" t="s">
        <v>57</v>
      </c>
      <c r="AE2115">
        <v>0</v>
      </c>
      <c r="AP2115" t="s">
        <v>646</v>
      </c>
    </row>
    <row r="2116" spans="1:42">
      <c r="E2116" s="4" t="s">
        <v>4351</v>
      </c>
      <c r="G2116" s="16">
        <v>0.75</v>
      </c>
    </row>
    <row r="2117" spans="1:42">
      <c r="A2117" s="1" t="s">
        <v>46</v>
      </c>
      <c r="B2117" s="1" t="s">
        <v>4352</v>
      </c>
      <c r="C2117" s="1" t="s">
        <v>4352</v>
      </c>
      <c r="E2117" s="4" t="s">
        <v>4353</v>
      </c>
      <c r="G2117" s="16">
        <v>0.75</v>
      </c>
      <c r="M2117">
        <v>1</v>
      </c>
      <c r="N2117">
        <v>38</v>
      </c>
      <c r="O2117">
        <v>0</v>
      </c>
      <c r="P2117">
        <v>3.9</v>
      </c>
      <c r="Q2117">
        <v>148.19999999999999</v>
      </c>
      <c r="R2117">
        <v>0</v>
      </c>
      <c r="S2117">
        <v>0</v>
      </c>
      <c r="T2117" t="s">
        <v>52</v>
      </c>
      <c r="U2117">
        <v>0</v>
      </c>
      <c r="V2117">
        <v>0</v>
      </c>
      <c r="W2117">
        <v>400111</v>
      </c>
      <c r="X2117" t="s">
        <v>56</v>
      </c>
      <c r="Y2117" t="s">
        <v>57</v>
      </c>
      <c r="AE2117">
        <v>0</v>
      </c>
      <c r="AP2117" t="s">
        <v>646</v>
      </c>
    </row>
    <row r="2118" spans="1:42">
      <c r="A2118" s="1" t="s">
        <v>46</v>
      </c>
      <c r="B2118" s="1" t="s">
        <v>4354</v>
      </c>
      <c r="C2118" s="1" t="s">
        <v>4354</v>
      </c>
      <c r="E2118" s="4" t="s">
        <v>4355</v>
      </c>
      <c r="G2118" s="16"/>
      <c r="M2118">
        <v>1</v>
      </c>
      <c r="N2118">
        <v>12</v>
      </c>
      <c r="O2118">
        <v>0</v>
      </c>
      <c r="P2118">
        <v>0.8</v>
      </c>
      <c r="Q2118">
        <v>9.6</v>
      </c>
      <c r="W2118">
        <v>400017</v>
      </c>
      <c r="AE2118">
        <v>0</v>
      </c>
      <c r="AP2118" t="s">
        <v>49</v>
      </c>
    </row>
    <row r="2119" spans="1:42">
      <c r="E2119" s="4" t="s">
        <v>4356</v>
      </c>
      <c r="G2119" s="16"/>
    </row>
    <row r="2120" spans="1:42">
      <c r="A2120" s="1" t="s">
        <v>46</v>
      </c>
      <c r="B2120" s="1" t="s">
        <v>4357</v>
      </c>
      <c r="C2120" s="1" t="s">
        <v>4357</v>
      </c>
      <c r="E2120" s="4" t="s">
        <v>4358</v>
      </c>
      <c r="G2120" s="16">
        <v>0.35</v>
      </c>
      <c r="I2120">
        <v>7000</v>
      </c>
      <c r="M2120">
        <v>1</v>
      </c>
      <c r="N2120">
        <v>145</v>
      </c>
      <c r="O2120">
        <v>0</v>
      </c>
      <c r="P2120">
        <v>3.92</v>
      </c>
      <c r="Q2120">
        <v>568.4</v>
      </c>
      <c r="R2120">
        <v>0</v>
      </c>
      <c r="S2120">
        <v>0</v>
      </c>
      <c r="T2120" t="s">
        <v>52</v>
      </c>
      <c r="U2120">
        <v>0</v>
      </c>
      <c r="V2120">
        <v>0</v>
      </c>
      <c r="W2120">
        <v>400111</v>
      </c>
      <c r="X2120" t="s">
        <v>56</v>
      </c>
      <c r="Y2120" t="s">
        <v>57</v>
      </c>
      <c r="AE2120">
        <v>0</v>
      </c>
      <c r="AH2120">
        <v>7000</v>
      </c>
      <c r="AP2120" t="s">
        <v>646</v>
      </c>
    </row>
    <row r="2121" spans="1:42">
      <c r="A2121" s="1" t="s">
        <v>46</v>
      </c>
      <c r="B2121" s="1" t="s">
        <v>4359</v>
      </c>
      <c r="C2121" s="1" t="s">
        <v>4359</v>
      </c>
      <c r="E2121" s="4" t="s">
        <v>4360</v>
      </c>
      <c r="G2121" s="16">
        <v>0.35</v>
      </c>
      <c r="M2121">
        <v>1</v>
      </c>
      <c r="N2121">
        <v>52</v>
      </c>
      <c r="O2121">
        <v>0</v>
      </c>
      <c r="P2121">
        <v>4.75</v>
      </c>
      <c r="Q2121">
        <v>247</v>
      </c>
      <c r="R2121">
        <v>0</v>
      </c>
      <c r="S2121">
        <v>0</v>
      </c>
      <c r="T2121" t="s">
        <v>52</v>
      </c>
      <c r="W2121">
        <v>400111</v>
      </c>
      <c r="AE2121">
        <v>0</v>
      </c>
      <c r="AP2121" t="s">
        <v>646</v>
      </c>
    </row>
    <row r="2122" spans="1:42">
      <c r="E2122" s="4" t="s">
        <v>4361</v>
      </c>
      <c r="G2122" s="16">
        <v>0.75</v>
      </c>
    </row>
    <row r="2123" spans="1:42">
      <c r="A2123" s="1" t="s">
        <v>46</v>
      </c>
      <c r="B2123" s="1" t="s">
        <v>4362</v>
      </c>
      <c r="C2123" s="1" t="s">
        <v>4362</v>
      </c>
      <c r="E2123" s="4" t="s">
        <v>4363</v>
      </c>
      <c r="G2123" s="16">
        <v>0.75</v>
      </c>
      <c r="M2123">
        <v>1</v>
      </c>
      <c r="N2123">
        <v>247</v>
      </c>
      <c r="O2123">
        <v>0</v>
      </c>
      <c r="P2123">
        <v>5.9</v>
      </c>
      <c r="Q2123">
        <v>1457.3</v>
      </c>
      <c r="R2123">
        <v>0</v>
      </c>
      <c r="S2123">
        <v>0</v>
      </c>
      <c r="T2123" t="s">
        <v>52</v>
      </c>
      <c r="U2123">
        <v>0</v>
      </c>
      <c r="V2123">
        <v>0</v>
      </c>
      <c r="W2123">
        <v>400111</v>
      </c>
      <c r="X2123" t="s">
        <v>56</v>
      </c>
      <c r="Y2123" t="s">
        <v>57</v>
      </c>
      <c r="AE2123">
        <v>0</v>
      </c>
      <c r="AP2123" t="s">
        <v>646</v>
      </c>
    </row>
    <row r="2124" spans="1:42">
      <c r="A2124" s="1" t="s">
        <v>46</v>
      </c>
      <c r="B2124" s="1" t="s">
        <v>4364</v>
      </c>
      <c r="C2124" s="1" t="s">
        <v>4364</v>
      </c>
      <c r="E2124" s="4" t="s">
        <v>4365</v>
      </c>
      <c r="G2124" s="16"/>
      <c r="M2124">
        <v>1</v>
      </c>
      <c r="N2124">
        <v>2765</v>
      </c>
      <c r="O2124">
        <v>0</v>
      </c>
      <c r="P2124">
        <v>0.08</v>
      </c>
      <c r="Q2124">
        <v>207.38</v>
      </c>
      <c r="R2124">
        <v>0</v>
      </c>
      <c r="S2124">
        <v>0</v>
      </c>
      <c r="T2124" t="s">
        <v>52</v>
      </c>
      <c r="U2124">
        <v>0</v>
      </c>
      <c r="V2124">
        <v>0</v>
      </c>
      <c r="W2124">
        <v>400154</v>
      </c>
      <c r="AE2124">
        <v>0</v>
      </c>
      <c r="AP2124" t="s">
        <v>98</v>
      </c>
    </row>
    <row r="2125" spans="1:42">
      <c r="E2125" s="4" t="s">
        <v>4366</v>
      </c>
      <c r="G2125" s="16"/>
    </row>
    <row r="2126" spans="1:42">
      <c r="A2126" s="1" t="s">
        <v>46</v>
      </c>
      <c r="B2126" s="1" t="s">
        <v>4367</v>
      </c>
      <c r="C2126" s="1" t="s">
        <v>4367</v>
      </c>
      <c r="E2126" s="4" t="s">
        <v>4368</v>
      </c>
      <c r="G2126" s="16"/>
      <c r="M2126">
        <v>1</v>
      </c>
      <c r="N2126">
        <v>19696</v>
      </c>
      <c r="O2126">
        <v>0</v>
      </c>
      <c r="P2126">
        <v>100</v>
      </c>
      <c r="Q2126">
        <v>1969600</v>
      </c>
      <c r="R2126">
        <v>0</v>
      </c>
      <c r="S2126">
        <v>0</v>
      </c>
      <c r="T2126" t="s">
        <v>52</v>
      </c>
      <c r="U2126">
        <v>0</v>
      </c>
      <c r="V2126">
        <v>0</v>
      </c>
      <c r="W2126">
        <v>400130</v>
      </c>
      <c r="X2126" t="s">
        <v>56</v>
      </c>
      <c r="Y2126" t="s">
        <v>57</v>
      </c>
      <c r="AE2126">
        <v>0</v>
      </c>
      <c r="AP2126" t="s">
        <v>139</v>
      </c>
    </row>
    <row r="2127" spans="1:42">
      <c r="E2127" s="4" t="s">
        <v>4369</v>
      </c>
      <c r="G2127" s="16"/>
    </row>
    <row r="2128" spans="1:42">
      <c r="E2128" s="4" t="s">
        <v>4370</v>
      </c>
      <c r="G2128" s="16"/>
    </row>
    <row r="2129" spans="1:42">
      <c r="A2129" s="1" t="s">
        <v>46</v>
      </c>
      <c r="B2129" s="1" t="s">
        <v>4371</v>
      </c>
      <c r="C2129" s="1" t="s">
        <v>4371</v>
      </c>
      <c r="E2129" s="4" t="s">
        <v>4372</v>
      </c>
      <c r="G2129" s="16"/>
      <c r="M2129">
        <v>1</v>
      </c>
      <c r="N2129">
        <v>-1</v>
      </c>
      <c r="O2129">
        <v>0</v>
      </c>
      <c r="AE2129">
        <v>0</v>
      </c>
    </row>
    <row r="2130" spans="1:42">
      <c r="E2130" s="4" t="s">
        <v>4373</v>
      </c>
      <c r="G2130" s="16"/>
    </row>
    <row r="2131" spans="1:42">
      <c r="A2131" s="1" t="s">
        <v>46</v>
      </c>
      <c r="B2131" s="1" t="s">
        <v>4374</v>
      </c>
      <c r="C2131" s="1" t="s">
        <v>4374</v>
      </c>
      <c r="E2131" s="4" t="s">
        <v>4375</v>
      </c>
      <c r="G2131" s="16"/>
      <c r="M2131">
        <v>1</v>
      </c>
      <c r="N2131">
        <v>4</v>
      </c>
      <c r="O2131">
        <v>0</v>
      </c>
      <c r="P2131">
        <v>1.1499999999999999</v>
      </c>
      <c r="Q2131">
        <v>4.5999999999999996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400158</v>
      </c>
      <c r="X2131" t="s">
        <v>56</v>
      </c>
      <c r="Y2131" t="s">
        <v>57</v>
      </c>
      <c r="AE2131">
        <v>0</v>
      </c>
      <c r="AP2131" t="s">
        <v>61</v>
      </c>
    </row>
    <row r="2132" spans="1:42">
      <c r="A2132" s="1" t="s">
        <v>46</v>
      </c>
      <c r="B2132" s="1" t="s">
        <v>4376</v>
      </c>
      <c r="C2132" s="1" t="s">
        <v>4376</v>
      </c>
      <c r="E2132" s="4" t="s">
        <v>4377</v>
      </c>
      <c r="G2132" s="16"/>
      <c r="M2132">
        <v>1</v>
      </c>
      <c r="N2132">
        <v>345</v>
      </c>
      <c r="O2132">
        <v>0</v>
      </c>
      <c r="P2132">
        <v>13.4</v>
      </c>
      <c r="Q2132">
        <v>4623.8599999999997</v>
      </c>
      <c r="R2132">
        <v>0</v>
      </c>
      <c r="S2132">
        <v>0</v>
      </c>
      <c r="T2132" t="s">
        <v>52</v>
      </c>
      <c r="U2132">
        <v>0</v>
      </c>
      <c r="V2132">
        <v>0</v>
      </c>
      <c r="W2132">
        <v>400013</v>
      </c>
      <c r="X2132" t="s">
        <v>56</v>
      </c>
      <c r="Y2132" t="s">
        <v>57</v>
      </c>
      <c r="AE2132">
        <v>0</v>
      </c>
      <c r="AP2132" t="s">
        <v>232</v>
      </c>
    </row>
    <row r="2133" spans="1:42">
      <c r="E2133" s="4" t="s">
        <v>4378</v>
      </c>
      <c r="G2133" s="16"/>
    </row>
    <row r="2134" spans="1:42">
      <c r="A2134" s="1" t="s">
        <v>46</v>
      </c>
      <c r="B2134" s="1" t="s">
        <v>4379</v>
      </c>
      <c r="C2134" s="1" t="s">
        <v>4379</v>
      </c>
      <c r="E2134" s="4" t="s">
        <v>4380</v>
      </c>
      <c r="G2134" s="16"/>
      <c r="I2134">
        <v>5</v>
      </c>
      <c r="M2134">
        <v>1</v>
      </c>
      <c r="N2134">
        <v>2552.5</v>
      </c>
      <c r="O2134">
        <v>0</v>
      </c>
      <c r="P2134">
        <v>2.5</v>
      </c>
      <c r="Q2134">
        <v>6381.25</v>
      </c>
      <c r="R2134">
        <v>0</v>
      </c>
      <c r="S2134">
        <v>0</v>
      </c>
      <c r="T2134" t="s">
        <v>52</v>
      </c>
      <c r="U2134">
        <v>0</v>
      </c>
      <c r="V2134">
        <v>0</v>
      </c>
      <c r="W2134">
        <v>400203</v>
      </c>
      <c r="X2134" t="s">
        <v>56</v>
      </c>
      <c r="Y2134" t="s">
        <v>57</v>
      </c>
      <c r="AE2134">
        <v>0</v>
      </c>
      <c r="AH2134">
        <v>5</v>
      </c>
      <c r="AP2134" t="s">
        <v>837</v>
      </c>
    </row>
    <row r="2135" spans="1:42">
      <c r="E2135" s="4" t="s">
        <v>4381</v>
      </c>
      <c r="G2135" s="16"/>
    </row>
    <row r="2136" spans="1:42">
      <c r="A2136" s="1" t="s">
        <v>46</v>
      </c>
      <c r="B2136" s="1" t="s">
        <v>4382</v>
      </c>
      <c r="C2136" s="1" t="s">
        <v>4382</v>
      </c>
      <c r="E2136" s="4" t="s">
        <v>4383</v>
      </c>
      <c r="G2136" s="16"/>
      <c r="M2136">
        <v>1</v>
      </c>
      <c r="N2136">
        <v>1506</v>
      </c>
      <c r="O2136">
        <v>0</v>
      </c>
      <c r="P2136">
        <v>1.25</v>
      </c>
      <c r="Q2136">
        <v>1882.5</v>
      </c>
      <c r="R2136">
        <v>0</v>
      </c>
      <c r="S2136">
        <v>0</v>
      </c>
      <c r="T2136" t="s">
        <v>52</v>
      </c>
      <c r="U2136">
        <v>0</v>
      </c>
      <c r="V2136">
        <v>0</v>
      </c>
      <c r="W2136">
        <v>400203</v>
      </c>
      <c r="AE2136">
        <v>0</v>
      </c>
      <c r="AP2136" t="s">
        <v>837</v>
      </c>
    </row>
    <row r="2137" spans="1:42">
      <c r="A2137" s="1" t="s">
        <v>46</v>
      </c>
      <c r="B2137" s="1" t="s">
        <v>4384</v>
      </c>
      <c r="C2137" s="1" t="s">
        <v>4384</v>
      </c>
      <c r="E2137" s="4" t="s">
        <v>4385</v>
      </c>
      <c r="G2137" s="16"/>
      <c r="M2137">
        <v>1</v>
      </c>
      <c r="N2137">
        <v>337</v>
      </c>
      <c r="O2137">
        <v>0</v>
      </c>
      <c r="P2137">
        <v>1.2</v>
      </c>
      <c r="Q2137">
        <v>404.4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400203</v>
      </c>
      <c r="AE2137">
        <v>0</v>
      </c>
      <c r="AP2137" t="s">
        <v>837</v>
      </c>
    </row>
    <row r="2138" spans="1:42">
      <c r="A2138" s="1" t="s">
        <v>46</v>
      </c>
      <c r="B2138" s="1" t="s">
        <v>4386</v>
      </c>
      <c r="C2138" s="1" t="s">
        <v>4386</v>
      </c>
      <c r="E2138" s="4" t="s">
        <v>4387</v>
      </c>
      <c r="G2138" s="16"/>
      <c r="M2138">
        <v>1</v>
      </c>
      <c r="N2138">
        <v>-1025</v>
      </c>
      <c r="O2138">
        <v>0</v>
      </c>
      <c r="P2138">
        <v>5</v>
      </c>
      <c r="Q2138">
        <v>-5125</v>
      </c>
      <c r="R2138">
        <v>0</v>
      </c>
      <c r="S2138">
        <v>0</v>
      </c>
      <c r="T2138" t="s">
        <v>52</v>
      </c>
      <c r="U2138">
        <v>0</v>
      </c>
      <c r="V2138">
        <v>0</v>
      </c>
      <c r="W2138">
        <v>400137</v>
      </c>
      <c r="X2138" t="s">
        <v>56</v>
      </c>
      <c r="Y2138" t="s">
        <v>57</v>
      </c>
      <c r="AE2138">
        <v>0</v>
      </c>
      <c r="AP2138" t="s">
        <v>537</v>
      </c>
    </row>
    <row r="2139" spans="1:42">
      <c r="A2139" s="1" t="s">
        <v>46</v>
      </c>
      <c r="B2139" s="1" t="s">
        <v>4388</v>
      </c>
      <c r="C2139" s="1" t="s">
        <v>4388</v>
      </c>
      <c r="E2139" s="4" t="s">
        <v>4389</v>
      </c>
      <c r="G2139" s="16"/>
      <c r="M2139">
        <v>1</v>
      </c>
      <c r="N2139">
        <v>6731</v>
      </c>
      <c r="O2139">
        <v>0</v>
      </c>
      <c r="P2139">
        <v>0.45</v>
      </c>
      <c r="Q2139">
        <v>3028.95</v>
      </c>
      <c r="R2139">
        <v>0</v>
      </c>
      <c r="S2139">
        <v>0</v>
      </c>
      <c r="T2139" t="s">
        <v>4390</v>
      </c>
      <c r="W2139">
        <v>400017</v>
      </c>
      <c r="AE2139">
        <v>0</v>
      </c>
      <c r="AP2139" t="s">
        <v>49</v>
      </c>
    </row>
    <row r="2140" spans="1:42">
      <c r="A2140" s="1" t="s">
        <v>46</v>
      </c>
      <c r="B2140" s="1" t="s">
        <v>4391</v>
      </c>
      <c r="C2140" s="1" t="s">
        <v>4391</v>
      </c>
      <c r="E2140" s="4" t="s">
        <v>4392</v>
      </c>
      <c r="G2140" s="16"/>
      <c r="M2140">
        <v>1</v>
      </c>
      <c r="N2140">
        <v>40</v>
      </c>
      <c r="O2140">
        <v>0</v>
      </c>
      <c r="P2140">
        <v>1</v>
      </c>
      <c r="Q2140">
        <v>40</v>
      </c>
      <c r="R2140">
        <v>0</v>
      </c>
      <c r="S2140">
        <v>0</v>
      </c>
      <c r="T2140" t="s">
        <v>52</v>
      </c>
      <c r="U2140">
        <v>0</v>
      </c>
      <c r="V2140">
        <v>0</v>
      </c>
      <c r="W2140">
        <v>400017</v>
      </c>
      <c r="X2140" t="s">
        <v>56</v>
      </c>
      <c r="Y2140" t="s">
        <v>57</v>
      </c>
      <c r="AE2140">
        <v>0</v>
      </c>
      <c r="AP2140" t="s">
        <v>49</v>
      </c>
    </row>
    <row r="2141" spans="1:42">
      <c r="A2141" s="1" t="s">
        <v>46</v>
      </c>
      <c r="B2141" s="1" t="s">
        <v>4393</v>
      </c>
      <c r="C2141" s="1" t="s">
        <v>4393</v>
      </c>
      <c r="E2141" s="4" t="s">
        <v>4394</v>
      </c>
      <c r="G2141" s="16"/>
      <c r="M2141">
        <v>1</v>
      </c>
      <c r="N2141">
        <v>-245</v>
      </c>
      <c r="O2141">
        <v>0</v>
      </c>
      <c r="P2141">
        <v>18</v>
      </c>
      <c r="Q2141">
        <v>-4410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400017</v>
      </c>
      <c r="X2141" t="s">
        <v>56</v>
      </c>
      <c r="Y2141" t="s">
        <v>57</v>
      </c>
      <c r="AE2141">
        <v>0</v>
      </c>
      <c r="AP2141" t="s">
        <v>49</v>
      </c>
    </row>
    <row r="2142" spans="1:42">
      <c r="A2142" s="1" t="s">
        <v>46</v>
      </c>
      <c r="B2142" s="1" t="s">
        <v>4395</v>
      </c>
      <c r="C2142" s="1" t="s">
        <v>4395</v>
      </c>
      <c r="E2142" s="4" t="s">
        <v>4396</v>
      </c>
      <c r="G2142" s="16"/>
      <c r="M2142">
        <v>1</v>
      </c>
      <c r="N2142">
        <v>1324</v>
      </c>
      <c r="O2142">
        <v>0</v>
      </c>
      <c r="P2142">
        <v>0.45</v>
      </c>
      <c r="Q2142">
        <v>595.79999999999995</v>
      </c>
      <c r="R2142">
        <v>0</v>
      </c>
      <c r="S2142">
        <v>0</v>
      </c>
      <c r="T2142" t="s">
        <v>52</v>
      </c>
      <c r="U2142" t="s">
        <v>52</v>
      </c>
      <c r="V2142">
        <v>0</v>
      </c>
      <c r="W2142">
        <v>400017</v>
      </c>
      <c r="X2142" t="s">
        <v>56</v>
      </c>
      <c r="Y2142" t="s">
        <v>57</v>
      </c>
      <c r="AE2142">
        <v>0</v>
      </c>
      <c r="AP2142" t="s">
        <v>49</v>
      </c>
    </row>
    <row r="2143" spans="1:42">
      <c r="A2143" s="1" t="s">
        <v>46</v>
      </c>
      <c r="B2143" s="1" t="s">
        <v>4397</v>
      </c>
      <c r="C2143" s="1" t="s">
        <v>4397</v>
      </c>
      <c r="E2143" s="4" t="s">
        <v>4398</v>
      </c>
      <c r="G2143" s="16"/>
      <c r="M2143">
        <v>1</v>
      </c>
      <c r="N2143">
        <v>3274</v>
      </c>
      <c r="O2143">
        <v>0</v>
      </c>
      <c r="P2143">
        <v>5</v>
      </c>
      <c r="Q2143">
        <v>16370</v>
      </c>
      <c r="R2143">
        <v>0</v>
      </c>
      <c r="S2143">
        <v>0</v>
      </c>
      <c r="T2143" t="s">
        <v>52</v>
      </c>
      <c r="U2143">
        <v>0</v>
      </c>
      <c r="V2143">
        <v>0</v>
      </c>
      <c r="W2143">
        <v>400017</v>
      </c>
      <c r="AE2143">
        <v>0</v>
      </c>
      <c r="AP2143" t="s">
        <v>49</v>
      </c>
    </row>
    <row r="2144" spans="1:42">
      <c r="A2144" s="1" t="s">
        <v>46</v>
      </c>
      <c r="B2144" s="1" t="s">
        <v>4399</v>
      </c>
      <c r="C2144" s="1" t="s">
        <v>4399</v>
      </c>
      <c r="E2144" s="4" t="s">
        <v>4400</v>
      </c>
      <c r="G2144" s="16"/>
      <c r="M2144">
        <v>1</v>
      </c>
      <c r="N2144">
        <v>25</v>
      </c>
      <c r="O2144">
        <v>0</v>
      </c>
      <c r="P2144">
        <v>0.42</v>
      </c>
      <c r="Q2144">
        <v>10.42</v>
      </c>
      <c r="R2144">
        <v>0</v>
      </c>
      <c r="S2144">
        <v>0</v>
      </c>
      <c r="T2144" t="s">
        <v>52</v>
      </c>
      <c r="U2144">
        <v>0</v>
      </c>
      <c r="V2144">
        <v>0</v>
      </c>
      <c r="W2144">
        <v>400091</v>
      </c>
      <c r="X2144" t="s">
        <v>56</v>
      </c>
      <c r="Y2144" t="s">
        <v>57</v>
      </c>
      <c r="AE2144">
        <v>0</v>
      </c>
      <c r="AP2144" t="s">
        <v>3931</v>
      </c>
    </row>
    <row r="2145" spans="1:42">
      <c r="A2145" s="1" t="s">
        <v>46</v>
      </c>
      <c r="B2145" s="1" t="s">
        <v>4401</v>
      </c>
      <c r="C2145" s="1" t="s">
        <v>4401</v>
      </c>
      <c r="E2145" s="4" t="s">
        <v>4402</v>
      </c>
      <c r="G2145" s="16"/>
      <c r="M2145">
        <v>1</v>
      </c>
      <c r="N2145">
        <v>2873</v>
      </c>
      <c r="O2145">
        <v>0</v>
      </c>
      <c r="P2145">
        <v>0.3</v>
      </c>
      <c r="Q2145">
        <v>861.9</v>
      </c>
      <c r="R2145">
        <v>0</v>
      </c>
      <c r="S2145">
        <v>0</v>
      </c>
      <c r="T2145" t="s">
        <v>52</v>
      </c>
      <c r="U2145">
        <v>0</v>
      </c>
      <c r="V2145">
        <v>0</v>
      </c>
      <c r="W2145">
        <v>400017</v>
      </c>
      <c r="X2145" t="s">
        <v>56</v>
      </c>
      <c r="Y2145" t="s">
        <v>57</v>
      </c>
      <c r="AE2145">
        <v>0</v>
      </c>
      <c r="AP2145" t="s">
        <v>49</v>
      </c>
    </row>
    <row r="2146" spans="1:42">
      <c r="A2146" s="1" t="s">
        <v>46</v>
      </c>
      <c r="B2146" s="1" t="s">
        <v>4403</v>
      </c>
      <c r="C2146" s="1" t="s">
        <v>4403</v>
      </c>
      <c r="E2146" s="4" t="s">
        <v>4404</v>
      </c>
      <c r="G2146" s="16"/>
      <c r="M2146">
        <v>1</v>
      </c>
      <c r="N2146">
        <v>858</v>
      </c>
      <c r="O2146">
        <v>0</v>
      </c>
      <c r="P2146">
        <v>1.25</v>
      </c>
      <c r="Q2146">
        <v>1072.5</v>
      </c>
      <c r="R2146">
        <v>0</v>
      </c>
      <c r="S2146">
        <v>0</v>
      </c>
      <c r="T2146" t="s">
        <v>52</v>
      </c>
      <c r="U2146">
        <v>0</v>
      </c>
      <c r="V2146">
        <v>0</v>
      </c>
      <c r="W2146">
        <v>400091</v>
      </c>
      <c r="X2146" t="s">
        <v>56</v>
      </c>
      <c r="Y2146" t="s">
        <v>57</v>
      </c>
      <c r="AE2146">
        <v>0</v>
      </c>
      <c r="AP2146" t="s">
        <v>3931</v>
      </c>
    </row>
    <row r="2147" spans="1:42">
      <c r="A2147" s="1" t="s">
        <v>46</v>
      </c>
      <c r="B2147" s="1" t="s">
        <v>4405</v>
      </c>
      <c r="C2147" s="1" t="s">
        <v>4405</v>
      </c>
      <c r="E2147" s="4" t="s">
        <v>4406</v>
      </c>
      <c r="G2147" s="16"/>
      <c r="M2147">
        <v>1</v>
      </c>
      <c r="N2147">
        <v>6</v>
      </c>
      <c r="O2147">
        <v>0</v>
      </c>
      <c r="P2147">
        <v>1</v>
      </c>
      <c r="Q2147">
        <v>6</v>
      </c>
      <c r="W2147">
        <v>410302</v>
      </c>
      <c r="AE2147">
        <v>0</v>
      </c>
      <c r="AP2147" t="s">
        <v>177</v>
      </c>
    </row>
    <row r="2148" spans="1:42">
      <c r="A2148" s="1" t="s">
        <v>46</v>
      </c>
      <c r="B2148" s="1" t="s">
        <v>4407</v>
      </c>
      <c r="C2148" s="1" t="s">
        <v>4407</v>
      </c>
      <c r="E2148" s="4" t="s">
        <v>4408</v>
      </c>
      <c r="G2148" s="16"/>
      <c r="M2148">
        <v>1</v>
      </c>
      <c r="N2148">
        <v>330</v>
      </c>
      <c r="O2148">
        <v>0</v>
      </c>
      <c r="P2148">
        <v>4.75</v>
      </c>
      <c r="Q2148">
        <v>1567.5</v>
      </c>
      <c r="R2148">
        <v>0</v>
      </c>
      <c r="S2148">
        <v>0</v>
      </c>
      <c r="T2148" t="s">
        <v>52</v>
      </c>
      <c r="U2148">
        <v>0</v>
      </c>
      <c r="V2148">
        <v>0</v>
      </c>
      <c r="W2148">
        <v>400028</v>
      </c>
      <c r="X2148" t="s">
        <v>56</v>
      </c>
      <c r="Y2148" t="s">
        <v>57</v>
      </c>
      <c r="AE2148">
        <v>0</v>
      </c>
      <c r="AP2148" t="s">
        <v>246</v>
      </c>
    </row>
    <row r="2149" spans="1:42">
      <c r="A2149" s="1" t="s">
        <v>46</v>
      </c>
      <c r="B2149" s="1" t="s">
        <v>4409</v>
      </c>
      <c r="C2149" s="1" t="s">
        <v>4409</v>
      </c>
      <c r="E2149" s="4" t="s">
        <v>4410</v>
      </c>
      <c r="G2149" s="16"/>
      <c r="M2149">
        <v>1</v>
      </c>
      <c r="N2149">
        <v>4</v>
      </c>
      <c r="O2149">
        <v>0</v>
      </c>
      <c r="P2149">
        <v>6.72</v>
      </c>
      <c r="Q2149">
        <v>26.86</v>
      </c>
      <c r="W2149">
        <v>400026</v>
      </c>
      <c r="AE2149">
        <v>0</v>
      </c>
      <c r="AP2149" t="s">
        <v>187</v>
      </c>
    </row>
    <row r="2150" spans="1:42">
      <c r="A2150" s="1" t="s">
        <v>46</v>
      </c>
      <c r="B2150" s="1" t="s">
        <v>4411</v>
      </c>
      <c r="C2150" s="1" t="s">
        <v>4411</v>
      </c>
      <c r="E2150" s="4" t="s">
        <v>4412</v>
      </c>
      <c r="G2150" s="16"/>
      <c r="M2150">
        <v>1</v>
      </c>
      <c r="N2150">
        <v>2</v>
      </c>
      <c r="O2150">
        <v>0</v>
      </c>
      <c r="P2150">
        <v>6</v>
      </c>
      <c r="Q2150">
        <v>12</v>
      </c>
      <c r="R2150">
        <v>0</v>
      </c>
      <c r="S2150">
        <v>0</v>
      </c>
      <c r="T2150" t="s">
        <v>52</v>
      </c>
      <c r="W2150">
        <v>400140</v>
      </c>
      <c r="AE2150">
        <v>0</v>
      </c>
      <c r="AP2150" t="s">
        <v>4033</v>
      </c>
    </row>
    <row r="2151" spans="1:42">
      <c r="A2151" s="1" t="s">
        <v>46</v>
      </c>
      <c r="B2151" s="1" t="s">
        <v>4413</v>
      </c>
      <c r="C2151" s="1" t="s">
        <v>4413</v>
      </c>
      <c r="E2151" s="4" t="s">
        <v>4414</v>
      </c>
      <c r="G2151" s="16"/>
      <c r="M2151">
        <v>1</v>
      </c>
      <c r="N2151">
        <v>218</v>
      </c>
      <c r="O2151">
        <v>0</v>
      </c>
      <c r="P2151">
        <v>0.75</v>
      </c>
      <c r="Q2151">
        <v>163.5</v>
      </c>
      <c r="R2151">
        <v>0</v>
      </c>
      <c r="S2151">
        <v>0</v>
      </c>
      <c r="T2151" t="s">
        <v>52</v>
      </c>
      <c r="U2151">
        <v>0</v>
      </c>
      <c r="V2151">
        <v>0</v>
      </c>
      <c r="W2151">
        <v>400017</v>
      </c>
      <c r="X2151" t="s">
        <v>56</v>
      </c>
      <c r="Y2151" t="s">
        <v>57</v>
      </c>
      <c r="AE2151">
        <v>0</v>
      </c>
      <c r="AP2151" t="s">
        <v>49</v>
      </c>
    </row>
    <row r="2152" spans="1:42">
      <c r="A2152" s="1" t="s">
        <v>46</v>
      </c>
      <c r="B2152" s="1" t="s">
        <v>4415</v>
      </c>
      <c r="C2152" s="1" t="s">
        <v>4415</v>
      </c>
      <c r="E2152" s="4" t="s">
        <v>4416</v>
      </c>
      <c r="G2152" s="16"/>
      <c r="M2152">
        <v>1</v>
      </c>
      <c r="N2152">
        <v>22</v>
      </c>
      <c r="O2152">
        <v>0</v>
      </c>
      <c r="P2152">
        <v>1</v>
      </c>
      <c r="Q2152">
        <v>22</v>
      </c>
      <c r="R2152">
        <v>0</v>
      </c>
      <c r="S2152">
        <v>0</v>
      </c>
      <c r="T2152" t="s">
        <v>52</v>
      </c>
      <c r="U2152">
        <v>0</v>
      </c>
      <c r="V2152">
        <v>0</v>
      </c>
      <c r="W2152">
        <v>400017</v>
      </c>
      <c r="X2152" t="s">
        <v>56</v>
      </c>
      <c r="Y2152" t="s">
        <v>57</v>
      </c>
      <c r="AE2152">
        <v>0</v>
      </c>
      <c r="AP2152" t="s">
        <v>49</v>
      </c>
    </row>
    <row r="2153" spans="1:42">
      <c r="A2153" s="1" t="s">
        <v>46</v>
      </c>
      <c r="B2153" s="1" t="s">
        <v>4417</v>
      </c>
      <c r="C2153" s="1" t="s">
        <v>4417</v>
      </c>
      <c r="E2153" s="4" t="s">
        <v>4418</v>
      </c>
      <c r="G2153" s="16"/>
      <c r="M2153">
        <v>1</v>
      </c>
      <c r="N2153">
        <v>3</v>
      </c>
      <c r="O2153">
        <v>0</v>
      </c>
      <c r="P2153">
        <v>2</v>
      </c>
      <c r="Q2153">
        <v>6</v>
      </c>
      <c r="R2153">
        <v>0</v>
      </c>
      <c r="S2153">
        <v>0</v>
      </c>
      <c r="T2153" t="s">
        <v>52</v>
      </c>
      <c r="U2153">
        <v>0</v>
      </c>
      <c r="V2153">
        <v>0</v>
      </c>
      <c r="W2153">
        <v>400017</v>
      </c>
      <c r="X2153" t="s">
        <v>56</v>
      </c>
      <c r="Y2153" t="s">
        <v>57</v>
      </c>
      <c r="AE2153">
        <v>0</v>
      </c>
      <c r="AP2153" t="s">
        <v>49</v>
      </c>
    </row>
    <row r="2154" spans="1:42">
      <c r="A2154" s="1" t="s">
        <v>46</v>
      </c>
      <c r="B2154" s="1" t="s">
        <v>4419</v>
      </c>
      <c r="C2154" s="1" t="s">
        <v>4419</v>
      </c>
      <c r="E2154" s="4" t="s">
        <v>4420</v>
      </c>
      <c r="G2154" s="16"/>
      <c r="M2154">
        <v>1</v>
      </c>
      <c r="N2154">
        <v>98</v>
      </c>
      <c r="O2154">
        <v>0</v>
      </c>
      <c r="P2154">
        <v>0.25</v>
      </c>
      <c r="Q2154">
        <v>24.5</v>
      </c>
      <c r="R2154">
        <v>0</v>
      </c>
      <c r="S2154">
        <v>0</v>
      </c>
      <c r="T2154" t="s">
        <v>52</v>
      </c>
      <c r="U2154">
        <v>0</v>
      </c>
      <c r="V2154">
        <v>0</v>
      </c>
      <c r="W2154">
        <v>400017</v>
      </c>
      <c r="X2154" t="s">
        <v>56</v>
      </c>
      <c r="Y2154" t="s">
        <v>57</v>
      </c>
      <c r="AE2154">
        <v>0</v>
      </c>
      <c r="AP2154" t="s">
        <v>49</v>
      </c>
    </row>
    <row r="2155" spans="1:42">
      <c r="A2155" s="1" t="s">
        <v>46</v>
      </c>
      <c r="B2155" s="1" t="s">
        <v>4421</v>
      </c>
      <c r="C2155" s="1" t="s">
        <v>4421</v>
      </c>
      <c r="E2155" s="4" t="s">
        <v>4422</v>
      </c>
      <c r="G2155" s="16"/>
      <c r="M2155">
        <v>1</v>
      </c>
      <c r="N2155">
        <v>1169</v>
      </c>
      <c r="O2155">
        <v>0</v>
      </c>
      <c r="P2155">
        <v>0.4</v>
      </c>
      <c r="Q2155">
        <v>467.6</v>
      </c>
      <c r="R2155">
        <v>0</v>
      </c>
      <c r="S2155">
        <v>0</v>
      </c>
      <c r="T2155" t="s">
        <v>52</v>
      </c>
      <c r="U2155">
        <v>0</v>
      </c>
      <c r="V2155">
        <v>0</v>
      </c>
      <c r="W2155">
        <v>400017</v>
      </c>
      <c r="X2155" t="s">
        <v>56</v>
      </c>
      <c r="Y2155" t="s">
        <v>57</v>
      </c>
      <c r="AE2155">
        <v>0</v>
      </c>
      <c r="AP2155" t="s">
        <v>49</v>
      </c>
    </row>
    <row r="2156" spans="1:42">
      <c r="E2156" s="4" t="s">
        <v>4423</v>
      </c>
      <c r="G2156" s="16"/>
    </row>
    <row r="2157" spans="1:42">
      <c r="E2157" s="4" t="s">
        <v>4424</v>
      </c>
      <c r="G2157" s="16"/>
    </row>
    <row r="2158" spans="1:42">
      <c r="E2158" s="4" t="s">
        <v>4425</v>
      </c>
      <c r="G2158" s="16"/>
    </row>
    <row r="2159" spans="1:42">
      <c r="E2159" s="4" t="s">
        <v>4426</v>
      </c>
      <c r="G2159" s="16"/>
    </row>
    <row r="2160" spans="1:42">
      <c r="E2160" s="4" t="s">
        <v>4427</v>
      </c>
      <c r="G2160" s="16"/>
    </row>
    <row r="2161" spans="5:7">
      <c r="E2161" s="4" t="s">
        <v>4428</v>
      </c>
      <c r="G2161" s="16"/>
    </row>
    <row r="2162" spans="5:7">
      <c r="E2162" s="4" t="s">
        <v>4429</v>
      </c>
      <c r="G2162" s="16"/>
    </row>
    <row r="2163" spans="5:7">
      <c r="E2163" s="4" t="s">
        <v>4430</v>
      </c>
      <c r="G2163" s="16"/>
    </row>
    <row r="2164" spans="5:7">
      <c r="E2164" s="4" t="s">
        <v>4431</v>
      </c>
      <c r="G2164" s="16"/>
    </row>
    <row r="2165" spans="5:7">
      <c r="E2165" s="4" t="s">
        <v>4432</v>
      </c>
      <c r="G2165" s="16"/>
    </row>
    <row r="2166" spans="5:7">
      <c r="E2166" s="4" t="s">
        <v>4433</v>
      </c>
      <c r="G2166" s="16"/>
    </row>
    <row r="2167" spans="5:7">
      <c r="E2167" s="4" t="s">
        <v>4434</v>
      </c>
      <c r="G2167" s="16">
        <v>1</v>
      </c>
    </row>
    <row r="2168" spans="5:7">
      <c r="E2168" s="4" t="s">
        <v>4435</v>
      </c>
      <c r="G2168" s="16"/>
    </row>
    <row r="2169" spans="5:7">
      <c r="E2169" s="4" t="s">
        <v>4436</v>
      </c>
      <c r="G2169" s="16"/>
    </row>
    <row r="2170" spans="5:7">
      <c r="E2170" s="4" t="s">
        <v>4437</v>
      </c>
      <c r="G2170" s="16"/>
    </row>
    <row r="2171" spans="5:7">
      <c r="E2171" s="4" t="s">
        <v>4438</v>
      </c>
      <c r="G2171" s="16">
        <v>0.75</v>
      </c>
    </row>
    <row r="2172" spans="5:7">
      <c r="E2172" s="4" t="s">
        <v>4439</v>
      </c>
      <c r="G2172" s="16"/>
    </row>
    <row r="2173" spans="5:7">
      <c r="E2173" s="4" t="s">
        <v>4440</v>
      </c>
      <c r="G2173" s="16"/>
    </row>
    <row r="2174" spans="5:7">
      <c r="E2174" s="4" t="s">
        <v>4441</v>
      </c>
      <c r="G2174" s="16"/>
    </row>
    <row r="2175" spans="5:7">
      <c r="E2175" s="4" t="s">
        <v>4442</v>
      </c>
      <c r="G2175" s="16"/>
    </row>
    <row r="2176" spans="5:7">
      <c r="E2176" s="4" t="s">
        <v>4443</v>
      </c>
      <c r="G2176" s="16"/>
    </row>
    <row r="2177" spans="1:42">
      <c r="A2177" s="1" t="s">
        <v>46</v>
      </c>
      <c r="B2177" s="1" t="s">
        <v>4444</v>
      </c>
      <c r="C2177" s="1" t="s">
        <v>4444</v>
      </c>
      <c r="E2177" s="4" t="s">
        <v>4445</v>
      </c>
      <c r="G2177" s="16"/>
      <c r="M2177">
        <v>1</v>
      </c>
      <c r="N2177">
        <v>-2</v>
      </c>
      <c r="O2177">
        <v>0</v>
      </c>
      <c r="P2177">
        <v>2</v>
      </c>
      <c r="Q2177">
        <v>-4</v>
      </c>
      <c r="R2177">
        <v>0</v>
      </c>
      <c r="S2177">
        <v>0</v>
      </c>
      <c r="T2177" t="s">
        <v>52</v>
      </c>
      <c r="W2177">
        <v>400042</v>
      </c>
      <c r="AE2177">
        <v>0</v>
      </c>
      <c r="AP2177" t="s">
        <v>154</v>
      </c>
    </row>
    <row r="2178" spans="1:42">
      <c r="A2178" s="1" t="s">
        <v>46</v>
      </c>
      <c r="B2178" s="1" t="s">
        <v>4446</v>
      </c>
      <c r="C2178" s="1" t="s">
        <v>4446</v>
      </c>
      <c r="E2178" s="4" t="s">
        <v>4447</v>
      </c>
      <c r="G2178" s="16"/>
      <c r="I2178">
        <v>28</v>
      </c>
      <c r="M2178">
        <v>1</v>
      </c>
      <c r="N2178">
        <v>145</v>
      </c>
      <c r="O2178">
        <v>0</v>
      </c>
      <c r="P2178">
        <v>6.72</v>
      </c>
      <c r="Q2178">
        <v>973.75</v>
      </c>
      <c r="R2178" t="s">
        <v>1050</v>
      </c>
      <c r="S2178">
        <v>0</v>
      </c>
      <c r="T2178" t="s">
        <v>52</v>
      </c>
      <c r="U2178">
        <v>0</v>
      </c>
      <c r="V2178">
        <v>0</v>
      </c>
      <c r="W2178">
        <v>400013</v>
      </c>
      <c r="AE2178">
        <v>0</v>
      </c>
      <c r="AH2178">
        <v>28</v>
      </c>
      <c r="AP2178" t="s">
        <v>232</v>
      </c>
    </row>
    <row r="2179" spans="1:42">
      <c r="E2179" s="4" t="s">
        <v>4448</v>
      </c>
      <c r="G2179" s="16">
        <v>1</v>
      </c>
    </row>
    <row r="2180" spans="1:42">
      <c r="E2180" s="4" t="s">
        <v>4449</v>
      </c>
      <c r="G2180" s="16"/>
    </row>
    <row r="2181" spans="1:42">
      <c r="A2181" s="1" t="s">
        <v>46</v>
      </c>
      <c r="B2181" s="1" t="s">
        <v>4450</v>
      </c>
      <c r="C2181" s="1" t="s">
        <v>4450</v>
      </c>
      <c r="E2181" s="4" t="s">
        <v>4451</v>
      </c>
      <c r="G2181" s="16"/>
      <c r="M2181">
        <v>1</v>
      </c>
      <c r="N2181">
        <v>129</v>
      </c>
      <c r="O2181">
        <v>0</v>
      </c>
      <c r="P2181">
        <v>0.5</v>
      </c>
      <c r="Q2181">
        <v>64.5</v>
      </c>
      <c r="R2181">
        <v>0</v>
      </c>
      <c r="S2181">
        <v>0</v>
      </c>
      <c r="T2181" t="s">
        <v>52</v>
      </c>
      <c r="U2181">
        <v>0</v>
      </c>
      <c r="V2181">
        <v>0</v>
      </c>
      <c r="W2181">
        <v>400017</v>
      </c>
      <c r="X2181" t="s">
        <v>56</v>
      </c>
      <c r="Y2181" t="s">
        <v>57</v>
      </c>
      <c r="AE2181">
        <v>0</v>
      </c>
      <c r="AP2181" t="s">
        <v>49</v>
      </c>
    </row>
    <row r="2182" spans="1:42" ht="15.6">
      <c r="E2182" s="14" t="s">
        <v>4452</v>
      </c>
      <c r="G2182" s="16"/>
    </row>
    <row r="2183" spans="1:42" ht="15.6">
      <c r="A2183" s="1" t="s">
        <v>46</v>
      </c>
      <c r="B2183" s="1" t="s">
        <v>4453</v>
      </c>
      <c r="C2183" s="1" t="s">
        <v>4453</v>
      </c>
      <c r="E2183" s="14" t="s">
        <v>4454</v>
      </c>
      <c r="G2183" s="16"/>
      <c r="M2183">
        <v>1</v>
      </c>
      <c r="N2183">
        <v>115</v>
      </c>
      <c r="O2183">
        <v>0</v>
      </c>
      <c r="P2183">
        <v>41.76</v>
      </c>
      <c r="Q2183">
        <v>4802.5600000000004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400212</v>
      </c>
      <c r="X2183" t="s">
        <v>56</v>
      </c>
      <c r="Y2183" t="s">
        <v>57</v>
      </c>
      <c r="AE2183">
        <v>0</v>
      </c>
      <c r="AP2183" t="s">
        <v>4455</v>
      </c>
    </row>
    <row r="2184" spans="1:42" ht="15.6">
      <c r="E2184" s="14" t="s">
        <v>4456</v>
      </c>
      <c r="G2184" s="16"/>
    </row>
    <row r="2185" spans="1:42" ht="15.6">
      <c r="A2185" s="1" t="s">
        <v>46</v>
      </c>
      <c r="B2185" s="1" t="s">
        <v>4457</v>
      </c>
      <c r="C2185" s="1" t="s">
        <v>4457</v>
      </c>
      <c r="E2185" s="14" t="s">
        <v>4458</v>
      </c>
      <c r="G2185" s="16"/>
      <c r="M2185">
        <v>1</v>
      </c>
      <c r="N2185">
        <v>328</v>
      </c>
      <c r="O2185">
        <v>0</v>
      </c>
      <c r="P2185">
        <v>5.25</v>
      </c>
      <c r="Q2185">
        <v>1722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410120</v>
      </c>
      <c r="X2185" t="s">
        <v>56</v>
      </c>
      <c r="Y2185" t="s">
        <v>57</v>
      </c>
      <c r="AE2185">
        <v>0</v>
      </c>
      <c r="AP2185" t="s">
        <v>112</v>
      </c>
    </row>
    <row r="2186" spans="1:42" ht="15.6">
      <c r="A2186" s="1" t="s">
        <v>46</v>
      </c>
      <c r="B2186" s="1" t="s">
        <v>4459</v>
      </c>
      <c r="C2186" s="1" t="s">
        <v>4459</v>
      </c>
      <c r="E2186" s="14" t="s">
        <v>4460</v>
      </c>
      <c r="G2186" s="16"/>
      <c r="M2186">
        <v>1</v>
      </c>
      <c r="N2186">
        <v>12</v>
      </c>
      <c r="O2186">
        <v>0</v>
      </c>
      <c r="P2186">
        <v>20</v>
      </c>
      <c r="Q2186">
        <v>240</v>
      </c>
      <c r="W2186">
        <v>400123</v>
      </c>
      <c r="AE2186">
        <v>0</v>
      </c>
      <c r="AP2186" t="s">
        <v>291</v>
      </c>
    </row>
    <row r="2187" spans="1:42" ht="15.6">
      <c r="A2187" s="1" t="s">
        <v>46</v>
      </c>
      <c r="B2187" s="1" t="s">
        <v>4461</v>
      </c>
      <c r="C2187" s="1" t="s">
        <v>4461</v>
      </c>
      <c r="E2187" s="14" t="s">
        <v>4462</v>
      </c>
      <c r="G2187" s="16"/>
      <c r="M2187">
        <v>1</v>
      </c>
      <c r="N2187">
        <v>3</v>
      </c>
      <c r="O2187">
        <v>0</v>
      </c>
      <c r="P2187">
        <v>28</v>
      </c>
      <c r="Q2187">
        <v>84</v>
      </c>
      <c r="R2187" t="s">
        <v>115</v>
      </c>
      <c r="S2187">
        <v>0</v>
      </c>
      <c r="T2187" t="s">
        <v>17</v>
      </c>
      <c r="U2187">
        <v>0</v>
      </c>
      <c r="V2187">
        <v>0</v>
      </c>
      <c r="W2187">
        <v>410120</v>
      </c>
      <c r="X2187" t="s">
        <v>56</v>
      </c>
      <c r="Y2187" t="s">
        <v>57</v>
      </c>
      <c r="AE2187">
        <v>0</v>
      </c>
      <c r="AP2187" t="s">
        <v>112</v>
      </c>
    </row>
    <row r="2188" spans="1:42" ht="15.6">
      <c r="A2188" s="1" t="s">
        <v>46</v>
      </c>
      <c r="B2188" s="1" t="s">
        <v>4463</v>
      </c>
      <c r="C2188" s="1" t="s">
        <v>4463</v>
      </c>
      <c r="E2188" s="14" t="s">
        <v>4464</v>
      </c>
      <c r="G2188" s="16"/>
      <c r="M2188">
        <v>1</v>
      </c>
      <c r="N2188">
        <v>-1</v>
      </c>
      <c r="O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410120</v>
      </c>
      <c r="X2188" t="s">
        <v>56</v>
      </c>
      <c r="Y2188" t="s">
        <v>57</v>
      </c>
      <c r="AE2188">
        <v>0</v>
      </c>
      <c r="AP2188" t="s">
        <v>112</v>
      </c>
    </row>
    <row r="2189" spans="1:42" ht="15.6">
      <c r="A2189" s="1" t="s">
        <v>46</v>
      </c>
      <c r="B2189" s="1" t="s">
        <v>4465</v>
      </c>
      <c r="C2189" s="1" t="s">
        <v>4465</v>
      </c>
      <c r="E2189" s="14" t="s">
        <v>4466</v>
      </c>
      <c r="G2189" s="16"/>
      <c r="M2189">
        <v>1</v>
      </c>
      <c r="N2189">
        <v>200</v>
      </c>
      <c r="O2189">
        <v>0</v>
      </c>
      <c r="P2189">
        <v>7</v>
      </c>
      <c r="Q2189">
        <v>1400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400017</v>
      </c>
      <c r="X2189" t="s">
        <v>56</v>
      </c>
      <c r="Y2189" t="s">
        <v>57</v>
      </c>
      <c r="AE2189">
        <v>0</v>
      </c>
      <c r="AP2189" t="s">
        <v>49</v>
      </c>
    </row>
    <row r="2190" spans="1:42" ht="15.6">
      <c r="A2190" s="1" t="s">
        <v>46</v>
      </c>
      <c r="B2190" s="1" t="s">
        <v>4467</v>
      </c>
      <c r="C2190" s="1" t="s">
        <v>4467</v>
      </c>
      <c r="E2190" s="14" t="s">
        <v>4468</v>
      </c>
      <c r="G2190" s="16"/>
      <c r="M2190">
        <v>1</v>
      </c>
      <c r="N2190">
        <v>4</v>
      </c>
      <c r="O2190">
        <v>0</v>
      </c>
      <c r="P2190">
        <v>5.5</v>
      </c>
      <c r="Q2190">
        <v>22</v>
      </c>
      <c r="R2190">
        <v>0</v>
      </c>
      <c r="S2190">
        <v>0</v>
      </c>
      <c r="T2190" t="s">
        <v>52</v>
      </c>
      <c r="W2190">
        <v>400017</v>
      </c>
      <c r="AE2190">
        <v>0</v>
      </c>
      <c r="AP2190" t="s">
        <v>49</v>
      </c>
    </row>
    <row r="2191" spans="1:42" ht="15.6">
      <c r="A2191" s="1" t="s">
        <v>46</v>
      </c>
      <c r="B2191" s="1" t="s">
        <v>4469</v>
      </c>
      <c r="C2191" s="1" t="s">
        <v>4469</v>
      </c>
      <c r="E2191" s="14" t="s">
        <v>4470</v>
      </c>
      <c r="G2191" s="16"/>
      <c r="M2191">
        <v>1</v>
      </c>
      <c r="N2191">
        <v>30</v>
      </c>
      <c r="O2191">
        <v>0</v>
      </c>
      <c r="P2191">
        <v>4</v>
      </c>
      <c r="Q2191">
        <v>120</v>
      </c>
      <c r="W2191">
        <v>400066</v>
      </c>
      <c r="AE2191">
        <v>0</v>
      </c>
      <c r="AP2191" t="s">
        <v>680</v>
      </c>
    </row>
    <row r="2192" spans="1:42" ht="15.6">
      <c r="A2192" s="1" t="s">
        <v>46</v>
      </c>
      <c r="B2192" s="1" t="s">
        <v>4471</v>
      </c>
      <c r="C2192" s="1" t="s">
        <v>4471</v>
      </c>
      <c r="E2192" s="14" t="s">
        <v>4472</v>
      </c>
      <c r="G2192" s="16"/>
      <c r="M2192">
        <v>1</v>
      </c>
      <c r="N2192">
        <v>-5</v>
      </c>
      <c r="O2192">
        <v>0</v>
      </c>
      <c r="P2192">
        <v>1</v>
      </c>
      <c r="Q2192">
        <v>-5</v>
      </c>
      <c r="R2192">
        <v>0</v>
      </c>
      <c r="S2192">
        <v>0</v>
      </c>
      <c r="T2192" t="s">
        <v>52</v>
      </c>
      <c r="W2192">
        <v>400194</v>
      </c>
      <c r="AE2192">
        <v>0</v>
      </c>
      <c r="AP2192" t="s">
        <v>173</v>
      </c>
    </row>
    <row r="2193" spans="1:42" ht="15.6">
      <c r="A2193" s="1" t="s">
        <v>46</v>
      </c>
      <c r="B2193" s="1" t="s">
        <v>4473</v>
      </c>
      <c r="C2193" s="1" t="s">
        <v>4473</v>
      </c>
      <c r="E2193" s="14" t="s">
        <v>4474</v>
      </c>
      <c r="G2193" s="16"/>
      <c r="M2193">
        <v>1</v>
      </c>
      <c r="N2193">
        <v>45</v>
      </c>
      <c r="O2193">
        <v>0</v>
      </c>
      <c r="P2193">
        <v>15.54</v>
      </c>
      <c r="Q2193">
        <v>699.3</v>
      </c>
      <c r="R2193" t="s">
        <v>4475</v>
      </c>
      <c r="S2193">
        <v>0</v>
      </c>
      <c r="T2193" t="s">
        <v>17</v>
      </c>
      <c r="U2193">
        <v>0</v>
      </c>
      <c r="V2193">
        <v>0</v>
      </c>
      <c r="W2193">
        <v>400120</v>
      </c>
      <c r="AE2193">
        <v>0</v>
      </c>
      <c r="AF2193">
        <v>94.35</v>
      </c>
      <c r="AP2193" t="s">
        <v>468</v>
      </c>
    </row>
    <row r="2194" spans="1:42" ht="15.6">
      <c r="A2194" s="1" t="s">
        <v>46</v>
      </c>
      <c r="B2194" s="1" t="s">
        <v>4476</v>
      </c>
      <c r="C2194" s="1" t="s">
        <v>4476</v>
      </c>
      <c r="E2194" s="14" t="s">
        <v>4477</v>
      </c>
      <c r="G2194" s="16"/>
      <c r="M2194">
        <v>1</v>
      </c>
      <c r="N2194">
        <v>50</v>
      </c>
      <c r="O2194">
        <v>0</v>
      </c>
      <c r="P2194">
        <v>60</v>
      </c>
      <c r="Q2194">
        <v>3000</v>
      </c>
      <c r="R2194" t="s">
        <v>589</v>
      </c>
      <c r="S2194">
        <v>0</v>
      </c>
      <c r="T2194" t="s">
        <v>52</v>
      </c>
      <c r="U2194">
        <v>0</v>
      </c>
      <c r="V2194">
        <v>0</v>
      </c>
      <c r="W2194">
        <v>400011</v>
      </c>
      <c r="AE2194">
        <v>0</v>
      </c>
      <c r="AP2194" t="s">
        <v>617</v>
      </c>
    </row>
    <row r="2195" spans="1:42" ht="15.6">
      <c r="E2195" s="14" t="s">
        <v>4478</v>
      </c>
      <c r="G2195" s="16"/>
    </row>
    <row r="2196" spans="1:42" ht="15.6">
      <c r="E2196" s="14" t="s">
        <v>4479</v>
      </c>
      <c r="G2196" s="16"/>
    </row>
    <row r="2197" spans="1:42" ht="15.6">
      <c r="A2197" s="1" t="s">
        <v>46</v>
      </c>
      <c r="B2197" s="1" t="s">
        <v>4480</v>
      </c>
      <c r="C2197" s="1" t="s">
        <v>4480</v>
      </c>
      <c r="E2197" s="14" t="s">
        <v>4481</v>
      </c>
      <c r="G2197" s="16"/>
      <c r="I2197">
        <v>275</v>
      </c>
      <c r="M2197">
        <v>1</v>
      </c>
      <c r="N2197">
        <v>10</v>
      </c>
      <c r="O2197">
        <v>0</v>
      </c>
      <c r="P2197">
        <v>220</v>
      </c>
      <c r="Q2197">
        <v>2200</v>
      </c>
      <c r="R2197" t="s">
        <v>4482</v>
      </c>
      <c r="S2197">
        <v>0</v>
      </c>
      <c r="T2197" t="s">
        <v>52</v>
      </c>
      <c r="W2197">
        <v>400111</v>
      </c>
      <c r="AE2197">
        <v>0</v>
      </c>
      <c r="AH2197">
        <v>275</v>
      </c>
      <c r="AP2197" t="s">
        <v>646</v>
      </c>
    </row>
    <row r="2198" spans="1:42" ht="15.6">
      <c r="E2198" s="14" t="s">
        <v>4483</v>
      </c>
      <c r="G2198" s="16"/>
    </row>
    <row r="2199" spans="1:42" ht="15.6">
      <c r="E2199" s="14" t="s">
        <v>4484</v>
      </c>
      <c r="G2199" s="16"/>
    </row>
    <row r="2200" spans="1:42" ht="15.6">
      <c r="E2200" s="14" t="s">
        <v>4485</v>
      </c>
      <c r="G2200" s="16"/>
    </row>
    <row r="2201" spans="1:42" ht="15.6">
      <c r="E2201" s="14" t="s">
        <v>4486</v>
      </c>
      <c r="G2201" s="16"/>
    </row>
    <row r="2202" spans="1:42" ht="15.6">
      <c r="E2202" s="14" t="s">
        <v>4487</v>
      </c>
      <c r="G2202" s="16"/>
    </row>
    <row r="2203" spans="1:42" ht="15.6">
      <c r="E2203" s="14" t="s">
        <v>4488</v>
      </c>
      <c r="G2203" s="16"/>
    </row>
    <row r="2204" spans="1:42" ht="15.6">
      <c r="E2204" s="14" t="s">
        <v>4489</v>
      </c>
      <c r="G2204" s="16"/>
    </row>
    <row r="2205" spans="1:42" ht="15.6">
      <c r="E2205" s="14" t="s">
        <v>4490</v>
      </c>
      <c r="G2205" s="16"/>
    </row>
    <row r="2206" spans="1:42" ht="15.6">
      <c r="E2206" s="14" t="s">
        <v>4491</v>
      </c>
      <c r="G2206" s="16"/>
    </row>
    <row r="2207" spans="1:42" ht="15.6">
      <c r="E2207" s="14" t="s">
        <v>4492</v>
      </c>
      <c r="G2207" s="16"/>
    </row>
    <row r="2208" spans="1:42" ht="15.6">
      <c r="E2208" s="14" t="s">
        <v>4493</v>
      </c>
      <c r="G2208" s="16"/>
    </row>
    <row r="2209" spans="1:42" ht="15.6">
      <c r="E2209" s="14" t="s">
        <v>4494</v>
      </c>
      <c r="G2209" s="16"/>
    </row>
    <row r="2210" spans="1:42" ht="15.6">
      <c r="E2210" s="14" t="s">
        <v>4495</v>
      </c>
      <c r="G2210" s="16"/>
    </row>
    <row r="2211" spans="1:42" ht="15.6">
      <c r="E2211" s="14" t="s">
        <v>4496</v>
      </c>
      <c r="G2211" s="16"/>
    </row>
    <row r="2212" spans="1:42" ht="15.6">
      <c r="E2212" s="14" t="s">
        <v>4497</v>
      </c>
      <c r="G2212" s="16"/>
    </row>
    <row r="2213" spans="1:42" ht="15.6">
      <c r="E2213" s="14" t="s">
        <v>4498</v>
      </c>
      <c r="G2213" s="16"/>
    </row>
    <row r="2214" spans="1:42" ht="15.6">
      <c r="E2214" s="14" t="s">
        <v>4499</v>
      </c>
      <c r="G2214" s="16"/>
    </row>
    <row r="2215" spans="1:42" ht="15.6">
      <c r="E2215" s="14" t="s">
        <v>4500</v>
      </c>
      <c r="G2215" s="16"/>
    </row>
    <row r="2216" spans="1:42" ht="15.6">
      <c r="E2216" s="14" t="s">
        <v>4501</v>
      </c>
      <c r="G2216" s="16"/>
    </row>
    <row r="2217" spans="1:42" ht="15.6">
      <c r="E2217" s="14" t="s">
        <v>4502</v>
      </c>
      <c r="G2217" s="16"/>
    </row>
    <row r="2218" spans="1:42" ht="15.6">
      <c r="E2218" s="14" t="s">
        <v>4503</v>
      </c>
      <c r="G2218" s="16"/>
    </row>
    <row r="2219" spans="1:42" ht="15.6">
      <c r="E2219" s="14" t="s">
        <v>4504</v>
      </c>
      <c r="G2219" s="16"/>
    </row>
    <row r="2220" spans="1:42" ht="15.6">
      <c r="E2220" s="14" t="s">
        <v>4505</v>
      </c>
      <c r="G2220" s="16"/>
    </row>
    <row r="2221" spans="1:42" ht="15.6">
      <c r="E2221" s="14" t="s">
        <v>4506</v>
      </c>
      <c r="G2221" s="16"/>
    </row>
    <row r="2222" spans="1:42" ht="15.6">
      <c r="E2222" s="14" t="s">
        <v>4507</v>
      </c>
      <c r="G2222" s="16"/>
    </row>
    <row r="2223" spans="1:42" ht="15.6">
      <c r="A2223" s="1" t="s">
        <v>46</v>
      </c>
      <c r="B2223" s="1" t="s">
        <v>4508</v>
      </c>
      <c r="C2223" s="1" t="s">
        <v>4508</v>
      </c>
      <c r="E2223" s="14" t="s">
        <v>4509</v>
      </c>
      <c r="G2223" s="16"/>
      <c r="M2223">
        <v>1</v>
      </c>
      <c r="N2223">
        <v>20</v>
      </c>
      <c r="O2223">
        <v>0</v>
      </c>
      <c r="P2223">
        <v>55</v>
      </c>
      <c r="Q2223">
        <v>1100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410120</v>
      </c>
      <c r="X2223" t="s">
        <v>56</v>
      </c>
      <c r="Y2223" t="s">
        <v>57</v>
      </c>
      <c r="AE2223">
        <v>0</v>
      </c>
      <c r="AP2223" t="s">
        <v>112</v>
      </c>
    </row>
    <row r="2224" spans="1:42" ht="15.6">
      <c r="A2224" s="1" t="s">
        <v>46</v>
      </c>
      <c r="B2224" s="1" t="s">
        <v>4510</v>
      </c>
      <c r="C2224" s="1" t="s">
        <v>4510</v>
      </c>
      <c r="E2224" s="14" t="s">
        <v>4511</v>
      </c>
      <c r="G2224" s="16"/>
      <c r="M2224">
        <v>1</v>
      </c>
      <c r="N2224">
        <v>3</v>
      </c>
      <c r="O2224">
        <v>0</v>
      </c>
      <c r="P2224">
        <v>27.5</v>
      </c>
      <c r="Q2224">
        <v>82.5</v>
      </c>
      <c r="R2224">
        <v>0</v>
      </c>
      <c r="S2224">
        <v>0</v>
      </c>
      <c r="T2224" t="s">
        <v>52</v>
      </c>
      <c r="W2224">
        <v>400158</v>
      </c>
      <c r="AE2224">
        <v>0</v>
      </c>
      <c r="AP2224" t="s">
        <v>61</v>
      </c>
    </row>
    <row r="2225" spans="1:42" ht="15.6">
      <c r="A2225" s="1" t="s">
        <v>46</v>
      </c>
      <c r="B2225" s="1" t="s">
        <v>4512</v>
      </c>
      <c r="C2225" s="1" t="s">
        <v>4512</v>
      </c>
      <c r="E2225" s="14" t="s">
        <v>4513</v>
      </c>
      <c r="G2225" s="16"/>
      <c r="M2225">
        <v>1</v>
      </c>
      <c r="N2225">
        <v>12</v>
      </c>
      <c r="O2225">
        <v>0</v>
      </c>
      <c r="P2225">
        <v>0.42</v>
      </c>
      <c r="Q2225">
        <v>5</v>
      </c>
      <c r="R2225">
        <v>0</v>
      </c>
      <c r="S2225">
        <v>0</v>
      </c>
      <c r="T2225" t="s">
        <v>52</v>
      </c>
      <c r="W2225">
        <v>400011</v>
      </c>
      <c r="AE2225">
        <v>0</v>
      </c>
      <c r="AP2225" t="s">
        <v>617</v>
      </c>
    </row>
    <row r="2226" spans="1:42" ht="15.6">
      <c r="A2226" s="1" t="s">
        <v>46</v>
      </c>
      <c r="B2226" s="1" t="s">
        <v>4514</v>
      </c>
      <c r="C2226" s="1" t="s">
        <v>4514</v>
      </c>
      <c r="E2226" s="14" t="s">
        <v>4515</v>
      </c>
      <c r="G2226" s="16"/>
      <c r="M2226">
        <v>1</v>
      </c>
      <c r="N2226">
        <v>310</v>
      </c>
      <c r="O2226">
        <v>0</v>
      </c>
      <c r="P2226">
        <v>10</v>
      </c>
      <c r="Q2226">
        <v>3100</v>
      </c>
      <c r="R2226">
        <v>0</v>
      </c>
      <c r="S2226">
        <v>0</v>
      </c>
      <c r="T2226" t="s">
        <v>52</v>
      </c>
      <c r="U2226">
        <v>0</v>
      </c>
      <c r="V2226">
        <v>0</v>
      </c>
      <c r="W2226">
        <v>400130</v>
      </c>
      <c r="X2226" t="s">
        <v>56</v>
      </c>
      <c r="Y2226" t="s">
        <v>57</v>
      </c>
      <c r="AE2226">
        <v>0</v>
      </c>
      <c r="AP2226" t="s">
        <v>139</v>
      </c>
    </row>
    <row r="2227" spans="1:42" ht="15.6">
      <c r="A2227" s="1" t="s">
        <v>46</v>
      </c>
      <c r="B2227" s="1" t="s">
        <v>4516</v>
      </c>
      <c r="C2227" s="1" t="s">
        <v>4516</v>
      </c>
      <c r="E2227" s="14" t="s">
        <v>4517</v>
      </c>
      <c r="G2227" s="16"/>
      <c r="M2227">
        <v>1</v>
      </c>
      <c r="N2227">
        <v>-13</v>
      </c>
      <c r="O2227">
        <v>0</v>
      </c>
      <c r="AE2227">
        <v>0</v>
      </c>
    </row>
    <row r="2228" spans="1:42" ht="15.6">
      <c r="A2228" s="1" t="s">
        <v>46</v>
      </c>
      <c r="B2228" s="1" t="s">
        <v>4518</v>
      </c>
      <c r="C2228" s="1" t="s">
        <v>4518</v>
      </c>
      <c r="E2228" s="14" t="s">
        <v>4519</v>
      </c>
      <c r="G2228" s="16"/>
      <c r="M2228">
        <v>1</v>
      </c>
      <c r="N2228">
        <v>8</v>
      </c>
      <c r="O2228">
        <v>0</v>
      </c>
      <c r="P2228">
        <v>52</v>
      </c>
      <c r="Q2228">
        <v>416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400035</v>
      </c>
      <c r="AE2228">
        <v>0</v>
      </c>
      <c r="AP2228" t="s">
        <v>784</v>
      </c>
    </row>
    <row r="2229" spans="1:42" ht="15.6">
      <c r="A2229" s="1" t="s">
        <v>46</v>
      </c>
      <c r="B2229" s="1" t="s">
        <v>4520</v>
      </c>
      <c r="C2229" s="1" t="s">
        <v>4520</v>
      </c>
      <c r="E2229" s="14" t="s">
        <v>4521</v>
      </c>
      <c r="G2229" s="16"/>
      <c r="M2229">
        <v>1</v>
      </c>
      <c r="N2229">
        <v>19</v>
      </c>
      <c r="O2229">
        <v>0</v>
      </c>
      <c r="P2229">
        <v>66.599999999999994</v>
      </c>
      <c r="Q2229">
        <v>1265.4000000000001</v>
      </c>
      <c r="R2229" t="s">
        <v>115</v>
      </c>
      <c r="S2229">
        <v>0</v>
      </c>
      <c r="T2229" t="s">
        <v>17</v>
      </c>
      <c r="U2229">
        <v>0</v>
      </c>
      <c r="V2229">
        <v>0</v>
      </c>
      <c r="W2229">
        <v>400120</v>
      </c>
      <c r="AE2229">
        <v>0</v>
      </c>
      <c r="AP2229" t="s">
        <v>468</v>
      </c>
    </row>
    <row r="2230" spans="1:42" ht="15.6">
      <c r="A2230" s="1" t="s">
        <v>46</v>
      </c>
      <c r="B2230" s="1" t="s">
        <v>4522</v>
      </c>
      <c r="C2230" s="1" t="s">
        <v>4522</v>
      </c>
      <c r="E2230" s="14" t="s">
        <v>4523</v>
      </c>
      <c r="G2230" s="16"/>
      <c r="M2230">
        <v>1</v>
      </c>
      <c r="N2230">
        <v>149</v>
      </c>
      <c r="O2230">
        <v>0</v>
      </c>
      <c r="P2230">
        <v>45</v>
      </c>
      <c r="Q2230">
        <v>6705</v>
      </c>
      <c r="R2230" t="s">
        <v>115</v>
      </c>
      <c r="S2230">
        <v>0</v>
      </c>
      <c r="T2230" t="s">
        <v>17</v>
      </c>
      <c r="U2230">
        <v>0</v>
      </c>
      <c r="V2230">
        <v>0</v>
      </c>
      <c r="W2230">
        <v>400184</v>
      </c>
      <c r="X2230" t="s">
        <v>56</v>
      </c>
      <c r="Y2230" t="s">
        <v>57</v>
      </c>
      <c r="AE2230">
        <v>0</v>
      </c>
      <c r="AP2230" t="s">
        <v>136</v>
      </c>
    </row>
    <row r="2231" spans="1:42" ht="15.6">
      <c r="A2231" s="1" t="s">
        <v>46</v>
      </c>
      <c r="B2231" s="1" t="s">
        <v>4524</v>
      </c>
      <c r="C2231" s="1" t="s">
        <v>4524</v>
      </c>
      <c r="E2231" s="14" t="s">
        <v>4525</v>
      </c>
      <c r="G2231" s="16"/>
      <c r="M2231">
        <v>1</v>
      </c>
      <c r="N2231">
        <v>71</v>
      </c>
      <c r="O2231">
        <v>0</v>
      </c>
      <c r="P2231">
        <v>1.75</v>
      </c>
      <c r="Q2231">
        <v>124.25</v>
      </c>
      <c r="R2231">
        <v>0</v>
      </c>
      <c r="S2231">
        <v>0</v>
      </c>
      <c r="T2231" t="s">
        <v>52</v>
      </c>
      <c r="U2231">
        <v>0</v>
      </c>
      <c r="V2231">
        <v>0</v>
      </c>
      <c r="W2231">
        <v>400017</v>
      </c>
      <c r="X2231" t="s">
        <v>56</v>
      </c>
      <c r="Y2231" t="s">
        <v>57</v>
      </c>
      <c r="AE2231">
        <v>0</v>
      </c>
      <c r="AP2231" t="s">
        <v>49</v>
      </c>
    </row>
    <row r="2232" spans="1:42" ht="15.6">
      <c r="A2232" s="1" t="s">
        <v>46</v>
      </c>
      <c r="B2232" s="1" t="s">
        <v>4526</v>
      </c>
      <c r="C2232" s="1" t="s">
        <v>4526</v>
      </c>
      <c r="E2232" s="14" t="s">
        <v>4527</v>
      </c>
      <c r="G2232" s="16"/>
      <c r="M2232">
        <v>1</v>
      </c>
      <c r="N2232">
        <v>16</v>
      </c>
      <c r="O2232">
        <v>0</v>
      </c>
      <c r="P2232">
        <v>21</v>
      </c>
      <c r="Q2232">
        <v>336</v>
      </c>
      <c r="W2232">
        <v>400194</v>
      </c>
      <c r="AE2232">
        <v>0</v>
      </c>
      <c r="AP2232" t="s">
        <v>173</v>
      </c>
    </row>
    <row r="2233" spans="1:42" ht="15.6">
      <c r="E2233" s="14" t="s">
        <v>4528</v>
      </c>
      <c r="G2233" s="16"/>
    </row>
    <row r="2234" spans="1:42" ht="15.6">
      <c r="A2234" s="1" t="s">
        <v>46</v>
      </c>
      <c r="B2234" s="1" t="s">
        <v>4529</v>
      </c>
      <c r="C2234" s="1" t="s">
        <v>4529</v>
      </c>
      <c r="E2234" s="14" t="s">
        <v>4530</v>
      </c>
      <c r="G2234" s="16"/>
      <c r="M2234">
        <v>1</v>
      </c>
      <c r="N2234">
        <v>96</v>
      </c>
      <c r="O2234">
        <v>0</v>
      </c>
      <c r="P2234">
        <v>11</v>
      </c>
      <c r="Q2234">
        <v>1056</v>
      </c>
      <c r="R2234" t="s">
        <v>115</v>
      </c>
      <c r="S2234">
        <v>0</v>
      </c>
      <c r="T2234" t="s">
        <v>17</v>
      </c>
      <c r="W2234">
        <v>410120</v>
      </c>
      <c r="AE2234">
        <v>0</v>
      </c>
      <c r="AP2234" t="s">
        <v>112</v>
      </c>
    </row>
    <row r="2235" spans="1:42" ht="15.6">
      <c r="A2235" s="1" t="s">
        <v>46</v>
      </c>
      <c r="B2235" s="1" t="s">
        <v>4531</v>
      </c>
      <c r="C2235" s="1" t="s">
        <v>4531</v>
      </c>
      <c r="E2235" s="14" t="s">
        <v>4532</v>
      </c>
      <c r="G2235" s="16"/>
      <c r="I2235">
        <v>90</v>
      </c>
      <c r="M2235">
        <v>1</v>
      </c>
      <c r="N2235">
        <v>100</v>
      </c>
      <c r="O2235">
        <v>0</v>
      </c>
      <c r="P2235">
        <v>120</v>
      </c>
      <c r="Q2235">
        <v>12000</v>
      </c>
      <c r="R2235" t="s">
        <v>115</v>
      </c>
      <c r="S2235">
        <v>0</v>
      </c>
      <c r="T2235" t="s">
        <v>17</v>
      </c>
      <c r="U2235">
        <v>0</v>
      </c>
      <c r="V2235">
        <v>0</v>
      </c>
      <c r="W2235">
        <v>400056</v>
      </c>
      <c r="AE2235">
        <v>0</v>
      </c>
      <c r="AH2235">
        <v>90</v>
      </c>
      <c r="AP2235" t="s">
        <v>1797</v>
      </c>
    </row>
    <row r="2236" spans="1:42" ht="15.6">
      <c r="A2236" s="1" t="s">
        <v>46</v>
      </c>
      <c r="B2236" s="1" t="s">
        <v>4533</v>
      </c>
      <c r="C2236" s="1" t="s">
        <v>4533</v>
      </c>
      <c r="E2236" s="14" t="s">
        <v>4534</v>
      </c>
      <c r="G2236" s="16"/>
      <c r="M2236">
        <v>1</v>
      </c>
      <c r="N2236">
        <v>466</v>
      </c>
      <c r="O2236">
        <v>0</v>
      </c>
      <c r="P2236">
        <v>64.22</v>
      </c>
      <c r="Q2236">
        <v>29926.52</v>
      </c>
      <c r="R2236" t="s">
        <v>115</v>
      </c>
      <c r="S2236">
        <v>0</v>
      </c>
      <c r="T2236" t="s">
        <v>17</v>
      </c>
      <c r="U2236">
        <v>0</v>
      </c>
      <c r="V2236">
        <v>0</v>
      </c>
      <c r="W2236">
        <v>400220</v>
      </c>
      <c r="X2236" t="s">
        <v>56</v>
      </c>
      <c r="Y2236" t="s">
        <v>57</v>
      </c>
      <c r="AE2236">
        <v>0</v>
      </c>
      <c r="AP2236" t="s">
        <v>4535</v>
      </c>
    </row>
    <row r="2237" spans="1:42" ht="15.6">
      <c r="E2237" s="14" t="s">
        <v>4536</v>
      </c>
      <c r="G2237" s="16"/>
    </row>
    <row r="2238" spans="1:42" ht="15.6">
      <c r="E2238" s="14" t="s">
        <v>4537</v>
      </c>
      <c r="G2238" s="16"/>
    </row>
    <row r="2239" spans="1:42" ht="15.6">
      <c r="A2239" s="1" t="s">
        <v>46</v>
      </c>
      <c r="B2239" s="1" t="s">
        <v>4538</v>
      </c>
      <c r="C2239" s="1" t="s">
        <v>4538</v>
      </c>
      <c r="E2239" s="14" t="s">
        <v>4539</v>
      </c>
      <c r="G2239" s="16"/>
      <c r="M2239">
        <v>1</v>
      </c>
      <c r="N2239">
        <v>288</v>
      </c>
      <c r="O2239">
        <v>0</v>
      </c>
      <c r="P2239">
        <v>70.94</v>
      </c>
      <c r="Q2239">
        <v>20431.150000000001</v>
      </c>
      <c r="R2239" t="s">
        <v>115</v>
      </c>
      <c r="S2239">
        <v>0</v>
      </c>
      <c r="T2239" t="s">
        <v>17</v>
      </c>
      <c r="U2239">
        <v>0</v>
      </c>
      <c r="V2239">
        <v>0</v>
      </c>
      <c r="W2239">
        <v>400184</v>
      </c>
      <c r="X2239" t="s">
        <v>56</v>
      </c>
      <c r="Y2239" t="s">
        <v>57</v>
      </c>
      <c r="AE2239">
        <v>0</v>
      </c>
      <c r="AP2239" t="s">
        <v>136</v>
      </c>
    </row>
    <row r="2240" spans="1:42" ht="15.6">
      <c r="A2240" s="1" t="s">
        <v>46</v>
      </c>
      <c r="B2240" s="1" t="s">
        <v>4540</v>
      </c>
      <c r="C2240" s="1" t="s">
        <v>4540</v>
      </c>
      <c r="E2240" s="14" t="s">
        <v>4541</v>
      </c>
      <c r="G2240" s="16"/>
      <c r="M2240">
        <v>1</v>
      </c>
      <c r="N2240">
        <v>10</v>
      </c>
      <c r="O2240">
        <v>0</v>
      </c>
      <c r="P2240">
        <v>61.75</v>
      </c>
      <c r="Q2240">
        <v>617.5</v>
      </c>
      <c r="W2240">
        <v>400123</v>
      </c>
      <c r="AE2240">
        <v>0</v>
      </c>
      <c r="AP2240" t="s">
        <v>291</v>
      </c>
    </row>
    <row r="2241" spans="1:42" ht="15.6">
      <c r="A2241" s="1" t="s">
        <v>46</v>
      </c>
      <c r="B2241" s="1" t="s">
        <v>4542</v>
      </c>
      <c r="C2241" s="1" t="s">
        <v>4542</v>
      </c>
      <c r="E2241" s="14" t="s">
        <v>4543</v>
      </c>
      <c r="G2241" s="16"/>
      <c r="M2241">
        <v>1</v>
      </c>
      <c r="N2241">
        <v>10</v>
      </c>
      <c r="O2241">
        <v>0</v>
      </c>
      <c r="P2241">
        <v>20</v>
      </c>
      <c r="Q2241">
        <v>200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400002</v>
      </c>
      <c r="X2241" t="s">
        <v>56</v>
      </c>
      <c r="Y2241" t="s">
        <v>57</v>
      </c>
      <c r="AE2241">
        <v>0</v>
      </c>
      <c r="AP2241" t="s">
        <v>116</v>
      </c>
    </row>
    <row r="2242" spans="1:42" ht="15.6">
      <c r="E2242" s="14" t="s">
        <v>4544</v>
      </c>
      <c r="G2242" s="16"/>
    </row>
    <row r="2243" spans="1:42" ht="15.6">
      <c r="A2243" s="1" t="s">
        <v>46</v>
      </c>
      <c r="B2243" s="1" t="s">
        <v>4545</v>
      </c>
      <c r="C2243" s="1" t="s">
        <v>4545</v>
      </c>
      <c r="E2243" s="14" t="s">
        <v>4546</v>
      </c>
      <c r="G2243" s="16"/>
      <c r="M2243">
        <v>1</v>
      </c>
      <c r="N2243">
        <v>19</v>
      </c>
      <c r="O2243">
        <v>0</v>
      </c>
      <c r="P2243">
        <v>30</v>
      </c>
      <c r="Q2243">
        <v>570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410120</v>
      </c>
      <c r="AE2243">
        <v>0</v>
      </c>
      <c r="AP2243" t="s">
        <v>112</v>
      </c>
    </row>
    <row r="2244" spans="1:42" ht="15.6">
      <c r="A2244" s="1" t="s">
        <v>46</v>
      </c>
      <c r="B2244" s="1" t="s">
        <v>4547</v>
      </c>
      <c r="C2244" s="1" t="s">
        <v>4547</v>
      </c>
      <c r="E2244" s="14" t="s">
        <v>4548</v>
      </c>
      <c r="G2244" s="16"/>
      <c r="M2244">
        <v>1</v>
      </c>
      <c r="N2244">
        <v>2</v>
      </c>
      <c r="O2244">
        <v>0</v>
      </c>
      <c r="P2244">
        <v>32</v>
      </c>
      <c r="Q2244">
        <v>64</v>
      </c>
      <c r="R2244" t="s">
        <v>107</v>
      </c>
      <c r="S2244">
        <v>0</v>
      </c>
      <c r="T2244" t="s">
        <v>52</v>
      </c>
      <c r="U2244">
        <v>0</v>
      </c>
      <c r="V2244">
        <v>0</v>
      </c>
      <c r="W2244">
        <v>410120</v>
      </c>
      <c r="AE2244">
        <v>0</v>
      </c>
      <c r="AP2244" t="s">
        <v>112</v>
      </c>
    </row>
    <row r="2245" spans="1:42" ht="15.6">
      <c r="E2245" s="14" t="s">
        <v>4549</v>
      </c>
      <c r="G2245" s="16"/>
    </row>
    <row r="2246" spans="1:42" ht="15.6">
      <c r="E2246" s="14" t="s">
        <v>4550</v>
      </c>
      <c r="G2246" s="16"/>
    </row>
    <row r="2247" spans="1:42" ht="15.6">
      <c r="A2247" s="1" t="s">
        <v>46</v>
      </c>
      <c r="B2247" s="1" t="s">
        <v>4551</v>
      </c>
      <c r="C2247" s="1" t="s">
        <v>4551</v>
      </c>
      <c r="E2247" s="14" t="s">
        <v>4552</v>
      </c>
      <c r="G2247" s="16"/>
      <c r="M2247">
        <v>1</v>
      </c>
      <c r="N2247">
        <v>6</v>
      </c>
      <c r="O2247">
        <v>0</v>
      </c>
      <c r="P2247">
        <v>39.520000000000003</v>
      </c>
      <c r="Q2247">
        <v>237.12</v>
      </c>
      <c r="W2247">
        <v>400123</v>
      </c>
      <c r="AE2247">
        <v>0</v>
      </c>
      <c r="AP2247" t="s">
        <v>291</v>
      </c>
    </row>
    <row r="2248" spans="1:42" ht="15.6">
      <c r="A2248" s="1" t="s">
        <v>46</v>
      </c>
      <c r="B2248" s="1" t="s">
        <v>4553</v>
      </c>
      <c r="C2248" s="1" t="s">
        <v>4553</v>
      </c>
      <c r="E2248" s="14" t="s">
        <v>4554</v>
      </c>
      <c r="G2248" s="16"/>
      <c r="M2248">
        <v>1</v>
      </c>
      <c r="N2248">
        <v>8</v>
      </c>
      <c r="O2248">
        <v>0</v>
      </c>
      <c r="P2248">
        <v>5.5</v>
      </c>
      <c r="Q2248">
        <v>44</v>
      </c>
      <c r="R2248" t="s">
        <v>115</v>
      </c>
      <c r="S2248">
        <v>0</v>
      </c>
      <c r="T2248" t="s">
        <v>17</v>
      </c>
      <c r="U2248">
        <v>0</v>
      </c>
      <c r="V2248">
        <v>0</v>
      </c>
      <c r="W2248">
        <v>400033</v>
      </c>
      <c r="X2248" t="s">
        <v>56</v>
      </c>
      <c r="Y2248" t="s">
        <v>57</v>
      </c>
      <c r="AE2248">
        <v>0</v>
      </c>
      <c r="AP2248" t="s">
        <v>126</v>
      </c>
    </row>
    <row r="2249" spans="1:42" ht="15.6">
      <c r="A2249" s="1" t="s">
        <v>46</v>
      </c>
      <c r="B2249" s="1" t="s">
        <v>4555</v>
      </c>
      <c r="C2249" s="1" t="s">
        <v>4555</v>
      </c>
      <c r="E2249" s="14" t="s">
        <v>4556</v>
      </c>
      <c r="G2249" s="16"/>
      <c r="M2249">
        <v>1</v>
      </c>
      <c r="N2249">
        <v>5</v>
      </c>
      <c r="O2249">
        <v>0</v>
      </c>
      <c r="P2249">
        <v>120</v>
      </c>
      <c r="Q2249">
        <v>600</v>
      </c>
      <c r="R2249" t="s">
        <v>115</v>
      </c>
      <c r="S2249">
        <v>0</v>
      </c>
      <c r="T2249" t="s">
        <v>17</v>
      </c>
      <c r="W2249">
        <v>400056</v>
      </c>
      <c r="AE2249">
        <v>0</v>
      </c>
      <c r="AP2249" t="s">
        <v>1797</v>
      </c>
    </row>
    <row r="2250" spans="1:42" ht="15.6">
      <c r="A2250" s="1" t="s">
        <v>46</v>
      </c>
      <c r="B2250" s="1" t="s">
        <v>4557</v>
      </c>
      <c r="C2250" s="1" t="s">
        <v>4557</v>
      </c>
      <c r="E2250" s="14" t="s">
        <v>4558</v>
      </c>
      <c r="G2250" s="16"/>
      <c r="M2250">
        <v>1</v>
      </c>
      <c r="N2250">
        <v>623</v>
      </c>
      <c r="O2250">
        <v>0</v>
      </c>
      <c r="P2250">
        <v>13.5</v>
      </c>
      <c r="Q2250">
        <v>8410.5</v>
      </c>
      <c r="R2250" t="s">
        <v>115</v>
      </c>
      <c r="S2250">
        <v>0</v>
      </c>
      <c r="T2250" t="s">
        <v>17</v>
      </c>
      <c r="U2250">
        <v>0</v>
      </c>
      <c r="V2250">
        <v>0</v>
      </c>
      <c r="W2250">
        <v>400184</v>
      </c>
      <c r="X2250" t="s">
        <v>56</v>
      </c>
      <c r="Y2250" t="s">
        <v>57</v>
      </c>
      <c r="AE2250">
        <v>0</v>
      </c>
      <c r="AP2250" t="s">
        <v>136</v>
      </c>
    </row>
    <row r="2251" spans="1:42" ht="15.6">
      <c r="E2251" s="14" t="s">
        <v>4559</v>
      </c>
      <c r="G2251" s="16"/>
    </row>
    <row r="2252" spans="1:42" ht="15.6">
      <c r="A2252" s="1" t="s">
        <v>46</v>
      </c>
      <c r="B2252" s="1" t="s">
        <v>4560</v>
      </c>
      <c r="C2252" s="1" t="s">
        <v>4560</v>
      </c>
      <c r="E2252" s="14" t="s">
        <v>4561</v>
      </c>
      <c r="G2252" s="16"/>
      <c r="M2252">
        <v>1</v>
      </c>
      <c r="N2252">
        <v>209</v>
      </c>
      <c r="O2252">
        <v>0</v>
      </c>
      <c r="P2252">
        <v>17.45</v>
      </c>
      <c r="Q2252">
        <v>3646.91</v>
      </c>
      <c r="R2252" t="s">
        <v>115</v>
      </c>
      <c r="S2252">
        <v>0</v>
      </c>
      <c r="T2252" t="s">
        <v>17</v>
      </c>
      <c r="U2252">
        <v>0</v>
      </c>
      <c r="V2252">
        <v>0</v>
      </c>
      <c r="W2252">
        <v>400184</v>
      </c>
      <c r="AE2252">
        <v>0</v>
      </c>
      <c r="AP2252" t="s">
        <v>136</v>
      </c>
    </row>
    <row r="2253" spans="1:42" ht="15.6">
      <c r="A2253" s="1" t="s">
        <v>46</v>
      </c>
      <c r="B2253" s="1" t="s">
        <v>4562</v>
      </c>
      <c r="C2253" s="1" t="s">
        <v>4562</v>
      </c>
      <c r="E2253" s="14" t="s">
        <v>4563</v>
      </c>
      <c r="G2253" s="16"/>
      <c r="M2253">
        <v>1</v>
      </c>
      <c r="N2253">
        <v>47</v>
      </c>
      <c r="O2253">
        <v>0</v>
      </c>
      <c r="P2253">
        <v>50</v>
      </c>
      <c r="Q2253">
        <v>2350</v>
      </c>
      <c r="R2253" t="s">
        <v>115</v>
      </c>
      <c r="S2253">
        <v>0</v>
      </c>
      <c r="T2253" t="s">
        <v>17</v>
      </c>
      <c r="U2253">
        <v>0</v>
      </c>
      <c r="V2253">
        <v>0</v>
      </c>
      <c r="W2253">
        <v>400212</v>
      </c>
      <c r="X2253" t="s">
        <v>56</v>
      </c>
      <c r="Y2253" t="s">
        <v>57</v>
      </c>
      <c r="AE2253">
        <v>0</v>
      </c>
      <c r="AP2253" t="s">
        <v>4455</v>
      </c>
    </row>
    <row r="2254" spans="1:42" ht="15.6">
      <c r="A2254" s="1" t="s">
        <v>46</v>
      </c>
      <c r="B2254" s="1" t="s">
        <v>4564</v>
      </c>
      <c r="C2254" s="1" t="s">
        <v>4564</v>
      </c>
      <c r="E2254" s="14" t="s">
        <v>4565</v>
      </c>
      <c r="G2254" s="16"/>
      <c r="M2254">
        <v>1</v>
      </c>
      <c r="N2254">
        <v>22</v>
      </c>
      <c r="O2254">
        <v>0</v>
      </c>
      <c r="P2254">
        <v>43</v>
      </c>
      <c r="Q2254">
        <v>946</v>
      </c>
      <c r="R2254" t="s">
        <v>115</v>
      </c>
      <c r="S2254">
        <v>0</v>
      </c>
      <c r="T2254" t="s">
        <v>17</v>
      </c>
      <c r="U2254">
        <v>0</v>
      </c>
      <c r="V2254">
        <v>0</v>
      </c>
      <c r="W2254">
        <v>400045</v>
      </c>
      <c r="X2254" t="s">
        <v>56</v>
      </c>
      <c r="Y2254" t="s">
        <v>57</v>
      </c>
      <c r="AE2254">
        <v>0</v>
      </c>
      <c r="AP2254" t="s">
        <v>217</v>
      </c>
    </row>
    <row r="2255" spans="1:42" ht="15.6">
      <c r="A2255" s="1" t="s">
        <v>46</v>
      </c>
      <c r="B2255" s="1" t="s">
        <v>4566</v>
      </c>
      <c r="C2255" s="1" t="s">
        <v>4566</v>
      </c>
      <c r="E2255" s="14" t="s">
        <v>4567</v>
      </c>
      <c r="G2255" s="16"/>
      <c r="M2255">
        <v>1</v>
      </c>
      <c r="N2255">
        <v>234</v>
      </c>
      <c r="O2255">
        <v>0</v>
      </c>
      <c r="P2255">
        <v>34.549999999999997</v>
      </c>
      <c r="Q2255">
        <v>8083.63</v>
      </c>
      <c r="R2255" t="s">
        <v>115</v>
      </c>
      <c r="S2255">
        <v>0</v>
      </c>
      <c r="T2255" t="s">
        <v>17</v>
      </c>
      <c r="U2255">
        <v>0</v>
      </c>
      <c r="V2255">
        <v>0</v>
      </c>
      <c r="W2255">
        <v>400184</v>
      </c>
      <c r="X2255" t="s">
        <v>56</v>
      </c>
      <c r="Y2255" t="s">
        <v>57</v>
      </c>
      <c r="AE2255">
        <v>0</v>
      </c>
      <c r="AP2255" t="s">
        <v>136</v>
      </c>
    </row>
    <row r="2256" spans="1:42" ht="15.6">
      <c r="A2256" s="1" t="s">
        <v>46</v>
      </c>
      <c r="B2256" s="1" t="s">
        <v>4568</v>
      </c>
      <c r="C2256" s="1" t="s">
        <v>4568</v>
      </c>
      <c r="E2256" s="14" t="s">
        <v>4569</v>
      </c>
      <c r="G2256" s="16"/>
      <c r="M2256">
        <v>1</v>
      </c>
      <c r="N2256">
        <v>21</v>
      </c>
      <c r="O2256">
        <v>0</v>
      </c>
      <c r="P2256">
        <v>21</v>
      </c>
      <c r="Q2256">
        <v>441</v>
      </c>
      <c r="W2256">
        <v>400045</v>
      </c>
      <c r="AE2256">
        <v>0</v>
      </c>
      <c r="AP2256" t="s">
        <v>217</v>
      </c>
    </row>
    <row r="2257" spans="1:42" ht="15.6">
      <c r="A2257" s="1" t="s">
        <v>46</v>
      </c>
      <c r="B2257" s="1" t="s">
        <v>4570</v>
      </c>
      <c r="C2257" s="1" t="s">
        <v>4570</v>
      </c>
      <c r="E2257" s="14" t="s">
        <v>4571</v>
      </c>
      <c r="G2257" s="16"/>
      <c r="M2257">
        <v>1</v>
      </c>
      <c r="N2257">
        <v>38</v>
      </c>
      <c r="O2257">
        <v>0</v>
      </c>
      <c r="P2257">
        <v>85.47</v>
      </c>
      <c r="Q2257">
        <v>3247.86</v>
      </c>
      <c r="R2257" t="s">
        <v>115</v>
      </c>
      <c r="S2257">
        <v>0</v>
      </c>
      <c r="T2257" t="s">
        <v>17</v>
      </c>
      <c r="U2257">
        <v>0</v>
      </c>
      <c r="V2257">
        <v>0</v>
      </c>
      <c r="W2257">
        <v>400056</v>
      </c>
      <c r="AE2257">
        <v>0</v>
      </c>
      <c r="AP2257" t="s">
        <v>1797</v>
      </c>
    </row>
    <row r="2258" spans="1:42" ht="15.6">
      <c r="A2258" s="1" t="s">
        <v>46</v>
      </c>
      <c r="B2258" s="1" t="s">
        <v>4572</v>
      </c>
      <c r="C2258" s="1" t="s">
        <v>4572</v>
      </c>
      <c r="E2258" s="14" t="s">
        <v>4573</v>
      </c>
      <c r="G2258" s="16"/>
      <c r="M2258">
        <v>1</v>
      </c>
      <c r="N2258">
        <v>46</v>
      </c>
      <c r="O2258">
        <v>0</v>
      </c>
      <c r="P2258">
        <v>83.21</v>
      </c>
      <c r="Q2258">
        <v>3827.55</v>
      </c>
      <c r="W2258">
        <v>400120</v>
      </c>
      <c r="AE2258">
        <v>0</v>
      </c>
      <c r="AP2258" t="s">
        <v>468</v>
      </c>
    </row>
    <row r="2259" spans="1:42" ht="15.6">
      <c r="A2259" s="1" t="s">
        <v>46</v>
      </c>
      <c r="B2259" s="1" t="s">
        <v>4574</v>
      </c>
      <c r="C2259" s="1" t="s">
        <v>4574</v>
      </c>
      <c r="E2259" s="14" t="s">
        <v>4575</v>
      </c>
      <c r="G2259" s="16"/>
      <c r="M2259">
        <v>1</v>
      </c>
      <c r="N2259">
        <v>214</v>
      </c>
      <c r="O2259">
        <v>0</v>
      </c>
      <c r="P2259">
        <v>21</v>
      </c>
      <c r="Q2259">
        <v>4494</v>
      </c>
      <c r="R2259" t="s">
        <v>115</v>
      </c>
      <c r="S2259">
        <v>0</v>
      </c>
      <c r="T2259" t="s">
        <v>17</v>
      </c>
      <c r="U2259">
        <v>0</v>
      </c>
      <c r="V2259">
        <v>0</v>
      </c>
      <c r="W2259">
        <v>410302</v>
      </c>
      <c r="X2259" t="s">
        <v>56</v>
      </c>
      <c r="Y2259" t="s">
        <v>57</v>
      </c>
      <c r="AE2259">
        <v>0</v>
      </c>
      <c r="AP2259" t="s">
        <v>177</v>
      </c>
    </row>
    <row r="2260" spans="1:42" ht="15.6">
      <c r="E2260" s="14" t="s">
        <v>4576</v>
      </c>
      <c r="G2260" s="16"/>
    </row>
    <row r="2261" spans="1:42" ht="15.6">
      <c r="E2261" s="14" t="s">
        <v>4577</v>
      </c>
      <c r="G2261" s="16"/>
    </row>
    <row r="2262" spans="1:42" ht="15.6">
      <c r="A2262" s="1" t="s">
        <v>46</v>
      </c>
      <c r="B2262" s="1" t="s">
        <v>4578</v>
      </c>
      <c r="C2262" s="1" t="s">
        <v>4578</v>
      </c>
      <c r="E2262" s="14" t="s">
        <v>4579</v>
      </c>
      <c r="G2262" s="16"/>
      <c r="M2262">
        <v>1</v>
      </c>
      <c r="N2262">
        <v>-10</v>
      </c>
      <c r="O2262">
        <v>0</v>
      </c>
      <c r="P2262">
        <v>10</v>
      </c>
      <c r="Q2262">
        <v>-100</v>
      </c>
      <c r="R2262" t="s">
        <v>115</v>
      </c>
      <c r="S2262">
        <v>0</v>
      </c>
      <c r="T2262" t="s">
        <v>17</v>
      </c>
      <c r="W2262">
        <v>410120</v>
      </c>
      <c r="AE2262">
        <v>0</v>
      </c>
      <c r="AP2262" t="s">
        <v>112</v>
      </c>
    </row>
    <row r="2263" spans="1:42" ht="15.6">
      <c r="A2263" s="1" t="s">
        <v>46</v>
      </c>
      <c r="B2263" s="1" t="s">
        <v>4580</v>
      </c>
      <c r="C2263" s="1" t="s">
        <v>4580</v>
      </c>
      <c r="E2263" s="14" t="s">
        <v>4581</v>
      </c>
      <c r="G2263" s="16"/>
      <c r="M2263">
        <v>1</v>
      </c>
      <c r="N2263">
        <v>3</v>
      </c>
      <c r="O2263">
        <v>0</v>
      </c>
      <c r="P2263">
        <v>60</v>
      </c>
      <c r="Q2263">
        <v>180</v>
      </c>
      <c r="R2263" t="s">
        <v>115</v>
      </c>
      <c r="S2263">
        <v>0</v>
      </c>
      <c r="T2263" t="s">
        <v>17</v>
      </c>
      <c r="W2263">
        <v>400035</v>
      </c>
      <c r="AE2263">
        <v>0</v>
      </c>
      <c r="AP2263" t="s">
        <v>784</v>
      </c>
    </row>
    <row r="2264" spans="1:42" ht="15.6">
      <c r="A2264" s="1" t="s">
        <v>46</v>
      </c>
      <c r="B2264" s="1" t="s">
        <v>4582</v>
      </c>
      <c r="C2264" s="1" t="s">
        <v>4582</v>
      </c>
      <c r="E2264" s="14" t="s">
        <v>4583</v>
      </c>
      <c r="G2264" s="16"/>
      <c r="M2264">
        <v>1</v>
      </c>
      <c r="N2264">
        <v>4</v>
      </c>
      <c r="O2264">
        <v>0</v>
      </c>
      <c r="P2264">
        <v>42</v>
      </c>
      <c r="Q2264">
        <v>168</v>
      </c>
      <c r="W2264">
        <v>400080</v>
      </c>
      <c r="AE2264">
        <v>0</v>
      </c>
      <c r="AP2264" t="s">
        <v>696</v>
      </c>
    </row>
    <row r="2265" spans="1:42" ht="15.6">
      <c r="A2265" s="1" t="s">
        <v>46</v>
      </c>
      <c r="B2265" s="1" t="s">
        <v>4584</v>
      </c>
      <c r="C2265" s="1" t="s">
        <v>4584</v>
      </c>
      <c r="E2265" s="14" t="s">
        <v>4585</v>
      </c>
      <c r="G2265" s="16"/>
      <c r="M2265">
        <v>1</v>
      </c>
      <c r="N2265">
        <v>6</v>
      </c>
      <c r="O2265">
        <v>0</v>
      </c>
      <c r="P2265">
        <v>70.319999999999993</v>
      </c>
      <c r="Q2265">
        <v>421.95</v>
      </c>
      <c r="W2265">
        <v>400184</v>
      </c>
      <c r="AE2265">
        <v>0</v>
      </c>
      <c r="AP2265" t="s">
        <v>136</v>
      </c>
    </row>
    <row r="2266" spans="1:42" ht="15.6">
      <c r="A2266" s="1" t="s">
        <v>46</v>
      </c>
      <c r="B2266" s="1" t="s">
        <v>4586</v>
      </c>
      <c r="C2266" s="1" t="s">
        <v>4586</v>
      </c>
      <c r="E2266" s="14" t="s">
        <v>4587</v>
      </c>
      <c r="G2266" s="16"/>
      <c r="M2266">
        <v>1</v>
      </c>
      <c r="N2266">
        <v>1</v>
      </c>
      <c r="O2266">
        <v>0</v>
      </c>
      <c r="P2266">
        <v>77.61</v>
      </c>
      <c r="Q2266">
        <v>77.61</v>
      </c>
      <c r="W2266">
        <v>400120</v>
      </c>
      <c r="AE2266">
        <v>0</v>
      </c>
      <c r="AP2266" t="s">
        <v>468</v>
      </c>
    </row>
    <row r="2267" spans="1:42" ht="15.6">
      <c r="A2267" s="1" t="s">
        <v>46</v>
      </c>
      <c r="B2267" s="1" t="s">
        <v>4588</v>
      </c>
      <c r="C2267" s="1" t="s">
        <v>4588</v>
      </c>
      <c r="E2267" s="14" t="s">
        <v>4589</v>
      </c>
      <c r="G2267" s="16"/>
      <c r="M2267">
        <v>1</v>
      </c>
      <c r="N2267">
        <v>77</v>
      </c>
      <c r="O2267">
        <v>0</v>
      </c>
      <c r="P2267">
        <v>29</v>
      </c>
      <c r="Q2267">
        <v>2233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410120</v>
      </c>
      <c r="AE2267">
        <v>0</v>
      </c>
      <c r="AP2267" t="s">
        <v>112</v>
      </c>
    </row>
    <row r="2268" spans="1:42" ht="15.6">
      <c r="A2268" s="1" t="s">
        <v>46</v>
      </c>
      <c r="B2268" s="1" t="s">
        <v>4590</v>
      </c>
      <c r="C2268" s="1" t="s">
        <v>4590</v>
      </c>
      <c r="E2268" s="14" t="s">
        <v>4591</v>
      </c>
      <c r="G2268" s="16"/>
      <c r="M2268">
        <v>1</v>
      </c>
      <c r="N2268">
        <v>3</v>
      </c>
      <c r="O2268">
        <v>0</v>
      </c>
      <c r="P2268">
        <v>69.89</v>
      </c>
      <c r="Q2268">
        <v>209.68</v>
      </c>
      <c r="AE2268">
        <v>0</v>
      </c>
    </row>
    <row r="2269" spans="1:42" ht="15.6">
      <c r="A2269" s="1" t="s">
        <v>46</v>
      </c>
      <c r="B2269" s="1" t="s">
        <v>4592</v>
      </c>
      <c r="C2269" s="1" t="s">
        <v>4592</v>
      </c>
      <c r="E2269" s="14" t="s">
        <v>4593</v>
      </c>
      <c r="G2269" s="16"/>
      <c r="M2269">
        <v>1</v>
      </c>
      <c r="N2269">
        <v>-4</v>
      </c>
      <c r="O2269">
        <v>0</v>
      </c>
      <c r="P2269">
        <v>11</v>
      </c>
      <c r="Q2269">
        <v>-44</v>
      </c>
      <c r="R2269" t="s">
        <v>115</v>
      </c>
      <c r="S2269">
        <v>0</v>
      </c>
      <c r="T2269" t="s">
        <v>17</v>
      </c>
      <c r="W2269">
        <v>410120</v>
      </c>
      <c r="AE2269">
        <v>0</v>
      </c>
      <c r="AP2269" t="s">
        <v>112</v>
      </c>
    </row>
    <row r="2270" spans="1:42" ht="15.6">
      <c r="A2270" s="1" t="s">
        <v>46</v>
      </c>
      <c r="B2270" s="1" t="s">
        <v>4594</v>
      </c>
      <c r="C2270" s="1" t="s">
        <v>4594</v>
      </c>
      <c r="E2270" s="14" t="s">
        <v>4595</v>
      </c>
      <c r="G2270" s="16"/>
      <c r="M2270">
        <v>1</v>
      </c>
      <c r="N2270">
        <v>6</v>
      </c>
      <c r="O2270">
        <v>0</v>
      </c>
      <c r="P2270">
        <v>94.35</v>
      </c>
      <c r="Q2270">
        <v>566.1</v>
      </c>
      <c r="W2270">
        <v>400120</v>
      </c>
      <c r="AE2270">
        <v>0</v>
      </c>
      <c r="AP2270" t="s">
        <v>468</v>
      </c>
    </row>
    <row r="2271" spans="1:42" ht="15.6">
      <c r="A2271" s="1" t="s">
        <v>46</v>
      </c>
      <c r="B2271" s="1" t="s">
        <v>4596</v>
      </c>
      <c r="C2271" s="1" t="s">
        <v>4596</v>
      </c>
      <c r="E2271" s="14" t="s">
        <v>4597</v>
      </c>
      <c r="G2271" s="16"/>
      <c r="M2271">
        <v>1</v>
      </c>
      <c r="N2271">
        <v>1</v>
      </c>
      <c r="O2271">
        <v>0</v>
      </c>
      <c r="P2271">
        <v>83.25</v>
      </c>
      <c r="Q2271">
        <v>83.25</v>
      </c>
      <c r="W2271">
        <v>400025</v>
      </c>
      <c r="AE2271">
        <v>0</v>
      </c>
      <c r="AP2271" t="s">
        <v>4598</v>
      </c>
    </row>
    <row r="2272" spans="1:42" ht="15.6">
      <c r="A2272" s="1" t="s">
        <v>46</v>
      </c>
      <c r="B2272" s="1" t="s">
        <v>4599</v>
      </c>
      <c r="C2272" s="1" t="s">
        <v>4599</v>
      </c>
      <c r="E2272" s="14" t="s">
        <v>4600</v>
      </c>
      <c r="G2272" s="16"/>
      <c r="M2272">
        <v>1</v>
      </c>
      <c r="N2272">
        <v>-1</v>
      </c>
      <c r="O2272">
        <v>0</v>
      </c>
      <c r="AE2272">
        <v>0</v>
      </c>
    </row>
    <row r="2273" spans="1:42" ht="15.6">
      <c r="A2273" s="1" t="s">
        <v>46</v>
      </c>
      <c r="B2273" s="1" t="s">
        <v>4601</v>
      </c>
      <c r="C2273" s="1" t="s">
        <v>4601</v>
      </c>
      <c r="E2273" s="14" t="s">
        <v>4602</v>
      </c>
      <c r="G2273" s="16"/>
      <c r="M2273">
        <v>1</v>
      </c>
      <c r="N2273">
        <v>7</v>
      </c>
      <c r="O2273">
        <v>0</v>
      </c>
      <c r="P2273">
        <v>35</v>
      </c>
      <c r="Q2273">
        <v>245</v>
      </c>
      <c r="R2273" t="s">
        <v>115</v>
      </c>
      <c r="S2273">
        <v>0</v>
      </c>
      <c r="T2273" t="s">
        <v>17</v>
      </c>
      <c r="U2273">
        <v>0</v>
      </c>
      <c r="V2273">
        <v>0</v>
      </c>
      <c r="W2273">
        <v>400159</v>
      </c>
      <c r="AE2273">
        <v>0</v>
      </c>
      <c r="AP2273" t="s">
        <v>190</v>
      </c>
    </row>
    <row r="2274" spans="1:42" ht="15.6">
      <c r="E2274" s="14" t="s">
        <v>4603</v>
      </c>
      <c r="G2274" s="16"/>
    </row>
    <row r="2275" spans="1:42" ht="15.6">
      <c r="A2275" s="1" t="s">
        <v>46</v>
      </c>
      <c r="B2275" s="1" t="s">
        <v>4604</v>
      </c>
      <c r="C2275" s="1" t="s">
        <v>4604</v>
      </c>
      <c r="E2275" s="14" t="s">
        <v>4605</v>
      </c>
      <c r="G2275" s="16"/>
      <c r="M2275">
        <v>1</v>
      </c>
      <c r="N2275">
        <v>227</v>
      </c>
      <c r="O2275">
        <v>0</v>
      </c>
      <c r="P2275">
        <v>50.58</v>
      </c>
      <c r="Q2275">
        <v>11482.65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400184</v>
      </c>
      <c r="X2275" t="s">
        <v>56</v>
      </c>
      <c r="Y2275" t="s">
        <v>57</v>
      </c>
      <c r="AE2275">
        <v>0</v>
      </c>
      <c r="AP2275" t="s">
        <v>136</v>
      </c>
    </row>
    <row r="2276" spans="1:42" ht="15.6">
      <c r="A2276" s="1" t="s">
        <v>46</v>
      </c>
      <c r="B2276" s="1" t="s">
        <v>4606</v>
      </c>
      <c r="C2276" s="1" t="s">
        <v>4606</v>
      </c>
      <c r="E2276" s="14" t="s">
        <v>4607</v>
      </c>
      <c r="G2276" s="16"/>
      <c r="M2276">
        <v>1</v>
      </c>
      <c r="N2276">
        <v>44</v>
      </c>
      <c r="O2276">
        <v>0</v>
      </c>
      <c r="P2276">
        <v>23</v>
      </c>
      <c r="Q2276">
        <v>1012</v>
      </c>
      <c r="W2276">
        <v>413116</v>
      </c>
      <c r="AE2276">
        <v>0</v>
      </c>
      <c r="AP2276" t="s">
        <v>4608</v>
      </c>
    </row>
    <row r="2277" spans="1:42" ht="15.6">
      <c r="A2277" s="1" t="s">
        <v>46</v>
      </c>
      <c r="B2277" s="1" t="s">
        <v>4609</v>
      </c>
      <c r="C2277" s="1" t="s">
        <v>4609</v>
      </c>
      <c r="E2277" s="14" t="s">
        <v>4610</v>
      </c>
      <c r="G2277" s="16"/>
      <c r="M2277">
        <v>1</v>
      </c>
      <c r="N2277">
        <v>71</v>
      </c>
      <c r="O2277">
        <v>0</v>
      </c>
      <c r="P2277">
        <v>65</v>
      </c>
      <c r="Q2277">
        <v>4615</v>
      </c>
      <c r="R2277" t="s">
        <v>115</v>
      </c>
      <c r="S2277">
        <v>0</v>
      </c>
      <c r="T2277" t="s">
        <v>17</v>
      </c>
      <c r="U2277">
        <v>0</v>
      </c>
      <c r="V2277">
        <v>0</v>
      </c>
      <c r="W2277">
        <v>400056</v>
      </c>
      <c r="AE2277">
        <v>0</v>
      </c>
      <c r="AP2277" t="s">
        <v>1797</v>
      </c>
    </row>
    <row r="2278" spans="1:42" ht="15.6">
      <c r="A2278" s="1" t="s">
        <v>46</v>
      </c>
      <c r="B2278" s="1" t="s">
        <v>4611</v>
      </c>
      <c r="C2278" s="1" t="s">
        <v>4611</v>
      </c>
      <c r="E2278" s="14" t="s">
        <v>4612</v>
      </c>
      <c r="G2278" s="16"/>
      <c r="M2278">
        <v>1</v>
      </c>
      <c r="N2278">
        <v>377</v>
      </c>
      <c r="O2278">
        <v>0</v>
      </c>
      <c r="P2278">
        <v>56.81</v>
      </c>
      <c r="Q2278">
        <v>21417.37</v>
      </c>
      <c r="R2278" t="s">
        <v>115</v>
      </c>
      <c r="S2278">
        <v>0</v>
      </c>
      <c r="T2278" t="s">
        <v>17</v>
      </c>
      <c r="U2278">
        <v>0</v>
      </c>
      <c r="V2278">
        <v>0</v>
      </c>
      <c r="W2278">
        <v>400220</v>
      </c>
      <c r="X2278" t="s">
        <v>56</v>
      </c>
      <c r="Y2278" t="s">
        <v>57</v>
      </c>
      <c r="AE2278">
        <v>0</v>
      </c>
      <c r="AP2278" t="s">
        <v>4535</v>
      </c>
    </row>
    <row r="2279" spans="1:42" ht="15.6">
      <c r="E2279" s="14" t="s">
        <v>4613</v>
      </c>
      <c r="G2279" s="16"/>
    </row>
    <row r="2280" spans="1:42" ht="15.6">
      <c r="E2280" s="14" t="s">
        <v>4614</v>
      </c>
      <c r="G2280" s="16"/>
    </row>
    <row r="2281" spans="1:42" ht="15.6">
      <c r="E2281" s="14" t="s">
        <v>4615</v>
      </c>
      <c r="G2281" s="16"/>
    </row>
    <row r="2282" spans="1:42" ht="15.6">
      <c r="A2282" s="1" t="s">
        <v>46</v>
      </c>
      <c r="B2282" s="1" t="s">
        <v>4616</v>
      </c>
      <c r="C2282" s="1" t="s">
        <v>4616</v>
      </c>
      <c r="E2282" s="14" t="s">
        <v>4617</v>
      </c>
      <c r="G2282" s="16"/>
      <c r="M2282">
        <v>1</v>
      </c>
      <c r="N2282">
        <v>96</v>
      </c>
      <c r="O2282">
        <v>0</v>
      </c>
      <c r="P2282">
        <v>56.75</v>
      </c>
      <c r="Q2282">
        <v>5448.31</v>
      </c>
      <c r="R2282" t="s">
        <v>115</v>
      </c>
      <c r="S2282">
        <v>0</v>
      </c>
      <c r="T2282" t="s">
        <v>17</v>
      </c>
      <c r="U2282">
        <v>0</v>
      </c>
      <c r="V2282">
        <v>0</v>
      </c>
      <c r="W2282">
        <v>400184</v>
      </c>
      <c r="AE2282">
        <v>0</v>
      </c>
      <c r="AP2282" t="s">
        <v>136</v>
      </c>
    </row>
    <row r="2283" spans="1:42" ht="15.6">
      <c r="A2283" s="1" t="s">
        <v>46</v>
      </c>
      <c r="B2283" s="1" t="s">
        <v>4618</v>
      </c>
      <c r="C2283" s="1" t="s">
        <v>4618</v>
      </c>
      <c r="E2283" s="14" t="s">
        <v>4619</v>
      </c>
      <c r="G2283" s="16"/>
      <c r="M2283">
        <v>1</v>
      </c>
      <c r="N2283">
        <v>-1</v>
      </c>
      <c r="O2283">
        <v>0</v>
      </c>
      <c r="R2283" t="s">
        <v>115</v>
      </c>
      <c r="S2283">
        <v>0</v>
      </c>
      <c r="T2283" t="s">
        <v>17</v>
      </c>
      <c r="AE2283">
        <v>0</v>
      </c>
    </row>
    <row r="2284" spans="1:42" ht="15.6">
      <c r="E2284" s="14" t="s">
        <v>4620</v>
      </c>
      <c r="G2284" s="16"/>
    </row>
    <row r="2285" spans="1:42" ht="15.6">
      <c r="E2285" s="14" t="s">
        <v>4621</v>
      </c>
      <c r="G2285" s="16"/>
    </row>
    <row r="2286" spans="1:42" ht="15.6">
      <c r="E2286" s="14" t="s">
        <v>4622</v>
      </c>
      <c r="G2286" s="16"/>
    </row>
    <row r="2287" spans="1:42" ht="15.6">
      <c r="E2287" s="14" t="s">
        <v>4623</v>
      </c>
      <c r="G2287" s="16"/>
    </row>
    <row r="2288" spans="1:42" ht="15.6">
      <c r="E2288" s="14" t="s">
        <v>4624</v>
      </c>
      <c r="G2288" s="16"/>
    </row>
    <row r="2289" spans="1:42" ht="15.6">
      <c r="E2289" s="14" t="s">
        <v>3866</v>
      </c>
      <c r="G2289" s="16"/>
    </row>
    <row r="2290" spans="1:42" ht="15.6">
      <c r="A2290" s="1" t="s">
        <v>46</v>
      </c>
      <c r="B2290" s="1" t="s">
        <v>4625</v>
      </c>
      <c r="C2290" s="1" t="s">
        <v>4625</v>
      </c>
      <c r="E2290" s="14" t="s">
        <v>4626</v>
      </c>
      <c r="G2290" s="16"/>
      <c r="M2290">
        <v>1</v>
      </c>
      <c r="N2290">
        <v>10</v>
      </c>
      <c r="O2290">
        <v>0</v>
      </c>
      <c r="P2290">
        <v>50.64</v>
      </c>
      <c r="Q2290">
        <v>506.35</v>
      </c>
      <c r="W2290">
        <v>400123</v>
      </c>
      <c r="AE2290">
        <v>0</v>
      </c>
      <c r="AP2290" t="s">
        <v>291</v>
      </c>
    </row>
    <row r="2291" spans="1:42" ht="15.6">
      <c r="A2291" s="1" t="s">
        <v>46</v>
      </c>
      <c r="B2291" s="1" t="s">
        <v>4627</v>
      </c>
      <c r="C2291" s="1" t="s">
        <v>4627</v>
      </c>
      <c r="E2291" s="14" t="s">
        <v>4628</v>
      </c>
      <c r="G2291" s="16"/>
      <c r="M2291">
        <v>1</v>
      </c>
      <c r="N2291">
        <v>18</v>
      </c>
      <c r="O2291">
        <v>0</v>
      </c>
      <c r="P2291">
        <v>72.11</v>
      </c>
      <c r="Q2291">
        <v>1297.9100000000001</v>
      </c>
      <c r="R2291" t="s">
        <v>574</v>
      </c>
      <c r="S2291">
        <v>0</v>
      </c>
      <c r="T2291" t="s">
        <v>52</v>
      </c>
      <c r="U2291">
        <v>0</v>
      </c>
      <c r="V2291">
        <v>0</v>
      </c>
      <c r="W2291">
        <v>400120</v>
      </c>
      <c r="AE2291">
        <v>0</v>
      </c>
      <c r="AP2291" t="s">
        <v>468</v>
      </c>
    </row>
    <row r="2292" spans="1:42" ht="15.6">
      <c r="A2292" s="1" t="s">
        <v>46</v>
      </c>
      <c r="B2292" s="1" t="s">
        <v>4629</v>
      </c>
      <c r="C2292" s="1" t="s">
        <v>4629</v>
      </c>
      <c r="E2292" s="14" t="s">
        <v>4630</v>
      </c>
      <c r="G2292" s="16"/>
      <c r="M2292">
        <v>1</v>
      </c>
      <c r="N2292">
        <v>1</v>
      </c>
      <c r="O2292">
        <v>0</v>
      </c>
      <c r="P2292">
        <v>255</v>
      </c>
      <c r="Q2292">
        <v>255</v>
      </c>
      <c r="W2292">
        <v>400120</v>
      </c>
      <c r="AE2292">
        <v>0</v>
      </c>
      <c r="AP2292" t="s">
        <v>468</v>
      </c>
    </row>
    <row r="2293" spans="1:42" ht="15.6">
      <c r="A2293" s="1" t="s">
        <v>46</v>
      </c>
      <c r="B2293" s="1" t="s">
        <v>4631</v>
      </c>
      <c r="C2293" s="1" t="s">
        <v>4631</v>
      </c>
      <c r="E2293" s="14" t="s">
        <v>4632</v>
      </c>
      <c r="G2293" s="16"/>
      <c r="M2293">
        <v>1</v>
      </c>
      <c r="N2293">
        <v>38</v>
      </c>
      <c r="O2293">
        <v>0</v>
      </c>
      <c r="P2293">
        <v>24</v>
      </c>
      <c r="Q2293">
        <v>912</v>
      </c>
      <c r="R2293">
        <v>0</v>
      </c>
      <c r="S2293">
        <v>0</v>
      </c>
      <c r="T2293" t="s">
        <v>52</v>
      </c>
      <c r="U2293">
        <v>0</v>
      </c>
      <c r="V2293">
        <v>0</v>
      </c>
      <c r="W2293">
        <v>410120</v>
      </c>
      <c r="X2293" t="s">
        <v>56</v>
      </c>
      <c r="Y2293" t="s">
        <v>57</v>
      </c>
      <c r="AE2293">
        <v>0</v>
      </c>
      <c r="AP2293" t="s">
        <v>112</v>
      </c>
    </row>
    <row r="2294" spans="1:42" ht="15.6">
      <c r="A2294" s="1" t="s">
        <v>46</v>
      </c>
      <c r="B2294" s="1" t="s">
        <v>4633</v>
      </c>
      <c r="C2294" s="1" t="s">
        <v>4633</v>
      </c>
      <c r="E2294" s="14" t="s">
        <v>4634</v>
      </c>
      <c r="G2294" s="16"/>
      <c r="M2294">
        <v>1</v>
      </c>
      <c r="N2294">
        <v>-4</v>
      </c>
      <c r="O2294">
        <v>0</v>
      </c>
      <c r="P2294">
        <v>1.25</v>
      </c>
      <c r="Q2294">
        <v>-5</v>
      </c>
      <c r="R2294">
        <v>0</v>
      </c>
      <c r="S2294">
        <v>0</v>
      </c>
      <c r="T2294" t="s">
        <v>52</v>
      </c>
      <c r="W2294">
        <v>400017</v>
      </c>
      <c r="AE2294">
        <v>0</v>
      </c>
      <c r="AP2294" t="s">
        <v>49</v>
      </c>
    </row>
    <row r="2295" spans="1:42" ht="15.6">
      <c r="A2295" s="1" t="s">
        <v>46</v>
      </c>
      <c r="B2295" s="1" t="s">
        <v>4635</v>
      </c>
      <c r="C2295" s="1" t="s">
        <v>4635</v>
      </c>
      <c r="E2295" s="14" t="s">
        <v>4636</v>
      </c>
      <c r="G2295" s="16"/>
      <c r="M2295">
        <v>1</v>
      </c>
      <c r="N2295">
        <v>-36</v>
      </c>
      <c r="O2295">
        <v>0</v>
      </c>
      <c r="P2295">
        <v>0.55000000000000004</v>
      </c>
      <c r="Q2295">
        <v>-19.8</v>
      </c>
      <c r="R2295">
        <v>0</v>
      </c>
      <c r="S2295">
        <v>0</v>
      </c>
      <c r="T2295" t="s">
        <v>4637</v>
      </c>
      <c r="W2295">
        <v>400055</v>
      </c>
      <c r="AE2295">
        <v>0</v>
      </c>
      <c r="AP2295" t="s">
        <v>1236</v>
      </c>
    </row>
    <row r="2296" spans="1:42" ht="15.6">
      <c r="A2296" s="1" t="s">
        <v>46</v>
      </c>
      <c r="B2296" s="1" t="s">
        <v>4638</v>
      </c>
      <c r="C2296" s="1" t="s">
        <v>4638</v>
      </c>
      <c r="E2296" s="14" t="s">
        <v>4639</v>
      </c>
      <c r="G2296" s="16"/>
      <c r="M2296">
        <v>1</v>
      </c>
      <c r="N2296">
        <v>36</v>
      </c>
      <c r="O2296">
        <v>0</v>
      </c>
      <c r="P2296">
        <v>1.25</v>
      </c>
      <c r="Q2296">
        <v>45</v>
      </c>
      <c r="R2296">
        <v>0</v>
      </c>
      <c r="S2296">
        <v>0</v>
      </c>
      <c r="T2296" t="s">
        <v>52</v>
      </c>
      <c r="U2296">
        <v>0</v>
      </c>
      <c r="V2296">
        <v>0</v>
      </c>
      <c r="W2296">
        <v>400017</v>
      </c>
      <c r="X2296" t="s">
        <v>56</v>
      </c>
      <c r="Y2296" t="s">
        <v>57</v>
      </c>
      <c r="AE2296">
        <v>0</v>
      </c>
      <c r="AP2296" t="s">
        <v>49</v>
      </c>
    </row>
    <row r="2297" spans="1:42" ht="15.6">
      <c r="A2297" s="1" t="s">
        <v>46</v>
      </c>
      <c r="B2297" s="1" t="s">
        <v>4640</v>
      </c>
      <c r="C2297" s="1" t="s">
        <v>4640</v>
      </c>
      <c r="E2297" s="14" t="s">
        <v>4641</v>
      </c>
      <c r="G2297" s="16"/>
      <c r="M2297">
        <v>1</v>
      </c>
      <c r="N2297">
        <v>381</v>
      </c>
      <c r="O2297">
        <v>0</v>
      </c>
      <c r="P2297">
        <v>3.75</v>
      </c>
      <c r="Q2297">
        <v>1428.75</v>
      </c>
      <c r="R2297">
        <v>0</v>
      </c>
      <c r="S2297">
        <v>0</v>
      </c>
      <c r="T2297" t="s">
        <v>52</v>
      </c>
      <c r="U2297">
        <v>0</v>
      </c>
      <c r="V2297">
        <v>0</v>
      </c>
      <c r="W2297">
        <v>400203</v>
      </c>
      <c r="X2297" t="s">
        <v>56</v>
      </c>
      <c r="Y2297" t="s">
        <v>57</v>
      </c>
      <c r="AE2297">
        <v>0</v>
      </c>
      <c r="AP2297" t="s">
        <v>837</v>
      </c>
    </row>
    <row r="2298" spans="1:42" ht="15.6">
      <c r="A2298" s="1"/>
      <c r="B2298" s="1"/>
      <c r="C2298" s="1"/>
      <c r="E2298" s="14" t="s">
        <v>4642</v>
      </c>
      <c r="G2298" s="16"/>
    </row>
    <row r="2299" spans="1:42" ht="15.6">
      <c r="A2299" s="1" t="s">
        <v>46</v>
      </c>
      <c r="B2299" s="1" t="s">
        <v>4643</v>
      </c>
      <c r="C2299" s="1" t="s">
        <v>4643</v>
      </c>
      <c r="E2299" s="14" t="s">
        <v>4644</v>
      </c>
      <c r="G2299" s="16"/>
      <c r="M2299">
        <v>1</v>
      </c>
      <c r="N2299">
        <v>8</v>
      </c>
      <c r="O2299">
        <v>0</v>
      </c>
      <c r="P2299">
        <v>39</v>
      </c>
      <c r="Q2299">
        <v>312</v>
      </c>
      <c r="R2299">
        <v>0</v>
      </c>
      <c r="S2299">
        <v>0</v>
      </c>
      <c r="T2299" t="s">
        <v>52</v>
      </c>
      <c r="W2299">
        <v>400111</v>
      </c>
      <c r="AE2299">
        <v>0</v>
      </c>
      <c r="AP2299" t="s">
        <v>646</v>
      </c>
    </row>
    <row r="2300" spans="1:42" ht="15.6">
      <c r="A2300" s="1" t="s">
        <v>46</v>
      </c>
      <c r="B2300" s="1" t="s">
        <v>4645</v>
      </c>
      <c r="C2300" s="1" t="s">
        <v>4645</v>
      </c>
      <c r="E2300" s="14" t="s">
        <v>4646</v>
      </c>
      <c r="G2300" s="16"/>
      <c r="M2300">
        <v>1</v>
      </c>
      <c r="N2300">
        <v>12</v>
      </c>
      <c r="O2300">
        <v>0</v>
      </c>
      <c r="P2300">
        <v>36</v>
      </c>
      <c r="Q2300">
        <v>432</v>
      </c>
      <c r="R2300">
        <v>0</v>
      </c>
      <c r="S2300">
        <v>0</v>
      </c>
      <c r="T2300" t="s">
        <v>52</v>
      </c>
      <c r="W2300">
        <v>400017</v>
      </c>
      <c r="AE2300">
        <v>0</v>
      </c>
      <c r="AP2300" t="s">
        <v>49</v>
      </c>
    </row>
    <row r="2301" spans="1:42" ht="15.6">
      <c r="A2301" s="1" t="s">
        <v>46</v>
      </c>
      <c r="B2301" s="1" t="s">
        <v>4647</v>
      </c>
      <c r="C2301" s="1" t="s">
        <v>4647</v>
      </c>
      <c r="E2301" s="14" t="s">
        <v>4648</v>
      </c>
      <c r="G2301" s="16"/>
      <c r="M2301">
        <v>1</v>
      </c>
      <c r="N2301">
        <v>60</v>
      </c>
      <c r="O2301">
        <v>0</v>
      </c>
      <c r="P2301">
        <v>0.17</v>
      </c>
      <c r="Q2301">
        <v>10</v>
      </c>
      <c r="R2301">
        <v>0</v>
      </c>
      <c r="S2301">
        <v>0</v>
      </c>
      <c r="T2301" t="s">
        <v>17</v>
      </c>
      <c r="U2301">
        <v>0</v>
      </c>
      <c r="V2301">
        <v>0</v>
      </c>
      <c r="W2301">
        <v>400017</v>
      </c>
      <c r="X2301" t="s">
        <v>56</v>
      </c>
      <c r="Y2301" t="s">
        <v>57</v>
      </c>
      <c r="AE2301">
        <v>0</v>
      </c>
      <c r="AP2301" t="s">
        <v>49</v>
      </c>
    </row>
    <row r="2302" spans="1:42" ht="15.6">
      <c r="A2302" s="1" t="s">
        <v>46</v>
      </c>
      <c r="B2302" s="1" t="s">
        <v>4649</v>
      </c>
      <c r="C2302" s="1" t="s">
        <v>4649</v>
      </c>
      <c r="E2302" s="14" t="s">
        <v>4650</v>
      </c>
      <c r="G2302" s="16"/>
      <c r="M2302">
        <v>1</v>
      </c>
      <c r="N2302">
        <v>105</v>
      </c>
      <c r="O2302">
        <v>0</v>
      </c>
      <c r="P2302">
        <v>1.75</v>
      </c>
      <c r="Q2302">
        <v>183.75</v>
      </c>
      <c r="W2302">
        <v>400017</v>
      </c>
      <c r="AE2302">
        <v>0</v>
      </c>
      <c r="AP2302" t="s">
        <v>49</v>
      </c>
    </row>
    <row r="2303" spans="1:42" ht="15.6">
      <c r="A2303" s="1" t="s">
        <v>46</v>
      </c>
      <c r="B2303" s="1" t="s">
        <v>4651</v>
      </c>
      <c r="C2303" s="1" t="s">
        <v>4651</v>
      </c>
      <c r="E2303" s="14" t="s">
        <v>4652</v>
      </c>
      <c r="G2303" s="16"/>
      <c r="M2303">
        <v>1</v>
      </c>
      <c r="N2303">
        <v>-1</v>
      </c>
      <c r="O2303">
        <v>0</v>
      </c>
      <c r="P2303">
        <v>59.6</v>
      </c>
      <c r="Q2303">
        <v>-59.6</v>
      </c>
      <c r="R2303">
        <v>0</v>
      </c>
      <c r="S2303">
        <v>0</v>
      </c>
      <c r="T2303" t="s">
        <v>52</v>
      </c>
      <c r="W2303">
        <v>400032</v>
      </c>
      <c r="AE2303">
        <v>0</v>
      </c>
      <c r="AP2303" t="s">
        <v>404</v>
      </c>
    </row>
    <row r="2304" spans="1:42" ht="15.6">
      <c r="A2304" s="1" t="s">
        <v>46</v>
      </c>
      <c r="B2304" s="1" t="s">
        <v>4653</v>
      </c>
      <c r="C2304" s="1" t="s">
        <v>4653</v>
      </c>
      <c r="E2304" s="14" t="s">
        <v>4654</v>
      </c>
      <c r="G2304" s="16"/>
      <c r="M2304">
        <v>1</v>
      </c>
      <c r="N2304">
        <v>-59</v>
      </c>
      <c r="O2304">
        <v>0</v>
      </c>
      <c r="W2304">
        <v>400158</v>
      </c>
      <c r="AE2304">
        <v>0</v>
      </c>
      <c r="AP2304" t="s">
        <v>61</v>
      </c>
    </row>
    <row r="2305" spans="1:42" ht="15.6">
      <c r="A2305" s="1" t="s">
        <v>46</v>
      </c>
      <c r="B2305" s="1" t="s">
        <v>4655</v>
      </c>
      <c r="C2305" s="1" t="s">
        <v>4655</v>
      </c>
      <c r="E2305" s="14" t="s">
        <v>4656</v>
      </c>
      <c r="G2305" s="16"/>
      <c r="M2305">
        <v>1</v>
      </c>
      <c r="N2305">
        <v>-7</v>
      </c>
      <c r="O2305">
        <v>0</v>
      </c>
      <c r="P2305">
        <v>5</v>
      </c>
      <c r="Q2305">
        <v>-35</v>
      </c>
      <c r="R2305">
        <v>0</v>
      </c>
      <c r="S2305">
        <v>0</v>
      </c>
      <c r="T2305" t="s">
        <v>52</v>
      </c>
      <c r="U2305">
        <v>0</v>
      </c>
      <c r="V2305">
        <v>0</v>
      </c>
      <c r="W2305">
        <v>400204</v>
      </c>
      <c r="X2305" t="s">
        <v>56</v>
      </c>
      <c r="Y2305" t="s">
        <v>57</v>
      </c>
      <c r="AE2305">
        <v>0</v>
      </c>
      <c r="AP2305" t="s">
        <v>4657</v>
      </c>
    </row>
    <row r="2306" spans="1:42" ht="15.6">
      <c r="A2306" s="1" t="s">
        <v>46</v>
      </c>
      <c r="B2306" s="1" t="s">
        <v>4658</v>
      </c>
      <c r="C2306" s="1" t="s">
        <v>4658</v>
      </c>
      <c r="E2306" s="14" t="s">
        <v>4659</v>
      </c>
      <c r="G2306" s="16"/>
      <c r="M2306">
        <v>1</v>
      </c>
      <c r="N2306">
        <v>81</v>
      </c>
      <c r="O2306">
        <v>0</v>
      </c>
      <c r="P2306">
        <v>1.25</v>
      </c>
      <c r="Q2306">
        <v>101.25</v>
      </c>
      <c r="R2306">
        <v>0</v>
      </c>
      <c r="S2306">
        <v>0</v>
      </c>
      <c r="T2306" t="s">
        <v>52</v>
      </c>
      <c r="U2306">
        <v>0</v>
      </c>
      <c r="V2306">
        <v>0</v>
      </c>
      <c r="W2306">
        <v>400017</v>
      </c>
      <c r="X2306" t="s">
        <v>56</v>
      </c>
      <c r="Y2306" t="s">
        <v>57</v>
      </c>
      <c r="AE2306">
        <v>0</v>
      </c>
      <c r="AP2306" t="s">
        <v>49</v>
      </c>
    </row>
    <row r="2307" spans="1:42" ht="15.6">
      <c r="A2307" s="1" t="s">
        <v>46</v>
      </c>
      <c r="B2307" s="1" t="s">
        <v>4660</v>
      </c>
      <c r="C2307" s="1" t="s">
        <v>4660</v>
      </c>
      <c r="E2307" s="14" t="s">
        <v>4661</v>
      </c>
      <c r="G2307" s="16"/>
      <c r="M2307">
        <v>1</v>
      </c>
      <c r="N2307">
        <v>180</v>
      </c>
      <c r="O2307">
        <v>0</v>
      </c>
      <c r="P2307">
        <v>0.46</v>
      </c>
      <c r="Q2307">
        <v>82.5</v>
      </c>
      <c r="R2307">
        <v>0</v>
      </c>
      <c r="S2307">
        <v>0</v>
      </c>
      <c r="T2307" t="s">
        <v>52</v>
      </c>
      <c r="U2307">
        <v>0</v>
      </c>
      <c r="V2307">
        <v>0</v>
      </c>
      <c r="W2307">
        <v>400133</v>
      </c>
      <c r="X2307" t="s">
        <v>56</v>
      </c>
      <c r="Y2307" t="s">
        <v>57</v>
      </c>
      <c r="AE2307">
        <v>0</v>
      </c>
      <c r="AP2307" t="s">
        <v>4040</v>
      </c>
    </row>
    <row r="2308" spans="1:42" ht="15.6">
      <c r="A2308" s="1" t="s">
        <v>46</v>
      </c>
      <c r="B2308" s="1" t="s">
        <v>4662</v>
      </c>
      <c r="C2308" s="1" t="s">
        <v>4662</v>
      </c>
      <c r="E2308" s="14" t="s">
        <v>4663</v>
      </c>
      <c r="G2308" s="16"/>
      <c r="M2308">
        <v>1</v>
      </c>
      <c r="N2308">
        <v>1087</v>
      </c>
      <c r="O2308">
        <v>0</v>
      </c>
      <c r="P2308">
        <v>1.5</v>
      </c>
      <c r="Q2308">
        <v>1630.5</v>
      </c>
      <c r="R2308">
        <v>0</v>
      </c>
      <c r="S2308">
        <v>0</v>
      </c>
      <c r="T2308" t="s">
        <v>52</v>
      </c>
      <c r="U2308">
        <v>0</v>
      </c>
      <c r="V2308">
        <v>0</v>
      </c>
      <c r="W2308">
        <v>400017</v>
      </c>
      <c r="X2308" t="s">
        <v>56</v>
      </c>
      <c r="Y2308" t="s">
        <v>57</v>
      </c>
      <c r="AE2308">
        <v>0</v>
      </c>
      <c r="AP2308" t="s">
        <v>49</v>
      </c>
    </row>
    <row r="2309" spans="1:42" ht="15.6">
      <c r="A2309" s="1" t="s">
        <v>46</v>
      </c>
      <c r="B2309" s="1" t="s">
        <v>4664</v>
      </c>
      <c r="C2309" s="1" t="s">
        <v>4664</v>
      </c>
      <c r="E2309" s="14" t="s">
        <v>4665</v>
      </c>
      <c r="G2309" s="16"/>
      <c r="M2309">
        <v>1</v>
      </c>
      <c r="N2309">
        <v>5</v>
      </c>
      <c r="O2309">
        <v>0</v>
      </c>
      <c r="P2309">
        <v>12</v>
      </c>
      <c r="Q2309">
        <v>60</v>
      </c>
      <c r="W2309">
        <v>400111</v>
      </c>
      <c r="AE2309">
        <v>0</v>
      </c>
      <c r="AP2309" t="s">
        <v>646</v>
      </c>
    </row>
    <row r="2310" spans="1:42" ht="15.6">
      <c r="A2310" s="1" t="s">
        <v>46</v>
      </c>
      <c r="B2310" s="1" t="s">
        <v>4666</v>
      </c>
      <c r="C2310" s="1" t="s">
        <v>4666</v>
      </c>
      <c r="E2310" s="14" t="s">
        <v>4667</v>
      </c>
      <c r="G2310" s="16"/>
      <c r="M2310">
        <v>1</v>
      </c>
      <c r="N2310">
        <v>46</v>
      </c>
      <c r="O2310">
        <v>0</v>
      </c>
      <c r="P2310">
        <v>2.85</v>
      </c>
      <c r="Q2310">
        <v>131.1</v>
      </c>
      <c r="R2310">
        <v>0</v>
      </c>
      <c r="S2310">
        <v>0</v>
      </c>
      <c r="T2310">
        <v>0</v>
      </c>
      <c r="W2310">
        <v>400116</v>
      </c>
      <c r="AE2310">
        <v>0</v>
      </c>
      <c r="AP2310" t="s">
        <v>513</v>
      </c>
    </row>
    <row r="2311" spans="1:42" ht="15.6">
      <c r="A2311" s="1" t="s">
        <v>46</v>
      </c>
      <c r="B2311" s="1" t="s">
        <v>4668</v>
      </c>
      <c r="C2311" s="1" t="s">
        <v>4668</v>
      </c>
      <c r="E2311" s="14" t="s">
        <v>4669</v>
      </c>
      <c r="G2311" s="16"/>
      <c r="M2311">
        <v>1</v>
      </c>
      <c r="N2311">
        <v>64</v>
      </c>
      <c r="O2311">
        <v>0</v>
      </c>
      <c r="P2311">
        <v>2.85</v>
      </c>
      <c r="Q2311">
        <v>182.4</v>
      </c>
      <c r="R2311">
        <v>0</v>
      </c>
      <c r="S2311">
        <v>0</v>
      </c>
      <c r="T2311">
        <v>0</v>
      </c>
      <c r="W2311">
        <v>400116</v>
      </c>
      <c r="AE2311">
        <v>0</v>
      </c>
      <c r="AP2311" t="s">
        <v>513</v>
      </c>
    </row>
    <row r="2312" spans="1:42" ht="15.6">
      <c r="A2312" s="1" t="s">
        <v>46</v>
      </c>
      <c r="B2312" s="1" t="s">
        <v>4670</v>
      </c>
      <c r="C2312" s="1" t="s">
        <v>4670</v>
      </c>
      <c r="E2312" s="14" t="s">
        <v>4671</v>
      </c>
      <c r="G2312" s="16"/>
      <c r="M2312">
        <v>1</v>
      </c>
      <c r="N2312">
        <v>18</v>
      </c>
      <c r="O2312">
        <v>0</v>
      </c>
      <c r="P2312">
        <v>3</v>
      </c>
      <c r="Q2312">
        <v>54</v>
      </c>
      <c r="R2312">
        <v>0</v>
      </c>
      <c r="S2312">
        <v>0</v>
      </c>
      <c r="T2312">
        <v>0</v>
      </c>
      <c r="U2312" t="s">
        <v>52</v>
      </c>
      <c r="V2312">
        <v>0</v>
      </c>
      <c r="W2312">
        <v>400116</v>
      </c>
      <c r="X2312" t="s">
        <v>56</v>
      </c>
      <c r="Y2312" t="s">
        <v>57</v>
      </c>
      <c r="AE2312">
        <v>0</v>
      </c>
      <c r="AP2312" t="s">
        <v>513</v>
      </c>
    </row>
    <row r="2313" spans="1:42" ht="15.6">
      <c r="A2313" s="1" t="s">
        <v>46</v>
      </c>
      <c r="B2313" s="1" t="s">
        <v>4672</v>
      </c>
      <c r="C2313" s="1" t="s">
        <v>4672</v>
      </c>
      <c r="E2313" s="14" t="s">
        <v>4673</v>
      </c>
      <c r="G2313" s="16"/>
      <c r="M2313">
        <v>1</v>
      </c>
      <c r="N2313">
        <v>24</v>
      </c>
      <c r="O2313">
        <v>0</v>
      </c>
      <c r="P2313">
        <v>9</v>
      </c>
      <c r="Q2313">
        <v>216</v>
      </c>
      <c r="R2313">
        <v>0</v>
      </c>
      <c r="S2313">
        <v>0</v>
      </c>
      <c r="T2313">
        <v>0</v>
      </c>
      <c r="W2313">
        <v>400116</v>
      </c>
      <c r="AE2313">
        <v>0</v>
      </c>
      <c r="AP2313" t="s">
        <v>513</v>
      </c>
    </row>
    <row r="2314" spans="1:42" ht="15.6">
      <c r="A2314" s="1" t="s">
        <v>46</v>
      </c>
      <c r="B2314" s="1" t="s">
        <v>4674</v>
      </c>
      <c r="C2314" s="1" t="s">
        <v>4674</v>
      </c>
      <c r="E2314" s="14" t="s">
        <v>4675</v>
      </c>
      <c r="G2314" s="16"/>
      <c r="M2314">
        <v>1</v>
      </c>
      <c r="N2314">
        <v>11</v>
      </c>
      <c r="O2314">
        <v>0</v>
      </c>
      <c r="P2314">
        <v>7.75</v>
      </c>
      <c r="Q2314">
        <v>85.25</v>
      </c>
      <c r="W2314">
        <v>400140</v>
      </c>
      <c r="AE2314">
        <v>0</v>
      </c>
      <c r="AP2314" t="s">
        <v>4033</v>
      </c>
    </row>
    <row r="2315" spans="1:42" ht="15.6">
      <c r="A2315" s="1" t="s">
        <v>46</v>
      </c>
      <c r="B2315" s="1" t="s">
        <v>4676</v>
      </c>
      <c r="C2315" s="1" t="s">
        <v>4676</v>
      </c>
      <c r="E2315" s="14" t="s">
        <v>4677</v>
      </c>
      <c r="G2315" s="16"/>
      <c r="M2315">
        <v>1</v>
      </c>
      <c r="N2315">
        <v>24</v>
      </c>
      <c r="O2315">
        <v>0</v>
      </c>
      <c r="P2315">
        <v>7.2</v>
      </c>
      <c r="Q2315">
        <v>172.8</v>
      </c>
      <c r="R2315">
        <v>0</v>
      </c>
      <c r="S2315">
        <v>0</v>
      </c>
      <c r="T2315">
        <v>0</v>
      </c>
      <c r="W2315">
        <v>400140</v>
      </c>
      <c r="AE2315">
        <v>0</v>
      </c>
      <c r="AP2315" t="s">
        <v>4033</v>
      </c>
    </row>
    <row r="2316" spans="1:42" ht="15.6">
      <c r="A2316" s="1" t="s">
        <v>46</v>
      </c>
      <c r="B2316" s="1" t="s">
        <v>4678</v>
      </c>
      <c r="C2316" s="1" t="s">
        <v>4678</v>
      </c>
      <c r="E2316" s="14" t="s">
        <v>4679</v>
      </c>
      <c r="G2316" s="16"/>
      <c r="M2316">
        <v>1</v>
      </c>
      <c r="N2316">
        <v>61</v>
      </c>
      <c r="O2316">
        <v>0</v>
      </c>
      <c r="P2316">
        <v>0.7</v>
      </c>
      <c r="Q2316">
        <v>42.7</v>
      </c>
      <c r="R2316">
        <v>0</v>
      </c>
      <c r="S2316">
        <v>0</v>
      </c>
      <c r="T2316" t="s">
        <v>52</v>
      </c>
      <c r="U2316">
        <v>0</v>
      </c>
      <c r="V2316">
        <v>0</v>
      </c>
      <c r="W2316">
        <v>400158</v>
      </c>
      <c r="AE2316">
        <v>0</v>
      </c>
      <c r="AP2316" t="s">
        <v>61</v>
      </c>
    </row>
    <row r="2317" spans="1:42" ht="15.6">
      <c r="A2317" s="1" t="s">
        <v>46</v>
      </c>
      <c r="B2317" s="1" t="s">
        <v>4680</v>
      </c>
      <c r="C2317" s="1" t="s">
        <v>4680</v>
      </c>
      <c r="E2317" s="14" t="s">
        <v>4681</v>
      </c>
      <c r="G2317" s="16"/>
      <c r="M2317">
        <v>1</v>
      </c>
      <c r="N2317">
        <v>11</v>
      </c>
      <c r="O2317">
        <v>0</v>
      </c>
      <c r="P2317">
        <v>3.75</v>
      </c>
      <c r="Q2317">
        <v>41.25</v>
      </c>
      <c r="W2317">
        <v>400140</v>
      </c>
      <c r="AE2317">
        <v>0</v>
      </c>
      <c r="AP2317" t="s">
        <v>4033</v>
      </c>
    </row>
    <row r="2318" spans="1:42" ht="15.6">
      <c r="A2318" s="1" t="s">
        <v>46</v>
      </c>
      <c r="B2318" s="1" t="s">
        <v>4682</v>
      </c>
      <c r="C2318" s="1" t="s">
        <v>4682</v>
      </c>
      <c r="E2318" s="14" t="s">
        <v>4683</v>
      </c>
      <c r="G2318" s="16"/>
      <c r="M2318">
        <v>1</v>
      </c>
      <c r="N2318">
        <v>879</v>
      </c>
      <c r="O2318">
        <v>0</v>
      </c>
      <c r="P2318">
        <v>0.9</v>
      </c>
      <c r="Q2318">
        <v>791.1</v>
      </c>
      <c r="R2318">
        <v>0</v>
      </c>
      <c r="S2318">
        <v>0</v>
      </c>
      <c r="T2318" t="s">
        <v>52</v>
      </c>
      <c r="U2318">
        <v>0</v>
      </c>
      <c r="V2318">
        <v>0</v>
      </c>
      <c r="W2318">
        <v>400158</v>
      </c>
      <c r="X2318" t="s">
        <v>56</v>
      </c>
      <c r="Y2318" t="s">
        <v>57</v>
      </c>
      <c r="AE2318">
        <v>0</v>
      </c>
      <c r="AP2318" t="s">
        <v>61</v>
      </c>
    </row>
    <row r="2319" spans="1:42" ht="15.6">
      <c r="A2319" s="1" t="s">
        <v>46</v>
      </c>
      <c r="B2319" s="1" t="s">
        <v>4684</v>
      </c>
      <c r="C2319" s="1" t="s">
        <v>4684</v>
      </c>
      <c r="E2319" s="14" t="s">
        <v>4685</v>
      </c>
      <c r="G2319" s="16"/>
      <c r="M2319">
        <v>1</v>
      </c>
      <c r="N2319">
        <v>26</v>
      </c>
      <c r="O2319">
        <v>0</v>
      </c>
      <c r="P2319">
        <v>1.75</v>
      </c>
      <c r="Q2319">
        <v>45.5</v>
      </c>
      <c r="R2319">
        <v>0</v>
      </c>
      <c r="S2319">
        <v>0</v>
      </c>
      <c r="T2319" t="s">
        <v>52</v>
      </c>
      <c r="W2319">
        <v>400017</v>
      </c>
      <c r="AE2319">
        <v>0</v>
      </c>
      <c r="AP2319" t="s">
        <v>49</v>
      </c>
    </row>
    <row r="2320" spans="1:42" ht="15.6">
      <c r="A2320" s="1" t="s">
        <v>46</v>
      </c>
      <c r="B2320" s="1" t="s">
        <v>4686</v>
      </c>
      <c r="C2320" s="1" t="s">
        <v>4686</v>
      </c>
      <c r="E2320" s="14" t="s">
        <v>4687</v>
      </c>
      <c r="G2320" s="16"/>
      <c r="M2320">
        <v>1</v>
      </c>
      <c r="N2320">
        <v>-1</v>
      </c>
      <c r="O2320">
        <v>0</v>
      </c>
      <c r="P2320">
        <v>2.25</v>
      </c>
      <c r="Q2320">
        <v>-2.25</v>
      </c>
      <c r="R2320">
        <v>0</v>
      </c>
      <c r="S2320">
        <v>0</v>
      </c>
      <c r="T2320" t="s">
        <v>52</v>
      </c>
      <c r="W2320">
        <v>400017</v>
      </c>
      <c r="AE2320">
        <v>0</v>
      </c>
      <c r="AP2320" t="s">
        <v>49</v>
      </c>
    </row>
    <row r="2321" spans="1:42" ht="15.6">
      <c r="A2321" s="1" t="s">
        <v>46</v>
      </c>
      <c r="B2321" s="1" t="s">
        <v>4688</v>
      </c>
      <c r="C2321" s="1" t="s">
        <v>4688</v>
      </c>
      <c r="E2321" s="14" t="s">
        <v>4689</v>
      </c>
      <c r="G2321" s="16"/>
      <c r="M2321">
        <v>1</v>
      </c>
      <c r="N2321">
        <v>8</v>
      </c>
      <c r="O2321">
        <v>0</v>
      </c>
      <c r="P2321">
        <v>2.75</v>
      </c>
      <c r="Q2321">
        <v>22</v>
      </c>
      <c r="W2321">
        <v>400017</v>
      </c>
      <c r="AE2321">
        <v>0</v>
      </c>
      <c r="AP2321" t="s">
        <v>49</v>
      </c>
    </row>
    <row r="2322" spans="1:42" ht="15.6">
      <c r="A2322" s="1" t="s">
        <v>46</v>
      </c>
      <c r="B2322" s="1" t="s">
        <v>4690</v>
      </c>
      <c r="C2322" s="1" t="s">
        <v>4690</v>
      </c>
      <c r="E2322" s="14" t="s">
        <v>4691</v>
      </c>
      <c r="G2322" s="16"/>
      <c r="M2322">
        <v>1</v>
      </c>
      <c r="N2322">
        <v>-643</v>
      </c>
      <c r="O2322">
        <v>0</v>
      </c>
      <c r="P2322">
        <v>1.75</v>
      </c>
      <c r="Q2322">
        <v>-1125.25</v>
      </c>
      <c r="R2322">
        <v>0</v>
      </c>
      <c r="S2322">
        <v>0</v>
      </c>
      <c r="T2322" t="s">
        <v>52</v>
      </c>
      <c r="W2322">
        <v>400017</v>
      </c>
      <c r="AE2322">
        <v>0</v>
      </c>
      <c r="AP2322" t="s">
        <v>49</v>
      </c>
    </row>
    <row r="2323" spans="1:42" ht="15.6">
      <c r="A2323" s="1" t="s">
        <v>46</v>
      </c>
      <c r="B2323" s="1" t="s">
        <v>4692</v>
      </c>
      <c r="C2323" s="1" t="s">
        <v>4692</v>
      </c>
      <c r="E2323" s="14" t="s">
        <v>4693</v>
      </c>
      <c r="G2323" s="16"/>
      <c r="M2323">
        <v>1</v>
      </c>
      <c r="N2323">
        <v>44</v>
      </c>
      <c r="O2323">
        <v>0</v>
      </c>
      <c r="P2323">
        <v>1.5</v>
      </c>
      <c r="Q2323">
        <v>66</v>
      </c>
      <c r="R2323">
        <v>0</v>
      </c>
      <c r="S2323">
        <v>0</v>
      </c>
      <c r="T2323" t="s">
        <v>71</v>
      </c>
      <c r="U2323">
        <v>0</v>
      </c>
      <c r="V2323">
        <v>0</v>
      </c>
      <c r="W2323">
        <v>400017</v>
      </c>
      <c r="X2323" t="s">
        <v>56</v>
      </c>
      <c r="Y2323" t="s">
        <v>57</v>
      </c>
      <c r="AE2323">
        <v>0</v>
      </c>
      <c r="AP2323" t="s">
        <v>49</v>
      </c>
    </row>
    <row r="2324" spans="1:42" ht="15.6">
      <c r="A2324" s="1" t="s">
        <v>46</v>
      </c>
      <c r="B2324" s="1" t="s">
        <v>4694</v>
      </c>
      <c r="C2324" s="1" t="s">
        <v>4694</v>
      </c>
      <c r="E2324" s="14" t="s">
        <v>4695</v>
      </c>
      <c r="G2324" s="16"/>
      <c r="M2324">
        <v>1</v>
      </c>
      <c r="N2324">
        <v>223</v>
      </c>
      <c r="O2324">
        <v>0</v>
      </c>
      <c r="P2324">
        <v>6</v>
      </c>
      <c r="Q2324">
        <v>1338</v>
      </c>
      <c r="W2324">
        <v>400017</v>
      </c>
      <c r="AE2324">
        <v>0</v>
      </c>
      <c r="AP2324" t="s">
        <v>49</v>
      </c>
    </row>
    <row r="2325" spans="1:42" ht="15.6">
      <c r="A2325" s="1" t="s">
        <v>46</v>
      </c>
      <c r="B2325" s="1" t="s">
        <v>4696</v>
      </c>
      <c r="C2325" s="1" t="s">
        <v>4696</v>
      </c>
      <c r="E2325" s="14" t="s">
        <v>4697</v>
      </c>
      <c r="G2325" s="16"/>
      <c r="M2325">
        <v>1</v>
      </c>
      <c r="N2325">
        <v>5258</v>
      </c>
      <c r="O2325">
        <v>0</v>
      </c>
      <c r="P2325">
        <v>0.18</v>
      </c>
      <c r="Q2325">
        <v>946.44</v>
      </c>
      <c r="R2325">
        <v>0</v>
      </c>
      <c r="S2325">
        <v>0</v>
      </c>
      <c r="T2325">
        <v>0</v>
      </c>
      <c r="W2325">
        <v>400158</v>
      </c>
      <c r="AE2325">
        <v>0</v>
      </c>
      <c r="AP2325" t="s">
        <v>61</v>
      </c>
    </row>
    <row r="2326" spans="1:42" ht="15.6">
      <c r="A2326" s="1" t="s">
        <v>46</v>
      </c>
      <c r="B2326" s="1" t="s">
        <v>4698</v>
      </c>
      <c r="C2326" s="1" t="s">
        <v>4698</v>
      </c>
      <c r="E2326" s="14" t="s">
        <v>4699</v>
      </c>
      <c r="G2326" s="16"/>
      <c r="M2326">
        <v>1</v>
      </c>
      <c r="N2326">
        <v>189</v>
      </c>
      <c r="O2326">
        <v>0</v>
      </c>
      <c r="P2326">
        <v>1.75</v>
      </c>
      <c r="Q2326">
        <v>330.75</v>
      </c>
      <c r="R2326">
        <v>0</v>
      </c>
      <c r="S2326">
        <v>0</v>
      </c>
      <c r="T2326">
        <v>0</v>
      </c>
      <c r="W2326">
        <v>400139</v>
      </c>
      <c r="AE2326">
        <v>0</v>
      </c>
      <c r="AP2326" t="s">
        <v>1233</v>
      </c>
    </row>
    <row r="2327" spans="1:42" ht="15.6">
      <c r="A2327" s="1" t="s">
        <v>46</v>
      </c>
      <c r="B2327" s="1" t="s">
        <v>4700</v>
      </c>
      <c r="C2327" s="1" t="s">
        <v>4700</v>
      </c>
      <c r="E2327" s="14" t="s">
        <v>4701</v>
      </c>
      <c r="G2327" s="16"/>
      <c r="M2327">
        <v>1</v>
      </c>
      <c r="N2327">
        <v>135</v>
      </c>
      <c r="O2327">
        <v>0</v>
      </c>
      <c r="P2327">
        <v>1.5</v>
      </c>
      <c r="Q2327">
        <v>202.5</v>
      </c>
      <c r="R2327">
        <v>0</v>
      </c>
      <c r="S2327">
        <v>0</v>
      </c>
      <c r="T2327">
        <v>0</v>
      </c>
      <c r="W2327">
        <v>400017</v>
      </c>
      <c r="AE2327">
        <v>0</v>
      </c>
      <c r="AP2327" t="s">
        <v>49</v>
      </c>
    </row>
    <row r="2328" spans="1:42" ht="15.6">
      <c r="A2328" s="1" t="s">
        <v>46</v>
      </c>
      <c r="B2328" s="1" t="s">
        <v>4702</v>
      </c>
      <c r="C2328" s="1" t="s">
        <v>4702</v>
      </c>
      <c r="E2328" s="14" t="s">
        <v>4703</v>
      </c>
      <c r="G2328" s="16"/>
      <c r="M2328">
        <v>1</v>
      </c>
      <c r="N2328">
        <v>105</v>
      </c>
      <c r="O2328">
        <v>0</v>
      </c>
      <c r="P2328">
        <v>0.85</v>
      </c>
      <c r="Q2328">
        <v>89.25</v>
      </c>
      <c r="W2328">
        <v>400017</v>
      </c>
      <c r="AE2328">
        <v>0</v>
      </c>
      <c r="AP2328" t="s">
        <v>49</v>
      </c>
    </row>
    <row r="2329" spans="1:42" ht="15.6">
      <c r="A2329" s="1" t="s">
        <v>46</v>
      </c>
      <c r="B2329" s="1" t="s">
        <v>4704</v>
      </c>
      <c r="C2329" s="1" t="s">
        <v>4704</v>
      </c>
      <c r="E2329" s="14" t="s">
        <v>4705</v>
      </c>
      <c r="G2329" s="16"/>
      <c r="M2329">
        <v>1</v>
      </c>
      <c r="N2329">
        <v>384</v>
      </c>
      <c r="O2329">
        <v>0</v>
      </c>
      <c r="P2329">
        <v>1.4</v>
      </c>
      <c r="Q2329">
        <v>537.6</v>
      </c>
      <c r="R2329">
        <v>0</v>
      </c>
      <c r="S2329">
        <v>0</v>
      </c>
      <c r="T2329" t="s">
        <v>52</v>
      </c>
      <c r="W2329">
        <v>400133</v>
      </c>
      <c r="AE2329">
        <v>0</v>
      </c>
      <c r="AP2329" t="s">
        <v>4040</v>
      </c>
    </row>
    <row r="2330" spans="1:42" ht="15.6">
      <c r="A2330" s="1" t="s">
        <v>46</v>
      </c>
      <c r="B2330" s="1" t="s">
        <v>4706</v>
      </c>
      <c r="C2330" s="1" t="s">
        <v>4706</v>
      </c>
      <c r="E2330" s="14" t="s">
        <v>4707</v>
      </c>
      <c r="G2330" s="16"/>
      <c r="M2330">
        <v>1</v>
      </c>
      <c r="N2330">
        <v>1186</v>
      </c>
      <c r="O2330">
        <v>0</v>
      </c>
      <c r="P2330">
        <v>6.66</v>
      </c>
      <c r="Q2330">
        <v>7898.76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400214</v>
      </c>
      <c r="X2330" t="s">
        <v>56</v>
      </c>
      <c r="Y2330" t="s">
        <v>57</v>
      </c>
      <c r="AE2330">
        <v>0</v>
      </c>
      <c r="AP2330" t="s">
        <v>689</v>
      </c>
    </row>
    <row r="2331" spans="1:42" ht="15.6">
      <c r="A2331" s="1" t="s">
        <v>46</v>
      </c>
      <c r="B2331" s="1" t="s">
        <v>4708</v>
      </c>
      <c r="C2331" s="1" t="s">
        <v>4708</v>
      </c>
      <c r="E2331" s="14" t="s">
        <v>4709</v>
      </c>
      <c r="G2331" s="16"/>
      <c r="M2331">
        <v>1</v>
      </c>
      <c r="N2331">
        <v>1539</v>
      </c>
      <c r="O2331">
        <v>0</v>
      </c>
      <c r="P2331">
        <v>1.28</v>
      </c>
      <c r="Q2331">
        <v>1964.53</v>
      </c>
      <c r="R2331" t="s">
        <v>574</v>
      </c>
      <c r="S2331">
        <v>0</v>
      </c>
      <c r="T2331" t="s">
        <v>52</v>
      </c>
      <c r="U2331">
        <v>0</v>
      </c>
      <c r="V2331">
        <v>0</v>
      </c>
      <c r="W2331">
        <v>400013</v>
      </c>
      <c r="X2331" t="s">
        <v>56</v>
      </c>
      <c r="Y2331" t="s">
        <v>57</v>
      </c>
      <c r="AE2331">
        <v>0</v>
      </c>
      <c r="AP2331" t="s">
        <v>232</v>
      </c>
    </row>
    <row r="2332" spans="1:42" ht="15.6">
      <c r="A2332" s="1" t="s">
        <v>46</v>
      </c>
      <c r="B2332" s="1" t="s">
        <v>4710</v>
      </c>
      <c r="C2332" s="1" t="s">
        <v>4710</v>
      </c>
      <c r="E2332" s="14" t="s">
        <v>4711</v>
      </c>
      <c r="G2332" s="16"/>
      <c r="M2332">
        <v>1</v>
      </c>
      <c r="N2332">
        <v>15</v>
      </c>
      <c r="O2332">
        <v>0</v>
      </c>
      <c r="P2332">
        <v>5.65</v>
      </c>
      <c r="Q2332">
        <v>84.73</v>
      </c>
      <c r="W2332">
        <v>400013</v>
      </c>
      <c r="AE2332">
        <v>0</v>
      </c>
      <c r="AP2332" t="s">
        <v>232</v>
      </c>
    </row>
    <row r="2333" spans="1:42" ht="15.6">
      <c r="A2333" s="1" t="s">
        <v>46</v>
      </c>
      <c r="B2333" s="1" t="s">
        <v>4712</v>
      </c>
      <c r="C2333" s="1" t="s">
        <v>4712</v>
      </c>
      <c r="E2333" s="14" t="s">
        <v>4713</v>
      </c>
      <c r="G2333" s="16"/>
      <c r="M2333">
        <v>1</v>
      </c>
      <c r="N2333">
        <v>1</v>
      </c>
      <c r="O2333">
        <v>0</v>
      </c>
      <c r="P2333">
        <v>8</v>
      </c>
      <c r="Q2333">
        <v>8</v>
      </c>
      <c r="W2333">
        <v>400030</v>
      </c>
      <c r="AE2333">
        <v>0</v>
      </c>
      <c r="AP2333" t="s">
        <v>92</v>
      </c>
    </row>
    <row r="2334" spans="1:42" ht="15.6">
      <c r="A2334" s="1" t="s">
        <v>46</v>
      </c>
      <c r="B2334" s="1" t="s">
        <v>4714</v>
      </c>
      <c r="C2334" s="1" t="s">
        <v>4714</v>
      </c>
      <c r="E2334" s="14" t="s">
        <v>4715</v>
      </c>
      <c r="G2334" s="16"/>
      <c r="M2334">
        <v>1</v>
      </c>
      <c r="N2334">
        <v>12</v>
      </c>
      <c r="O2334">
        <v>0</v>
      </c>
      <c r="P2334">
        <v>8</v>
      </c>
      <c r="Q2334">
        <v>96</v>
      </c>
      <c r="W2334">
        <v>400042</v>
      </c>
      <c r="AE2334">
        <v>0</v>
      </c>
      <c r="AP2334" t="s">
        <v>154</v>
      </c>
    </row>
    <row r="2335" spans="1:42" ht="15.6">
      <c r="E2335" s="14" t="s">
        <v>4716</v>
      </c>
      <c r="G2335" s="16"/>
    </row>
    <row r="2336" spans="1:42" ht="15.6">
      <c r="E2336" s="14" t="s">
        <v>4717</v>
      </c>
      <c r="G2336" s="16"/>
    </row>
    <row r="2337" spans="1:42" ht="15.6">
      <c r="A2337" s="1" t="s">
        <v>46</v>
      </c>
      <c r="B2337" s="1" t="s">
        <v>4718</v>
      </c>
      <c r="C2337" s="1" t="s">
        <v>4718</v>
      </c>
      <c r="E2337" s="14" t="s">
        <v>4719</v>
      </c>
      <c r="G2337" s="16"/>
      <c r="M2337">
        <v>1</v>
      </c>
      <c r="N2337">
        <v>20</v>
      </c>
      <c r="O2337">
        <v>0</v>
      </c>
      <c r="P2337">
        <v>0.3</v>
      </c>
      <c r="Q2337">
        <v>6</v>
      </c>
      <c r="W2337">
        <v>400017</v>
      </c>
      <c r="AE2337">
        <v>0</v>
      </c>
      <c r="AP2337" t="s">
        <v>49</v>
      </c>
    </row>
    <row r="2338" spans="1:42" ht="15.6">
      <c r="A2338" s="1" t="s">
        <v>46</v>
      </c>
      <c r="B2338" s="1" t="s">
        <v>4720</v>
      </c>
      <c r="C2338" s="1" t="s">
        <v>4720</v>
      </c>
      <c r="E2338" s="14" t="s">
        <v>4721</v>
      </c>
      <c r="G2338" s="16"/>
      <c r="M2338">
        <v>1</v>
      </c>
      <c r="N2338">
        <v>49</v>
      </c>
      <c r="O2338">
        <v>0</v>
      </c>
      <c r="P2338">
        <v>0.3</v>
      </c>
      <c r="Q2338">
        <v>14.7</v>
      </c>
      <c r="R2338">
        <v>0</v>
      </c>
      <c r="S2338">
        <v>0</v>
      </c>
      <c r="T2338">
        <v>0</v>
      </c>
      <c r="W2338">
        <v>400017</v>
      </c>
      <c r="AE2338">
        <v>0</v>
      </c>
      <c r="AP2338" t="s">
        <v>49</v>
      </c>
    </row>
    <row r="2339" spans="1:42" ht="15.6">
      <c r="A2339" s="1" t="s">
        <v>46</v>
      </c>
      <c r="B2339" s="1" t="s">
        <v>4722</v>
      </c>
      <c r="C2339" s="1" t="s">
        <v>4722</v>
      </c>
      <c r="E2339" s="14" t="s">
        <v>4723</v>
      </c>
      <c r="G2339" s="16"/>
      <c r="M2339">
        <v>1</v>
      </c>
      <c r="N2339">
        <v>41</v>
      </c>
      <c r="O2339">
        <v>0</v>
      </c>
      <c r="P2339">
        <v>2</v>
      </c>
      <c r="Q2339">
        <v>82</v>
      </c>
      <c r="R2339">
        <v>0</v>
      </c>
      <c r="S2339">
        <v>0</v>
      </c>
      <c r="T2339" t="s">
        <v>52</v>
      </c>
      <c r="U2339">
        <v>0</v>
      </c>
      <c r="V2339">
        <v>0</v>
      </c>
      <c r="W2339">
        <v>400158</v>
      </c>
      <c r="X2339" t="s">
        <v>56</v>
      </c>
      <c r="Y2339" t="s">
        <v>57</v>
      </c>
      <c r="AE2339">
        <v>0</v>
      </c>
      <c r="AP2339" t="s">
        <v>61</v>
      </c>
    </row>
    <row r="2340" spans="1:42" ht="15.6">
      <c r="A2340" s="1" t="s">
        <v>46</v>
      </c>
      <c r="B2340" s="1" t="s">
        <v>4724</v>
      </c>
      <c r="C2340" s="1" t="s">
        <v>4724</v>
      </c>
      <c r="E2340" s="14" t="s">
        <v>4725</v>
      </c>
      <c r="G2340" s="16"/>
      <c r="M2340">
        <v>1</v>
      </c>
      <c r="N2340">
        <v>9</v>
      </c>
      <c r="O2340">
        <v>0</v>
      </c>
      <c r="P2340">
        <v>6.66</v>
      </c>
      <c r="Q2340">
        <v>59.94</v>
      </c>
      <c r="R2340">
        <v>0</v>
      </c>
      <c r="S2340">
        <v>0</v>
      </c>
      <c r="T2340" t="s">
        <v>52</v>
      </c>
      <c r="W2340">
        <v>400046</v>
      </c>
      <c r="AE2340">
        <v>0</v>
      </c>
      <c r="AP2340" t="s">
        <v>407</v>
      </c>
    </row>
    <row r="2341" spans="1:42" ht="15.6">
      <c r="A2341" s="1" t="s">
        <v>46</v>
      </c>
      <c r="B2341" s="1" t="s">
        <v>4726</v>
      </c>
      <c r="C2341" s="1" t="s">
        <v>4726</v>
      </c>
      <c r="E2341" s="14" t="s">
        <v>4727</v>
      </c>
      <c r="G2341" s="16"/>
      <c r="M2341">
        <v>1</v>
      </c>
      <c r="N2341">
        <v>-196</v>
      </c>
      <c r="O2341">
        <v>0</v>
      </c>
      <c r="T2341" t="s">
        <v>52</v>
      </c>
      <c r="AE2341">
        <v>0</v>
      </c>
    </row>
    <row r="2342" spans="1:42" ht="15.6">
      <c r="A2342" s="1" t="s">
        <v>46</v>
      </c>
      <c r="B2342" s="1" t="s">
        <v>4728</v>
      </c>
      <c r="C2342" s="1" t="s">
        <v>4728</v>
      </c>
      <c r="E2342" s="14" t="s">
        <v>4729</v>
      </c>
      <c r="G2342" s="16"/>
      <c r="M2342">
        <v>1</v>
      </c>
      <c r="N2342">
        <v>-133</v>
      </c>
      <c r="O2342">
        <v>0</v>
      </c>
      <c r="R2342">
        <v>0</v>
      </c>
      <c r="S2342">
        <v>0</v>
      </c>
      <c r="T2342" t="s">
        <v>52</v>
      </c>
      <c r="W2342">
        <v>400017</v>
      </c>
      <c r="AE2342">
        <v>0</v>
      </c>
      <c r="AP2342" t="s">
        <v>49</v>
      </c>
    </row>
    <row r="2343" spans="1:42" ht="15.6">
      <c r="A2343" s="1" t="s">
        <v>46</v>
      </c>
      <c r="B2343" s="1" t="s">
        <v>4730</v>
      </c>
      <c r="C2343" s="1" t="s">
        <v>4730</v>
      </c>
      <c r="E2343" s="14" t="s">
        <v>4731</v>
      </c>
      <c r="G2343" s="16"/>
      <c r="M2343">
        <v>1</v>
      </c>
      <c r="N2343">
        <v>2816</v>
      </c>
      <c r="O2343">
        <v>0</v>
      </c>
      <c r="P2343">
        <v>0.06</v>
      </c>
      <c r="Q2343">
        <v>183.04</v>
      </c>
      <c r="R2343">
        <v>0</v>
      </c>
      <c r="S2343">
        <v>0</v>
      </c>
      <c r="T2343" t="s">
        <v>52</v>
      </c>
      <c r="U2343">
        <v>0</v>
      </c>
      <c r="V2343">
        <v>0</v>
      </c>
      <c r="W2343">
        <v>410302</v>
      </c>
      <c r="AE2343">
        <v>0</v>
      </c>
      <c r="AP2343" t="s">
        <v>177</v>
      </c>
    </row>
    <row r="2344" spans="1:42" ht="15.6">
      <c r="A2344" s="1" t="s">
        <v>46</v>
      </c>
      <c r="B2344" s="1" t="s">
        <v>4732</v>
      </c>
      <c r="C2344" s="1" t="s">
        <v>4732</v>
      </c>
      <c r="E2344" s="14" t="s">
        <v>4733</v>
      </c>
      <c r="G2344" s="16"/>
      <c r="M2344">
        <v>1</v>
      </c>
      <c r="N2344">
        <v>311</v>
      </c>
      <c r="O2344">
        <v>0</v>
      </c>
      <c r="P2344">
        <v>0.1</v>
      </c>
      <c r="Q2344">
        <v>31.1</v>
      </c>
      <c r="R2344">
        <v>0</v>
      </c>
      <c r="S2344">
        <v>0</v>
      </c>
      <c r="T2344" t="s">
        <v>52</v>
      </c>
      <c r="W2344">
        <v>410302</v>
      </c>
      <c r="AE2344">
        <v>0</v>
      </c>
      <c r="AP2344" t="s">
        <v>177</v>
      </c>
    </row>
    <row r="2345" spans="1:42" ht="15.6">
      <c r="A2345" s="1" t="s">
        <v>46</v>
      </c>
      <c r="B2345" s="1" t="s">
        <v>4734</v>
      </c>
      <c r="C2345" s="1" t="s">
        <v>4734</v>
      </c>
      <c r="E2345" s="14" t="s">
        <v>4735</v>
      </c>
      <c r="G2345" s="16"/>
      <c r="M2345">
        <v>1</v>
      </c>
      <c r="N2345">
        <v>202</v>
      </c>
      <c r="O2345">
        <v>0</v>
      </c>
      <c r="P2345">
        <v>0.5</v>
      </c>
      <c r="Q2345">
        <v>101</v>
      </c>
      <c r="R2345">
        <v>0</v>
      </c>
      <c r="S2345">
        <v>0</v>
      </c>
      <c r="T2345" t="s">
        <v>4736</v>
      </c>
      <c r="U2345">
        <v>0</v>
      </c>
      <c r="V2345">
        <v>0</v>
      </c>
      <c r="W2345">
        <v>400017</v>
      </c>
      <c r="X2345" t="s">
        <v>56</v>
      </c>
      <c r="Y2345" t="s">
        <v>57</v>
      </c>
      <c r="AE2345">
        <v>0</v>
      </c>
      <c r="AP2345" t="s">
        <v>49</v>
      </c>
    </row>
    <row r="2346" spans="1:42" ht="15.6">
      <c r="A2346" s="1" t="s">
        <v>46</v>
      </c>
      <c r="B2346" s="1" t="s">
        <v>4737</v>
      </c>
      <c r="C2346" s="1" t="s">
        <v>4737</v>
      </c>
      <c r="E2346" s="14" t="s">
        <v>4738</v>
      </c>
      <c r="G2346" s="16"/>
      <c r="M2346">
        <v>1</v>
      </c>
      <c r="N2346">
        <v>150</v>
      </c>
      <c r="O2346">
        <v>0</v>
      </c>
      <c r="P2346">
        <v>0.15</v>
      </c>
      <c r="Q2346">
        <v>22.5</v>
      </c>
      <c r="R2346">
        <v>0</v>
      </c>
      <c r="S2346">
        <v>0</v>
      </c>
      <c r="T2346" t="s">
        <v>4736</v>
      </c>
      <c r="W2346">
        <v>400017</v>
      </c>
      <c r="AE2346">
        <v>0</v>
      </c>
      <c r="AP2346" t="s">
        <v>49</v>
      </c>
    </row>
    <row r="2347" spans="1:42" ht="15.6">
      <c r="A2347" s="1" t="s">
        <v>46</v>
      </c>
      <c r="B2347" s="1" t="s">
        <v>4739</v>
      </c>
      <c r="C2347" s="1" t="s">
        <v>4739</v>
      </c>
      <c r="E2347" s="14" t="s">
        <v>4740</v>
      </c>
      <c r="G2347" s="16"/>
      <c r="M2347">
        <v>1</v>
      </c>
      <c r="N2347">
        <v>1050</v>
      </c>
      <c r="O2347">
        <v>0</v>
      </c>
      <c r="P2347">
        <v>0.06</v>
      </c>
      <c r="Q2347">
        <v>63</v>
      </c>
      <c r="R2347">
        <v>0</v>
      </c>
      <c r="S2347">
        <v>0</v>
      </c>
      <c r="T2347" t="s">
        <v>4736</v>
      </c>
      <c r="U2347">
        <v>0</v>
      </c>
      <c r="V2347">
        <v>0</v>
      </c>
      <c r="W2347">
        <v>400017</v>
      </c>
      <c r="X2347" t="s">
        <v>56</v>
      </c>
      <c r="Y2347" t="s">
        <v>57</v>
      </c>
      <c r="AE2347">
        <v>0</v>
      </c>
      <c r="AP2347" t="s">
        <v>49</v>
      </c>
    </row>
    <row r="2348" spans="1:42" ht="15.6">
      <c r="A2348" s="1" t="s">
        <v>46</v>
      </c>
      <c r="B2348" s="1" t="s">
        <v>4741</v>
      </c>
      <c r="C2348" s="1" t="s">
        <v>4741</v>
      </c>
      <c r="E2348" s="14" t="s">
        <v>4742</v>
      </c>
      <c r="G2348" s="16"/>
      <c r="M2348">
        <v>1</v>
      </c>
      <c r="N2348">
        <v>1555</v>
      </c>
      <c r="O2348">
        <v>0</v>
      </c>
      <c r="P2348">
        <v>1.2</v>
      </c>
      <c r="Q2348">
        <v>1866</v>
      </c>
      <c r="R2348">
        <v>0</v>
      </c>
      <c r="S2348">
        <v>0</v>
      </c>
      <c r="T2348" t="s">
        <v>4736</v>
      </c>
      <c r="U2348" t="s">
        <v>52</v>
      </c>
      <c r="V2348">
        <v>0</v>
      </c>
      <c r="W2348">
        <v>400017</v>
      </c>
      <c r="X2348" t="s">
        <v>56</v>
      </c>
      <c r="Y2348" t="s">
        <v>57</v>
      </c>
      <c r="AE2348">
        <v>0</v>
      </c>
      <c r="AP2348" t="s">
        <v>49</v>
      </c>
    </row>
    <row r="2349" spans="1:42" ht="15.6">
      <c r="A2349" s="1" t="s">
        <v>46</v>
      </c>
      <c r="B2349" s="1" t="s">
        <v>4743</v>
      </c>
      <c r="C2349" s="1" t="s">
        <v>4743</v>
      </c>
      <c r="E2349" s="13" t="s">
        <v>4744</v>
      </c>
      <c r="G2349" s="16"/>
      <c r="M2349">
        <v>1</v>
      </c>
      <c r="N2349">
        <v>5</v>
      </c>
      <c r="O2349">
        <v>0</v>
      </c>
      <c r="P2349">
        <v>1</v>
      </c>
      <c r="Q2349">
        <v>5</v>
      </c>
      <c r="W2349">
        <v>400017</v>
      </c>
      <c r="AE2349">
        <v>0</v>
      </c>
      <c r="AP2349" t="s">
        <v>49</v>
      </c>
    </row>
    <row r="2350" spans="1:42" ht="15.6">
      <c r="A2350" s="1" t="s">
        <v>46</v>
      </c>
      <c r="B2350" s="1" t="s">
        <v>4745</v>
      </c>
      <c r="C2350" s="1" t="s">
        <v>4745</v>
      </c>
      <c r="E2350" s="13" t="s">
        <v>4746</v>
      </c>
      <c r="G2350" s="16"/>
      <c r="M2350">
        <v>1</v>
      </c>
      <c r="N2350">
        <v>2637</v>
      </c>
      <c r="O2350">
        <v>0</v>
      </c>
      <c r="P2350">
        <v>0.2</v>
      </c>
      <c r="Q2350">
        <v>527.4</v>
      </c>
      <c r="R2350">
        <v>0</v>
      </c>
      <c r="S2350">
        <v>0</v>
      </c>
      <c r="T2350" t="s">
        <v>52</v>
      </c>
      <c r="U2350">
        <v>0</v>
      </c>
      <c r="V2350">
        <v>0</v>
      </c>
      <c r="W2350">
        <v>400017</v>
      </c>
      <c r="X2350" t="s">
        <v>56</v>
      </c>
      <c r="Y2350" t="s">
        <v>57</v>
      </c>
      <c r="AE2350">
        <v>0</v>
      </c>
      <c r="AP2350" t="s">
        <v>49</v>
      </c>
    </row>
    <row r="2351" spans="1:42" ht="15.6">
      <c r="A2351" s="1" t="s">
        <v>46</v>
      </c>
      <c r="B2351" s="1" t="s">
        <v>4747</v>
      </c>
      <c r="C2351" s="1" t="s">
        <v>4747</v>
      </c>
      <c r="E2351" s="13" t="s">
        <v>4748</v>
      </c>
      <c r="G2351" s="16"/>
      <c r="M2351">
        <v>1</v>
      </c>
      <c r="N2351">
        <v>76</v>
      </c>
      <c r="O2351">
        <v>0</v>
      </c>
      <c r="P2351">
        <v>0.65</v>
      </c>
      <c r="Q2351">
        <v>49.4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400017</v>
      </c>
      <c r="X2351" t="s">
        <v>56</v>
      </c>
      <c r="Y2351" t="s">
        <v>57</v>
      </c>
      <c r="AE2351">
        <v>0</v>
      </c>
      <c r="AP2351" t="s">
        <v>49</v>
      </c>
    </row>
    <row r="2352" spans="1:42" ht="15.6">
      <c r="A2352" s="1" t="s">
        <v>46</v>
      </c>
      <c r="B2352" s="1" t="s">
        <v>4749</v>
      </c>
      <c r="C2352" s="1" t="s">
        <v>4749</v>
      </c>
      <c r="E2352" s="13" t="s">
        <v>4750</v>
      </c>
      <c r="G2352" s="16"/>
      <c r="M2352">
        <v>1</v>
      </c>
      <c r="N2352">
        <v>-4</v>
      </c>
      <c r="O2352">
        <v>0</v>
      </c>
      <c r="AE2352">
        <v>0</v>
      </c>
    </row>
    <row r="2353" spans="1:42" ht="15.6">
      <c r="A2353" s="1" t="s">
        <v>46</v>
      </c>
      <c r="B2353" s="1" t="s">
        <v>4751</v>
      </c>
      <c r="C2353" s="1" t="s">
        <v>4751</v>
      </c>
      <c r="E2353" s="13" t="s">
        <v>4752</v>
      </c>
      <c r="G2353" s="16"/>
      <c r="M2353">
        <v>1</v>
      </c>
      <c r="N2353">
        <v>-34</v>
      </c>
      <c r="O2353">
        <v>0</v>
      </c>
      <c r="R2353" t="s">
        <v>556</v>
      </c>
      <c r="S2353">
        <v>0</v>
      </c>
      <c r="T2353" t="s">
        <v>52</v>
      </c>
      <c r="U2353">
        <v>0</v>
      </c>
      <c r="V2353">
        <v>0</v>
      </c>
      <c r="W2353">
        <v>400110</v>
      </c>
      <c r="AE2353">
        <v>0</v>
      </c>
      <c r="AP2353" t="s">
        <v>344</v>
      </c>
    </row>
    <row r="2354" spans="1:42" ht="15.6">
      <c r="A2354" s="1" t="s">
        <v>46</v>
      </c>
      <c r="B2354" s="1" t="s">
        <v>4753</v>
      </c>
      <c r="C2354" s="1" t="s">
        <v>4753</v>
      </c>
      <c r="E2354" s="13" t="s">
        <v>4754</v>
      </c>
      <c r="G2354" s="16"/>
      <c r="M2354">
        <v>1</v>
      </c>
      <c r="N2354">
        <v>-76</v>
      </c>
      <c r="O2354">
        <v>0</v>
      </c>
      <c r="P2354">
        <v>10.97</v>
      </c>
      <c r="Q2354">
        <v>-833.48</v>
      </c>
      <c r="R2354">
        <v>0</v>
      </c>
      <c r="S2354">
        <v>0</v>
      </c>
      <c r="T2354">
        <v>0</v>
      </c>
      <c r="W2354">
        <v>400160</v>
      </c>
      <c r="AE2354">
        <v>0</v>
      </c>
      <c r="AP2354" t="s">
        <v>201</v>
      </c>
    </row>
    <row r="2355" spans="1:42" ht="15.6">
      <c r="A2355" s="1" t="s">
        <v>46</v>
      </c>
      <c r="B2355" s="1" t="s">
        <v>4755</v>
      </c>
      <c r="C2355" s="1" t="s">
        <v>4755</v>
      </c>
      <c r="E2355" s="13" t="s">
        <v>4756</v>
      </c>
      <c r="G2355" s="16"/>
      <c r="M2355">
        <v>1</v>
      </c>
      <c r="N2355">
        <v>1</v>
      </c>
      <c r="O2355">
        <v>0</v>
      </c>
      <c r="P2355">
        <v>117.62</v>
      </c>
      <c r="Q2355">
        <v>117.62</v>
      </c>
      <c r="R2355">
        <v>0</v>
      </c>
      <c r="S2355">
        <v>0</v>
      </c>
      <c r="T2355">
        <v>0</v>
      </c>
      <c r="W2355">
        <v>400160</v>
      </c>
      <c r="AE2355">
        <v>0</v>
      </c>
      <c r="AP2355" t="s">
        <v>201</v>
      </c>
    </row>
    <row r="2356" spans="1:42" ht="15.6">
      <c r="A2356" s="1" t="s">
        <v>46</v>
      </c>
      <c r="B2356" s="1" t="s">
        <v>4757</v>
      </c>
      <c r="C2356" s="1" t="s">
        <v>4757</v>
      </c>
      <c r="E2356" s="13" t="s">
        <v>4758</v>
      </c>
      <c r="G2356" s="16"/>
      <c r="M2356">
        <v>1</v>
      </c>
      <c r="N2356">
        <v>2</v>
      </c>
      <c r="O2356">
        <v>0</v>
      </c>
      <c r="P2356">
        <v>149.69999999999999</v>
      </c>
      <c r="Q2356">
        <v>299.39</v>
      </c>
      <c r="W2356">
        <v>400160</v>
      </c>
      <c r="AE2356">
        <v>0</v>
      </c>
      <c r="AP2356" t="s">
        <v>201</v>
      </c>
    </row>
    <row r="2357" spans="1:42" ht="15.6">
      <c r="A2357" s="1" t="s">
        <v>46</v>
      </c>
      <c r="B2357" s="1" t="s">
        <v>4759</v>
      </c>
      <c r="C2357" s="1" t="s">
        <v>4759</v>
      </c>
      <c r="E2357" s="13" t="s">
        <v>4760</v>
      </c>
      <c r="G2357" s="16"/>
      <c r="M2357">
        <v>1</v>
      </c>
      <c r="N2357">
        <v>3</v>
      </c>
      <c r="O2357">
        <v>0</v>
      </c>
      <c r="P2357">
        <v>96.23</v>
      </c>
      <c r="Q2357">
        <v>288.7</v>
      </c>
      <c r="R2357">
        <v>0</v>
      </c>
      <c r="S2357">
        <v>0</v>
      </c>
      <c r="T2357">
        <v>0</v>
      </c>
      <c r="W2357">
        <v>400160</v>
      </c>
      <c r="AE2357">
        <v>0</v>
      </c>
      <c r="AP2357" t="s">
        <v>201</v>
      </c>
    </row>
    <row r="2358" spans="1:42" ht="15.6">
      <c r="E2358" s="13" t="s">
        <v>171</v>
      </c>
      <c r="G2358" s="16">
        <v>1</v>
      </c>
    </row>
    <row r="2359" spans="1:42" ht="15.6">
      <c r="E2359" s="13" t="s">
        <v>4761</v>
      </c>
      <c r="G2359" s="16"/>
    </row>
    <row r="2360" spans="1:42" ht="15.6">
      <c r="A2360" s="1" t="s">
        <v>46</v>
      </c>
      <c r="B2360" s="1" t="s">
        <v>4762</v>
      </c>
      <c r="C2360" s="1" t="s">
        <v>4762</v>
      </c>
      <c r="E2360" s="13" t="s">
        <v>4763</v>
      </c>
      <c r="G2360" s="16">
        <v>3.5</v>
      </c>
      <c r="M2360">
        <v>1</v>
      </c>
      <c r="N2360">
        <v>1754</v>
      </c>
      <c r="O2360">
        <v>0</v>
      </c>
      <c r="P2360">
        <v>0.02</v>
      </c>
      <c r="Q2360">
        <v>39.46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400017</v>
      </c>
      <c r="X2360" t="s">
        <v>56</v>
      </c>
      <c r="Y2360" t="s">
        <v>57</v>
      </c>
      <c r="AE2360">
        <v>0</v>
      </c>
      <c r="AP2360" t="s">
        <v>49</v>
      </c>
    </row>
    <row r="2361" spans="1:42" ht="15.6">
      <c r="A2361" s="1" t="s">
        <v>46</v>
      </c>
      <c r="B2361" s="1" t="s">
        <v>4764</v>
      </c>
      <c r="C2361" s="1" t="s">
        <v>4764</v>
      </c>
      <c r="E2361" s="13" t="s">
        <v>4765</v>
      </c>
      <c r="G2361" s="16">
        <v>0.5</v>
      </c>
      <c r="M2361">
        <v>1</v>
      </c>
      <c r="N2361">
        <v>4</v>
      </c>
      <c r="O2361">
        <v>0</v>
      </c>
      <c r="P2361">
        <v>14</v>
      </c>
      <c r="Q2361">
        <v>56</v>
      </c>
      <c r="W2361">
        <v>400130</v>
      </c>
      <c r="AE2361">
        <v>0</v>
      </c>
      <c r="AP2361" t="s">
        <v>139</v>
      </c>
    </row>
    <row r="2362" spans="1:42" ht="15.6">
      <c r="A2362" s="1" t="s">
        <v>46</v>
      </c>
      <c r="B2362" s="1" t="s">
        <v>4766</v>
      </c>
      <c r="C2362" s="1" t="s">
        <v>4766</v>
      </c>
      <c r="E2362" s="13" t="s">
        <v>4767</v>
      </c>
      <c r="G2362" s="16">
        <v>4</v>
      </c>
      <c r="M2362">
        <v>1</v>
      </c>
      <c r="N2362">
        <v>-3</v>
      </c>
      <c r="O2362">
        <v>0</v>
      </c>
      <c r="P2362">
        <v>17</v>
      </c>
      <c r="Q2362">
        <v>-51</v>
      </c>
      <c r="W2362">
        <v>410302</v>
      </c>
      <c r="AE2362">
        <v>0</v>
      </c>
      <c r="AP2362" t="s">
        <v>177</v>
      </c>
    </row>
    <row r="2363" spans="1:42" ht="15.6">
      <c r="A2363" s="1" t="s">
        <v>46</v>
      </c>
      <c r="B2363" s="1" t="s">
        <v>4768</v>
      </c>
      <c r="C2363" s="1" t="s">
        <v>4768</v>
      </c>
      <c r="E2363" s="13" t="s">
        <v>4769</v>
      </c>
      <c r="G2363" s="16"/>
      <c r="M2363">
        <v>1</v>
      </c>
      <c r="N2363">
        <v>1</v>
      </c>
      <c r="O2363">
        <v>0</v>
      </c>
      <c r="P2363">
        <v>8</v>
      </c>
      <c r="Q2363">
        <v>8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400125</v>
      </c>
      <c r="X2363" t="s">
        <v>56</v>
      </c>
      <c r="Y2363" t="s">
        <v>57</v>
      </c>
      <c r="AE2363">
        <v>0</v>
      </c>
      <c r="AP2363" t="s">
        <v>184</v>
      </c>
    </row>
    <row r="2364" spans="1:42" ht="15.6">
      <c r="A2364" s="1" t="s">
        <v>46</v>
      </c>
      <c r="B2364" s="1" t="s">
        <v>4770</v>
      </c>
      <c r="C2364" s="1" t="s">
        <v>4770</v>
      </c>
      <c r="E2364" s="13" t="s">
        <v>4771</v>
      </c>
      <c r="G2364" s="16"/>
      <c r="M2364">
        <v>1</v>
      </c>
      <c r="N2364">
        <v>-2</v>
      </c>
      <c r="O2364">
        <v>0</v>
      </c>
      <c r="P2364">
        <v>5.5</v>
      </c>
      <c r="Q2364">
        <v>-11</v>
      </c>
      <c r="R2364">
        <v>0</v>
      </c>
      <c r="S2364">
        <v>0</v>
      </c>
      <c r="T2364" t="s">
        <v>52</v>
      </c>
      <c r="W2364">
        <v>400008</v>
      </c>
      <c r="AE2364">
        <v>0</v>
      </c>
      <c r="AP2364" t="s">
        <v>4772</v>
      </c>
    </row>
    <row r="2365" spans="1:42" ht="15.6">
      <c r="A2365" s="1" t="s">
        <v>46</v>
      </c>
      <c r="B2365" s="1" t="s">
        <v>4773</v>
      </c>
      <c r="C2365" s="1" t="s">
        <v>4773</v>
      </c>
      <c r="E2365" s="13" t="s">
        <v>4774</v>
      </c>
      <c r="G2365" s="16"/>
      <c r="M2365">
        <v>1</v>
      </c>
      <c r="N2365">
        <v>162</v>
      </c>
      <c r="O2365">
        <v>0</v>
      </c>
      <c r="P2365">
        <v>2.5</v>
      </c>
      <c r="Q2365">
        <v>405</v>
      </c>
      <c r="R2365">
        <v>0</v>
      </c>
      <c r="S2365">
        <v>0</v>
      </c>
      <c r="T2365" t="s">
        <v>52</v>
      </c>
      <c r="U2365" t="s">
        <v>52</v>
      </c>
      <c r="V2365">
        <v>0</v>
      </c>
      <c r="W2365">
        <v>400045</v>
      </c>
      <c r="X2365" t="s">
        <v>56</v>
      </c>
      <c r="Y2365" t="s">
        <v>57</v>
      </c>
      <c r="AE2365">
        <v>0</v>
      </c>
      <c r="AP2365" t="s">
        <v>217</v>
      </c>
    </row>
    <row r="2366" spans="1:42" ht="15.6">
      <c r="A2366" s="1" t="s">
        <v>46</v>
      </c>
      <c r="B2366" s="1" t="s">
        <v>4775</v>
      </c>
      <c r="C2366" s="1" t="s">
        <v>4775</v>
      </c>
      <c r="E2366" s="13" t="s">
        <v>4776</v>
      </c>
      <c r="G2366" s="16"/>
      <c r="M2366">
        <v>1</v>
      </c>
      <c r="N2366">
        <v>123</v>
      </c>
      <c r="O2366">
        <v>0</v>
      </c>
      <c r="P2366">
        <v>7.5</v>
      </c>
      <c r="Q2366">
        <v>922.5</v>
      </c>
      <c r="R2366">
        <v>0</v>
      </c>
      <c r="S2366">
        <v>0</v>
      </c>
      <c r="T2366" t="s">
        <v>52</v>
      </c>
      <c r="U2366">
        <v>0</v>
      </c>
      <c r="V2366">
        <v>0</v>
      </c>
      <c r="W2366">
        <v>400017</v>
      </c>
      <c r="X2366" t="s">
        <v>56</v>
      </c>
      <c r="Y2366" t="s">
        <v>57</v>
      </c>
      <c r="AE2366">
        <v>0</v>
      </c>
      <c r="AP2366" t="s">
        <v>49</v>
      </c>
    </row>
    <row r="2367" spans="1:42" ht="15.6">
      <c r="A2367" s="1" t="s">
        <v>46</v>
      </c>
      <c r="B2367" s="1" t="s">
        <v>4777</v>
      </c>
      <c r="C2367" s="1" t="s">
        <v>4777</v>
      </c>
      <c r="E2367" s="13" t="s">
        <v>4778</v>
      </c>
      <c r="G2367" s="16"/>
      <c r="M2367">
        <v>1</v>
      </c>
      <c r="N2367">
        <v>-10</v>
      </c>
      <c r="O2367">
        <v>0</v>
      </c>
      <c r="T2367" t="s">
        <v>52</v>
      </c>
      <c r="AE2367">
        <v>0</v>
      </c>
    </row>
    <row r="2368" spans="1:42" ht="15.6">
      <c r="A2368" s="1" t="s">
        <v>46</v>
      </c>
      <c r="B2368" s="1" t="s">
        <v>4779</v>
      </c>
      <c r="C2368" s="1" t="s">
        <v>4779</v>
      </c>
      <c r="E2368" s="13" t="s">
        <v>4780</v>
      </c>
      <c r="G2368" s="16"/>
      <c r="I2368">
        <v>13.2</v>
      </c>
      <c r="M2368">
        <v>1</v>
      </c>
      <c r="N2368">
        <v>21</v>
      </c>
      <c r="O2368">
        <v>0</v>
      </c>
      <c r="P2368">
        <v>6.99</v>
      </c>
      <c r="Q2368">
        <v>146.85</v>
      </c>
      <c r="R2368" t="s">
        <v>107</v>
      </c>
      <c r="S2368">
        <v>0</v>
      </c>
      <c r="T2368" t="s">
        <v>52</v>
      </c>
      <c r="U2368">
        <v>0</v>
      </c>
      <c r="V2368">
        <v>0</v>
      </c>
      <c r="W2368">
        <v>400207</v>
      </c>
      <c r="AE2368">
        <v>0</v>
      </c>
      <c r="AH2368">
        <v>13.2</v>
      </c>
      <c r="AP2368" t="s">
        <v>483</v>
      </c>
    </row>
    <row r="2369" spans="1:42" ht="15.6">
      <c r="A2369" s="1" t="s">
        <v>46</v>
      </c>
      <c r="B2369" s="1" t="s">
        <v>4781</v>
      </c>
      <c r="C2369" s="1" t="s">
        <v>4781</v>
      </c>
      <c r="E2369" s="13" t="s">
        <v>4782</v>
      </c>
      <c r="G2369" s="16"/>
      <c r="I2369">
        <v>14.3</v>
      </c>
      <c r="M2369">
        <v>1</v>
      </c>
      <c r="N2369">
        <v>2</v>
      </c>
      <c r="O2369">
        <v>0</v>
      </c>
      <c r="P2369">
        <v>7.77</v>
      </c>
      <c r="Q2369">
        <v>15.54</v>
      </c>
      <c r="R2369" t="s">
        <v>107</v>
      </c>
      <c r="S2369">
        <v>0</v>
      </c>
      <c r="T2369" t="s">
        <v>52</v>
      </c>
      <c r="U2369">
        <v>0</v>
      </c>
      <c r="V2369">
        <v>0</v>
      </c>
      <c r="W2369">
        <v>400013</v>
      </c>
      <c r="AE2369">
        <v>0</v>
      </c>
      <c r="AH2369">
        <v>14.3</v>
      </c>
      <c r="AP2369" t="s">
        <v>232</v>
      </c>
    </row>
    <row r="2370" spans="1:42" ht="15.6">
      <c r="A2370" s="1" t="s">
        <v>46</v>
      </c>
      <c r="B2370" s="1" t="s">
        <v>4783</v>
      </c>
      <c r="C2370" s="1" t="s">
        <v>4783</v>
      </c>
      <c r="E2370" s="13" t="s">
        <v>4784</v>
      </c>
      <c r="G2370" s="16"/>
      <c r="I2370">
        <v>14.3</v>
      </c>
      <c r="M2370">
        <v>1</v>
      </c>
      <c r="N2370">
        <v>18</v>
      </c>
      <c r="O2370">
        <v>0</v>
      </c>
      <c r="P2370">
        <v>7.49</v>
      </c>
      <c r="Q2370">
        <v>134.86000000000001</v>
      </c>
      <c r="R2370" t="s">
        <v>107</v>
      </c>
      <c r="S2370">
        <v>0</v>
      </c>
      <c r="T2370" t="s">
        <v>52</v>
      </c>
      <c r="U2370">
        <v>0</v>
      </c>
      <c r="V2370">
        <v>0</v>
      </c>
      <c r="W2370">
        <v>400207</v>
      </c>
      <c r="X2370" t="s">
        <v>56</v>
      </c>
      <c r="Y2370" t="s">
        <v>57</v>
      </c>
      <c r="AE2370">
        <v>0</v>
      </c>
      <c r="AH2370">
        <v>14.3</v>
      </c>
      <c r="AP2370" t="s">
        <v>483</v>
      </c>
    </row>
    <row r="2371" spans="1:42" ht="15.6">
      <c r="A2371" s="1" t="s">
        <v>46</v>
      </c>
      <c r="B2371" s="1" t="s">
        <v>4785</v>
      </c>
      <c r="C2371" s="1" t="s">
        <v>4785</v>
      </c>
      <c r="E2371" s="13" t="s">
        <v>4786</v>
      </c>
      <c r="G2371" s="16"/>
      <c r="I2371">
        <v>15.4</v>
      </c>
      <c r="M2371">
        <v>1</v>
      </c>
      <c r="N2371">
        <v>2</v>
      </c>
      <c r="O2371">
        <v>0</v>
      </c>
      <c r="P2371">
        <v>7.22</v>
      </c>
      <c r="Q2371">
        <v>14.43</v>
      </c>
      <c r="R2371" t="s">
        <v>107</v>
      </c>
      <c r="S2371">
        <v>0</v>
      </c>
      <c r="T2371" t="s">
        <v>52</v>
      </c>
      <c r="U2371">
        <v>0</v>
      </c>
      <c r="V2371">
        <v>0</v>
      </c>
      <c r="W2371">
        <v>400013</v>
      </c>
      <c r="X2371" t="s">
        <v>56</v>
      </c>
      <c r="Y2371" t="s">
        <v>57</v>
      </c>
      <c r="AE2371">
        <v>0</v>
      </c>
      <c r="AH2371">
        <v>15.4</v>
      </c>
      <c r="AP2371" t="s">
        <v>232</v>
      </c>
    </row>
    <row r="2372" spans="1:42" ht="15.6">
      <c r="A2372" s="1" t="s">
        <v>46</v>
      </c>
      <c r="B2372" s="1" t="s">
        <v>4787</v>
      </c>
      <c r="C2372" s="1" t="s">
        <v>4787</v>
      </c>
      <c r="E2372" s="13" t="s">
        <v>4788</v>
      </c>
      <c r="G2372" s="16"/>
      <c r="I2372">
        <v>15.4</v>
      </c>
      <c r="M2372">
        <v>1</v>
      </c>
      <c r="N2372">
        <v>2</v>
      </c>
      <c r="O2372">
        <v>0</v>
      </c>
      <c r="P2372">
        <v>7.22</v>
      </c>
      <c r="Q2372">
        <v>14.43</v>
      </c>
      <c r="R2372" t="s">
        <v>107</v>
      </c>
      <c r="S2372">
        <v>0</v>
      </c>
      <c r="T2372" t="s">
        <v>52</v>
      </c>
      <c r="U2372">
        <v>0</v>
      </c>
      <c r="V2372">
        <v>0</v>
      </c>
      <c r="W2372">
        <v>400013</v>
      </c>
      <c r="X2372" t="s">
        <v>56</v>
      </c>
      <c r="Y2372" t="s">
        <v>57</v>
      </c>
      <c r="AE2372">
        <v>0</v>
      </c>
      <c r="AH2372">
        <v>15.4</v>
      </c>
      <c r="AP2372" t="s">
        <v>232</v>
      </c>
    </row>
    <row r="2373" spans="1:42" ht="15.6">
      <c r="E2373" s="13" t="s">
        <v>4789</v>
      </c>
      <c r="G2373" s="16"/>
    </row>
    <row r="2374" spans="1:42" ht="15.6">
      <c r="A2374" s="1" t="s">
        <v>46</v>
      </c>
      <c r="B2374" s="1" t="s">
        <v>4790</v>
      </c>
      <c r="C2374" s="1" t="s">
        <v>4790</v>
      </c>
      <c r="E2374" s="13" t="s">
        <v>4791</v>
      </c>
      <c r="G2374" s="16"/>
      <c r="M2374">
        <v>1</v>
      </c>
      <c r="N2374">
        <v>8</v>
      </c>
      <c r="O2374">
        <v>0</v>
      </c>
      <c r="P2374">
        <v>18.05</v>
      </c>
      <c r="Q2374">
        <v>144.4</v>
      </c>
      <c r="R2374">
        <v>0</v>
      </c>
      <c r="S2374">
        <v>0</v>
      </c>
      <c r="T2374">
        <v>0</v>
      </c>
      <c r="W2374">
        <v>400163</v>
      </c>
      <c r="AE2374">
        <v>0</v>
      </c>
      <c r="AP2374" t="s">
        <v>4792</v>
      </c>
    </row>
    <row r="2375" spans="1:42" ht="15.6">
      <c r="A2375" s="1" t="s">
        <v>46</v>
      </c>
      <c r="B2375" s="1" t="s">
        <v>4793</v>
      </c>
      <c r="C2375" s="1" t="s">
        <v>4793</v>
      </c>
      <c r="E2375" s="13" t="s">
        <v>4794</v>
      </c>
      <c r="G2375" s="16"/>
      <c r="M2375">
        <v>1</v>
      </c>
      <c r="N2375">
        <v>12</v>
      </c>
      <c r="O2375">
        <v>0</v>
      </c>
      <c r="P2375">
        <v>2.25</v>
      </c>
      <c r="Q2375">
        <v>26.98</v>
      </c>
      <c r="W2375">
        <v>400163</v>
      </c>
      <c r="AE2375">
        <v>0</v>
      </c>
      <c r="AP2375" t="s">
        <v>4792</v>
      </c>
    </row>
    <row r="2376" spans="1:42" ht="15.6">
      <c r="A2376" s="1" t="s">
        <v>46</v>
      </c>
      <c r="B2376" s="1" t="s">
        <v>4795</v>
      </c>
      <c r="C2376" s="1" t="s">
        <v>4795</v>
      </c>
      <c r="E2376" s="13" t="s">
        <v>4796</v>
      </c>
      <c r="G2376" s="16">
        <v>0.7</v>
      </c>
      <c r="M2376">
        <v>1</v>
      </c>
      <c r="N2376">
        <v>151</v>
      </c>
      <c r="O2376">
        <v>0</v>
      </c>
      <c r="P2376">
        <v>2.25</v>
      </c>
      <c r="Q2376">
        <v>339.75</v>
      </c>
      <c r="R2376">
        <v>0</v>
      </c>
      <c r="S2376">
        <v>0</v>
      </c>
      <c r="T2376" t="s">
        <v>52</v>
      </c>
      <c r="U2376">
        <v>0</v>
      </c>
      <c r="V2376">
        <v>0</v>
      </c>
      <c r="W2376">
        <v>400017</v>
      </c>
      <c r="X2376" t="s">
        <v>56</v>
      </c>
      <c r="Y2376" t="s">
        <v>57</v>
      </c>
      <c r="AE2376">
        <v>0</v>
      </c>
      <c r="AP2376" t="s">
        <v>49</v>
      </c>
    </row>
    <row r="2377" spans="1:42" ht="15.6">
      <c r="E2377" s="13" t="s">
        <v>4797</v>
      </c>
      <c r="G2377" s="16"/>
    </row>
    <row r="2378" spans="1:42" ht="15.6">
      <c r="A2378" s="1" t="s">
        <v>46</v>
      </c>
      <c r="B2378" s="1" t="s">
        <v>4798</v>
      </c>
      <c r="C2378" s="1" t="s">
        <v>4798</v>
      </c>
      <c r="E2378" s="13" t="s">
        <v>4799</v>
      </c>
      <c r="G2378" s="16"/>
      <c r="M2378">
        <v>1</v>
      </c>
      <c r="N2378">
        <v>341</v>
      </c>
      <c r="O2378">
        <v>0</v>
      </c>
      <c r="P2378">
        <v>0.6</v>
      </c>
      <c r="Q2378">
        <v>204.6</v>
      </c>
      <c r="R2378">
        <v>0</v>
      </c>
      <c r="S2378">
        <v>0</v>
      </c>
      <c r="T2378" t="s">
        <v>52</v>
      </c>
      <c r="W2378">
        <v>400045</v>
      </c>
      <c r="AE2378">
        <v>0</v>
      </c>
      <c r="AP2378" t="s">
        <v>217</v>
      </c>
    </row>
    <row r="2379" spans="1:42" ht="15.6">
      <c r="A2379" s="1" t="s">
        <v>46</v>
      </c>
      <c r="B2379" s="1" t="s">
        <v>4800</v>
      </c>
      <c r="C2379" s="1" t="s">
        <v>4800</v>
      </c>
      <c r="E2379" s="13" t="s">
        <v>4801</v>
      </c>
      <c r="G2379" s="16"/>
      <c r="M2379">
        <v>1</v>
      </c>
      <c r="N2379">
        <v>-16</v>
      </c>
      <c r="O2379">
        <v>0</v>
      </c>
      <c r="P2379">
        <v>1.3</v>
      </c>
      <c r="Q2379">
        <v>-20.8</v>
      </c>
      <c r="R2379" t="s">
        <v>377</v>
      </c>
      <c r="S2379">
        <v>0</v>
      </c>
      <c r="T2379" t="s">
        <v>52</v>
      </c>
      <c r="W2379">
        <v>400004</v>
      </c>
      <c r="AE2379">
        <v>0</v>
      </c>
      <c r="AP2379" t="s">
        <v>352</v>
      </c>
    </row>
    <row r="2380" spans="1:42" ht="15.6">
      <c r="E2380" s="13" t="s">
        <v>4802</v>
      </c>
      <c r="G2380" s="16"/>
    </row>
    <row r="2381" spans="1:42" ht="15.6">
      <c r="A2381" s="1" t="s">
        <v>46</v>
      </c>
      <c r="B2381" s="1" t="s">
        <v>4803</v>
      </c>
      <c r="C2381" s="1" t="s">
        <v>4803</v>
      </c>
      <c r="E2381" s="13" t="s">
        <v>4804</v>
      </c>
      <c r="G2381" s="16"/>
      <c r="M2381">
        <v>1</v>
      </c>
      <c r="N2381">
        <v>159</v>
      </c>
      <c r="O2381">
        <v>0</v>
      </c>
      <c r="P2381">
        <v>0.5</v>
      </c>
      <c r="Q2381">
        <v>79.5</v>
      </c>
      <c r="R2381">
        <v>0</v>
      </c>
      <c r="S2381">
        <v>0</v>
      </c>
      <c r="T2381" t="s">
        <v>52</v>
      </c>
      <c r="U2381">
        <v>0</v>
      </c>
      <c r="V2381">
        <v>0</v>
      </c>
      <c r="W2381">
        <v>400017</v>
      </c>
      <c r="X2381" t="s">
        <v>56</v>
      </c>
      <c r="Y2381" t="s">
        <v>57</v>
      </c>
      <c r="AE2381">
        <v>0</v>
      </c>
      <c r="AP2381" t="s">
        <v>49</v>
      </c>
    </row>
    <row r="2382" spans="1:42" ht="15.6">
      <c r="A2382" s="1" t="s">
        <v>46</v>
      </c>
      <c r="B2382" s="1" t="s">
        <v>4805</v>
      </c>
      <c r="C2382" s="1" t="s">
        <v>4805</v>
      </c>
      <c r="E2382" s="13" t="s">
        <v>4806</v>
      </c>
      <c r="G2382" s="16"/>
      <c r="M2382">
        <v>1</v>
      </c>
      <c r="N2382">
        <v>640</v>
      </c>
      <c r="O2382">
        <v>0</v>
      </c>
      <c r="P2382">
        <v>0.5</v>
      </c>
      <c r="Q2382">
        <v>320</v>
      </c>
      <c r="R2382">
        <v>0</v>
      </c>
      <c r="S2382">
        <v>0</v>
      </c>
      <c r="T2382" t="s">
        <v>52</v>
      </c>
      <c r="U2382">
        <v>0</v>
      </c>
      <c r="V2382">
        <v>0</v>
      </c>
      <c r="W2382">
        <v>400116</v>
      </c>
      <c r="X2382" t="s">
        <v>56</v>
      </c>
      <c r="Y2382" t="s">
        <v>57</v>
      </c>
      <c r="AE2382">
        <v>0</v>
      </c>
      <c r="AP2382" t="s">
        <v>513</v>
      </c>
    </row>
    <row r="2383" spans="1:42" ht="15.6">
      <c r="A2383" s="1" t="s">
        <v>46</v>
      </c>
      <c r="B2383" s="1" t="s">
        <v>4807</v>
      </c>
      <c r="C2383" s="1" t="s">
        <v>4807</v>
      </c>
      <c r="E2383" s="13" t="s">
        <v>4808</v>
      </c>
      <c r="G2383" s="16"/>
      <c r="M2383">
        <v>1</v>
      </c>
      <c r="N2383">
        <v>118</v>
      </c>
      <c r="O2383">
        <v>0</v>
      </c>
      <c r="P2383">
        <v>0.45</v>
      </c>
      <c r="Q2383">
        <v>53.1</v>
      </c>
      <c r="R2383">
        <v>0</v>
      </c>
      <c r="S2383">
        <v>0</v>
      </c>
      <c r="T2383" t="s">
        <v>52</v>
      </c>
      <c r="W2383">
        <v>400116</v>
      </c>
      <c r="AE2383">
        <v>0</v>
      </c>
      <c r="AP2383" t="s">
        <v>513</v>
      </c>
    </row>
    <row r="2384" spans="1:42" ht="15.6">
      <c r="A2384" s="1" t="s">
        <v>46</v>
      </c>
      <c r="B2384" s="1" t="s">
        <v>4809</v>
      </c>
      <c r="C2384" s="1" t="s">
        <v>4809</v>
      </c>
      <c r="E2384" s="13" t="s">
        <v>4810</v>
      </c>
      <c r="G2384" s="16"/>
      <c r="M2384">
        <v>1</v>
      </c>
      <c r="N2384">
        <v>-1</v>
      </c>
      <c r="O2384">
        <v>0</v>
      </c>
      <c r="T2384" t="s">
        <v>52</v>
      </c>
      <c r="AE2384">
        <v>0</v>
      </c>
    </row>
    <row r="2385" spans="1:42" ht="15.6">
      <c r="A2385" s="1" t="s">
        <v>46</v>
      </c>
      <c r="B2385" s="1" t="s">
        <v>4811</v>
      </c>
      <c r="C2385" s="1" t="s">
        <v>4811</v>
      </c>
      <c r="E2385" s="13" t="s">
        <v>4812</v>
      </c>
      <c r="G2385" s="16"/>
      <c r="M2385">
        <v>1</v>
      </c>
      <c r="N2385">
        <v>3</v>
      </c>
      <c r="O2385">
        <v>0</v>
      </c>
      <c r="P2385">
        <v>2.25</v>
      </c>
      <c r="Q2385">
        <v>6.75</v>
      </c>
      <c r="R2385">
        <v>0</v>
      </c>
      <c r="S2385">
        <v>0</v>
      </c>
      <c r="T2385" t="s">
        <v>52</v>
      </c>
      <c r="U2385">
        <v>0</v>
      </c>
      <c r="V2385">
        <v>0</v>
      </c>
      <c r="W2385">
        <v>400017</v>
      </c>
      <c r="X2385" t="s">
        <v>56</v>
      </c>
      <c r="Y2385" t="s">
        <v>57</v>
      </c>
      <c r="AE2385">
        <v>0</v>
      </c>
      <c r="AP2385" t="s">
        <v>49</v>
      </c>
    </row>
    <row r="2386" spans="1:42" ht="15.6">
      <c r="A2386" s="1" t="s">
        <v>46</v>
      </c>
      <c r="B2386" s="1" t="s">
        <v>4813</v>
      </c>
      <c r="C2386" s="1" t="s">
        <v>4813</v>
      </c>
      <c r="E2386" s="13" t="s">
        <v>4814</v>
      </c>
      <c r="G2386" s="16"/>
      <c r="M2386">
        <v>1</v>
      </c>
      <c r="N2386">
        <v>-3306</v>
      </c>
      <c r="O2386">
        <v>0</v>
      </c>
      <c r="P2386">
        <v>8.58</v>
      </c>
      <c r="Q2386">
        <v>-28368.46</v>
      </c>
      <c r="R2386">
        <v>0</v>
      </c>
      <c r="S2386">
        <v>0</v>
      </c>
      <c r="T2386" t="s">
        <v>4637</v>
      </c>
      <c r="W2386">
        <v>400150</v>
      </c>
      <c r="AE2386">
        <v>0</v>
      </c>
      <c r="AP2386" t="s">
        <v>75</v>
      </c>
    </row>
    <row r="2387" spans="1:42" ht="15.6">
      <c r="A2387" s="1" t="s">
        <v>46</v>
      </c>
      <c r="B2387" s="1" t="s">
        <v>4815</v>
      </c>
      <c r="C2387" s="1" t="s">
        <v>4815</v>
      </c>
      <c r="E2387" s="13" t="s">
        <v>4816</v>
      </c>
      <c r="G2387" s="16"/>
      <c r="M2387">
        <v>1</v>
      </c>
      <c r="N2387">
        <v>-4094</v>
      </c>
      <c r="O2387">
        <v>0</v>
      </c>
      <c r="P2387">
        <v>2.25</v>
      </c>
      <c r="Q2387">
        <v>-9211.5</v>
      </c>
      <c r="R2387">
        <v>0</v>
      </c>
      <c r="S2387">
        <v>0</v>
      </c>
      <c r="T2387" t="s">
        <v>52</v>
      </c>
      <c r="U2387">
        <v>0</v>
      </c>
      <c r="V2387">
        <v>0</v>
      </c>
      <c r="W2387">
        <v>400017</v>
      </c>
      <c r="X2387" t="s">
        <v>56</v>
      </c>
      <c r="Y2387" t="s">
        <v>57</v>
      </c>
      <c r="AE2387">
        <v>0</v>
      </c>
      <c r="AP2387" t="s">
        <v>49</v>
      </c>
    </row>
    <row r="2388" spans="1:42" ht="15.6">
      <c r="A2388" s="1" t="s">
        <v>46</v>
      </c>
      <c r="B2388" s="1" t="s">
        <v>4817</v>
      </c>
      <c r="C2388" s="1" t="s">
        <v>4817</v>
      </c>
      <c r="E2388" s="13" t="s">
        <v>4818</v>
      </c>
      <c r="G2388" s="16"/>
      <c r="M2388">
        <v>1</v>
      </c>
      <c r="N2388">
        <v>69</v>
      </c>
      <c r="O2388">
        <v>0</v>
      </c>
      <c r="P2388">
        <v>3.75</v>
      </c>
      <c r="Q2388">
        <v>258.75</v>
      </c>
      <c r="R2388">
        <v>0</v>
      </c>
      <c r="S2388">
        <v>0</v>
      </c>
      <c r="T2388" t="s">
        <v>52</v>
      </c>
      <c r="U2388">
        <v>0</v>
      </c>
      <c r="V2388">
        <v>0</v>
      </c>
      <c r="W2388">
        <v>400158</v>
      </c>
      <c r="X2388" t="s">
        <v>56</v>
      </c>
      <c r="Y2388" t="s">
        <v>57</v>
      </c>
      <c r="AE2388">
        <v>0</v>
      </c>
      <c r="AP2388" t="s">
        <v>61</v>
      </c>
    </row>
    <row r="2389" spans="1:42" ht="15.6">
      <c r="A2389" s="1" t="s">
        <v>46</v>
      </c>
      <c r="B2389" s="1" t="s">
        <v>4819</v>
      </c>
      <c r="C2389" s="1" t="s">
        <v>4819</v>
      </c>
      <c r="E2389" s="13" t="s">
        <v>4820</v>
      </c>
      <c r="G2389" s="16"/>
      <c r="M2389">
        <v>1</v>
      </c>
      <c r="N2389">
        <v>1094</v>
      </c>
      <c r="O2389">
        <v>0</v>
      </c>
      <c r="P2389">
        <v>5</v>
      </c>
      <c r="Q2389">
        <v>5470</v>
      </c>
      <c r="R2389">
        <v>0</v>
      </c>
      <c r="S2389">
        <v>0</v>
      </c>
      <c r="T2389" t="s">
        <v>4637</v>
      </c>
      <c r="U2389">
        <v>0</v>
      </c>
      <c r="V2389">
        <v>0</v>
      </c>
      <c r="W2389">
        <v>400032</v>
      </c>
      <c r="X2389" t="s">
        <v>56</v>
      </c>
      <c r="Y2389" t="s">
        <v>57</v>
      </c>
      <c r="AE2389">
        <v>0</v>
      </c>
      <c r="AP2389" t="s">
        <v>404</v>
      </c>
    </row>
    <row r="2390" spans="1:42" ht="15.6">
      <c r="A2390" s="1" t="s">
        <v>46</v>
      </c>
      <c r="B2390" s="1" t="s">
        <v>4821</v>
      </c>
      <c r="C2390" s="1" t="s">
        <v>4821</v>
      </c>
      <c r="E2390" s="13" t="s">
        <v>4822</v>
      </c>
      <c r="G2390" s="16"/>
      <c r="M2390">
        <v>1</v>
      </c>
      <c r="N2390">
        <v>-6</v>
      </c>
      <c r="O2390">
        <v>0</v>
      </c>
      <c r="P2390">
        <v>18</v>
      </c>
      <c r="Q2390">
        <v>-108</v>
      </c>
      <c r="R2390">
        <v>0</v>
      </c>
      <c r="S2390">
        <v>0</v>
      </c>
      <c r="T2390" t="s">
        <v>52</v>
      </c>
      <c r="U2390">
        <v>0</v>
      </c>
      <c r="V2390">
        <v>0</v>
      </c>
      <c r="W2390">
        <v>400032</v>
      </c>
      <c r="X2390" t="s">
        <v>56</v>
      </c>
      <c r="Y2390" t="s">
        <v>57</v>
      </c>
      <c r="AE2390">
        <v>0</v>
      </c>
      <c r="AP2390" t="s">
        <v>404</v>
      </c>
    </row>
    <row r="2391" spans="1:42" ht="15.6">
      <c r="A2391" s="1" t="s">
        <v>46</v>
      </c>
      <c r="B2391" s="1" t="s">
        <v>4823</v>
      </c>
      <c r="C2391" s="1" t="s">
        <v>4823</v>
      </c>
      <c r="E2391" s="13" t="s">
        <v>4824</v>
      </c>
      <c r="G2391" s="16"/>
      <c r="M2391">
        <v>1</v>
      </c>
      <c r="N2391">
        <v>719</v>
      </c>
      <c r="O2391">
        <v>0</v>
      </c>
      <c r="P2391">
        <v>0.13</v>
      </c>
      <c r="Q2391">
        <v>93.47</v>
      </c>
      <c r="R2391">
        <v>0</v>
      </c>
      <c r="S2391">
        <v>0</v>
      </c>
      <c r="T2391" t="s">
        <v>52</v>
      </c>
      <c r="U2391">
        <v>0</v>
      </c>
      <c r="V2391">
        <v>0</v>
      </c>
      <c r="W2391">
        <v>400017</v>
      </c>
      <c r="AE2391">
        <v>0</v>
      </c>
      <c r="AP2391" t="s">
        <v>49</v>
      </c>
    </row>
    <row r="2392" spans="1:42" ht="15.6">
      <c r="A2392" s="1" t="s">
        <v>46</v>
      </c>
      <c r="B2392" s="1" t="s">
        <v>4825</v>
      </c>
      <c r="C2392" s="1" t="s">
        <v>4825</v>
      </c>
      <c r="E2392" s="13" t="s">
        <v>4826</v>
      </c>
      <c r="G2392" s="16"/>
      <c r="M2392">
        <v>1</v>
      </c>
      <c r="N2392">
        <v>1495</v>
      </c>
      <c r="O2392">
        <v>0</v>
      </c>
      <c r="P2392">
        <v>0.06</v>
      </c>
      <c r="Q2392">
        <v>82.22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400017</v>
      </c>
      <c r="AE2392">
        <v>0</v>
      </c>
      <c r="AP2392" t="s">
        <v>49</v>
      </c>
    </row>
    <row r="2393" spans="1:42" ht="15.6">
      <c r="A2393" s="1" t="s">
        <v>46</v>
      </c>
      <c r="B2393" s="1" t="s">
        <v>4827</v>
      </c>
      <c r="C2393" s="1" t="s">
        <v>4827</v>
      </c>
      <c r="E2393" s="13" t="s">
        <v>4828</v>
      </c>
      <c r="G2393" s="16"/>
      <c r="M2393">
        <v>1</v>
      </c>
      <c r="N2393">
        <v>5761</v>
      </c>
      <c r="O2393">
        <v>0</v>
      </c>
      <c r="P2393">
        <v>0.18</v>
      </c>
      <c r="Q2393">
        <v>1036.98</v>
      </c>
      <c r="R2393">
        <v>0</v>
      </c>
      <c r="S2393">
        <v>0</v>
      </c>
      <c r="T2393" t="s">
        <v>52</v>
      </c>
      <c r="U2393">
        <v>0</v>
      </c>
      <c r="V2393">
        <v>0</v>
      </c>
      <c r="W2393">
        <v>400017</v>
      </c>
      <c r="X2393" t="s">
        <v>56</v>
      </c>
      <c r="Y2393" t="s">
        <v>57</v>
      </c>
      <c r="AE2393">
        <v>0</v>
      </c>
      <c r="AP2393" t="s">
        <v>49</v>
      </c>
    </row>
    <row r="2394" spans="1:42" ht="15.6">
      <c r="A2394" s="1" t="s">
        <v>46</v>
      </c>
      <c r="B2394" s="1" t="s">
        <v>4829</v>
      </c>
      <c r="C2394" s="1" t="s">
        <v>4829</v>
      </c>
      <c r="E2394" s="13" t="s">
        <v>4830</v>
      </c>
      <c r="G2394" s="16"/>
      <c r="M2394">
        <v>1</v>
      </c>
      <c r="N2394">
        <v>8</v>
      </c>
      <c r="O2394">
        <v>0</v>
      </c>
      <c r="P2394">
        <v>5.9</v>
      </c>
      <c r="Q2394">
        <v>47.2</v>
      </c>
      <c r="W2394">
        <v>400111</v>
      </c>
      <c r="AE2394">
        <v>0</v>
      </c>
      <c r="AP2394" t="s">
        <v>646</v>
      </c>
    </row>
    <row r="2395" spans="1:42" ht="15.6">
      <c r="A2395" s="1" t="s">
        <v>46</v>
      </c>
      <c r="B2395" s="1" t="s">
        <v>4831</v>
      </c>
      <c r="C2395" s="1" t="s">
        <v>4831</v>
      </c>
      <c r="E2395" s="13" t="s">
        <v>4832</v>
      </c>
      <c r="G2395" s="16"/>
      <c r="M2395">
        <v>1</v>
      </c>
      <c r="N2395">
        <v>49</v>
      </c>
      <c r="O2395">
        <v>0</v>
      </c>
      <c r="P2395">
        <v>0.25</v>
      </c>
      <c r="Q2395">
        <v>12.25</v>
      </c>
      <c r="R2395">
        <v>0</v>
      </c>
      <c r="S2395">
        <v>0</v>
      </c>
      <c r="T2395" t="s">
        <v>52</v>
      </c>
      <c r="W2395">
        <v>400158</v>
      </c>
      <c r="AE2395">
        <v>0</v>
      </c>
      <c r="AP2395" t="s">
        <v>61</v>
      </c>
    </row>
    <row r="2396" spans="1:42" ht="15.6">
      <c r="A2396" s="1" t="s">
        <v>46</v>
      </c>
      <c r="B2396" s="1" t="s">
        <v>4833</v>
      </c>
      <c r="C2396" s="1" t="s">
        <v>4833</v>
      </c>
      <c r="E2396" s="13" t="s">
        <v>4834</v>
      </c>
      <c r="G2396" s="16"/>
      <c r="M2396">
        <v>1</v>
      </c>
      <c r="N2396">
        <v>320</v>
      </c>
      <c r="O2396">
        <v>0</v>
      </c>
      <c r="P2396">
        <v>0.6</v>
      </c>
      <c r="Q2396">
        <v>192</v>
      </c>
      <c r="R2396">
        <v>0</v>
      </c>
      <c r="S2396">
        <v>0</v>
      </c>
      <c r="T2396" t="s">
        <v>52</v>
      </c>
      <c r="U2396">
        <v>0</v>
      </c>
      <c r="V2396">
        <v>0</v>
      </c>
      <c r="W2396">
        <v>400158</v>
      </c>
      <c r="X2396" t="s">
        <v>56</v>
      </c>
      <c r="Y2396" t="s">
        <v>57</v>
      </c>
      <c r="AE2396">
        <v>0</v>
      </c>
      <c r="AP2396" t="s">
        <v>61</v>
      </c>
    </row>
    <row r="2397" spans="1:42" ht="15.6">
      <c r="A2397" s="1" t="s">
        <v>46</v>
      </c>
      <c r="B2397" s="1" t="s">
        <v>4835</v>
      </c>
      <c r="C2397" s="1" t="s">
        <v>4835</v>
      </c>
      <c r="E2397" s="13" t="s">
        <v>4836</v>
      </c>
      <c r="G2397" s="16"/>
      <c r="M2397">
        <v>1</v>
      </c>
      <c r="N2397">
        <v>200</v>
      </c>
      <c r="O2397">
        <v>0</v>
      </c>
      <c r="P2397">
        <v>0.12</v>
      </c>
      <c r="Q2397">
        <v>25</v>
      </c>
      <c r="R2397">
        <v>0</v>
      </c>
      <c r="S2397">
        <v>0</v>
      </c>
      <c r="T2397" t="s">
        <v>52</v>
      </c>
      <c r="W2397">
        <v>400158</v>
      </c>
      <c r="AE2397">
        <v>0</v>
      </c>
      <c r="AP2397" t="s">
        <v>61</v>
      </c>
    </row>
    <row r="2398" spans="1:42" ht="15.6">
      <c r="A2398" s="1" t="s">
        <v>46</v>
      </c>
      <c r="B2398" s="1" t="s">
        <v>4837</v>
      </c>
      <c r="C2398" s="1" t="s">
        <v>4837</v>
      </c>
      <c r="E2398" s="13" t="s">
        <v>4838</v>
      </c>
      <c r="G2398" s="16"/>
      <c r="M2398">
        <v>1</v>
      </c>
      <c r="N2398">
        <v>996</v>
      </c>
      <c r="O2398">
        <v>0</v>
      </c>
      <c r="P2398">
        <v>0.5</v>
      </c>
      <c r="Q2398">
        <v>498</v>
      </c>
      <c r="R2398">
        <v>0</v>
      </c>
      <c r="S2398">
        <v>0</v>
      </c>
      <c r="T2398" t="s">
        <v>52</v>
      </c>
      <c r="U2398">
        <v>0</v>
      </c>
      <c r="V2398">
        <v>0</v>
      </c>
      <c r="W2398">
        <v>400158</v>
      </c>
      <c r="X2398" t="s">
        <v>56</v>
      </c>
      <c r="Y2398" t="s">
        <v>57</v>
      </c>
      <c r="AE2398">
        <v>0</v>
      </c>
      <c r="AP2398" t="s">
        <v>61</v>
      </c>
    </row>
    <row r="2399" spans="1:42" ht="15.6">
      <c r="A2399" s="1" t="s">
        <v>46</v>
      </c>
      <c r="B2399" s="1" t="s">
        <v>4390</v>
      </c>
      <c r="C2399" s="1" t="s">
        <v>4390</v>
      </c>
      <c r="E2399" s="13" t="s">
        <v>4839</v>
      </c>
      <c r="G2399" s="16"/>
      <c r="M2399">
        <v>1</v>
      </c>
      <c r="N2399">
        <v>2446</v>
      </c>
      <c r="O2399">
        <v>0</v>
      </c>
      <c r="P2399">
        <v>0.25</v>
      </c>
      <c r="Q2399">
        <v>611.5</v>
      </c>
      <c r="R2399">
        <v>0</v>
      </c>
      <c r="S2399">
        <v>0</v>
      </c>
      <c r="T2399" t="s">
        <v>52</v>
      </c>
      <c r="U2399" t="s">
        <v>52</v>
      </c>
      <c r="V2399">
        <v>0</v>
      </c>
      <c r="W2399">
        <v>400091</v>
      </c>
      <c r="X2399" t="s">
        <v>56</v>
      </c>
      <c r="Y2399" t="s">
        <v>57</v>
      </c>
      <c r="AE2399">
        <v>0</v>
      </c>
      <c r="AP2399" t="s">
        <v>3931</v>
      </c>
    </row>
    <row r="2400" spans="1:42" ht="15.6">
      <c r="E2400" s="13" t="s">
        <v>4840</v>
      </c>
      <c r="G2400" s="16"/>
    </row>
    <row r="2401" spans="1:42" ht="15.6">
      <c r="A2401" s="1" t="s">
        <v>46</v>
      </c>
      <c r="B2401" s="1" t="s">
        <v>4841</v>
      </c>
      <c r="C2401" s="1" t="s">
        <v>4841</v>
      </c>
      <c r="E2401" s="13" t="s">
        <v>4842</v>
      </c>
      <c r="G2401" s="16"/>
      <c r="M2401">
        <v>1</v>
      </c>
      <c r="N2401">
        <v>151</v>
      </c>
      <c r="O2401">
        <v>0</v>
      </c>
      <c r="P2401">
        <v>0.5</v>
      </c>
      <c r="Q2401">
        <v>75.5</v>
      </c>
      <c r="R2401">
        <v>0</v>
      </c>
      <c r="S2401">
        <v>0</v>
      </c>
      <c r="T2401" t="s">
        <v>52</v>
      </c>
      <c r="U2401">
        <v>0</v>
      </c>
      <c r="V2401">
        <v>0</v>
      </c>
      <c r="W2401">
        <v>400017</v>
      </c>
      <c r="X2401" t="s">
        <v>56</v>
      </c>
      <c r="Y2401" t="s">
        <v>57</v>
      </c>
      <c r="AE2401">
        <v>0</v>
      </c>
      <c r="AP2401" t="s">
        <v>49</v>
      </c>
    </row>
    <row r="2402" spans="1:42" ht="15.6">
      <c r="A2402" s="1" t="s">
        <v>46</v>
      </c>
      <c r="B2402" s="1" t="s">
        <v>4843</v>
      </c>
      <c r="C2402" s="1" t="s">
        <v>4843</v>
      </c>
      <c r="E2402" s="13" t="s">
        <v>4844</v>
      </c>
      <c r="G2402" s="16"/>
      <c r="M2402">
        <v>1</v>
      </c>
      <c r="N2402">
        <v>12</v>
      </c>
      <c r="O2402">
        <v>0</v>
      </c>
      <c r="P2402">
        <v>2</v>
      </c>
      <c r="Q2402">
        <v>24</v>
      </c>
      <c r="R2402">
        <v>0</v>
      </c>
      <c r="S2402">
        <v>0</v>
      </c>
      <c r="T2402" t="s">
        <v>52</v>
      </c>
      <c r="U2402">
        <v>0</v>
      </c>
      <c r="V2402">
        <v>0</v>
      </c>
      <c r="W2402">
        <v>400017</v>
      </c>
      <c r="X2402" t="s">
        <v>56</v>
      </c>
      <c r="Y2402" t="s">
        <v>57</v>
      </c>
      <c r="AE2402">
        <v>0</v>
      </c>
      <c r="AP2402" t="s">
        <v>49</v>
      </c>
    </row>
    <row r="2403" spans="1:42" ht="15.6">
      <c r="A2403" s="1" t="s">
        <v>46</v>
      </c>
      <c r="B2403" s="1" t="s">
        <v>4845</v>
      </c>
      <c r="C2403" s="1" t="s">
        <v>4845</v>
      </c>
      <c r="E2403" s="13" t="s">
        <v>4846</v>
      </c>
      <c r="G2403" s="16"/>
      <c r="M2403">
        <v>1</v>
      </c>
      <c r="N2403">
        <v>104</v>
      </c>
      <c r="O2403">
        <v>0</v>
      </c>
      <c r="P2403">
        <v>0.35</v>
      </c>
      <c r="Q2403">
        <v>36.4</v>
      </c>
      <c r="R2403">
        <v>0</v>
      </c>
      <c r="S2403">
        <v>0</v>
      </c>
      <c r="T2403" t="s">
        <v>52</v>
      </c>
      <c r="U2403">
        <v>0</v>
      </c>
      <c r="V2403">
        <v>0</v>
      </c>
      <c r="W2403">
        <v>400017</v>
      </c>
      <c r="X2403" t="s">
        <v>56</v>
      </c>
      <c r="Y2403" t="s">
        <v>57</v>
      </c>
      <c r="AE2403">
        <v>0</v>
      </c>
      <c r="AP2403" t="s">
        <v>49</v>
      </c>
    </row>
    <row r="2404" spans="1:42" ht="15.6">
      <c r="A2404" s="1" t="s">
        <v>46</v>
      </c>
      <c r="B2404" s="1" t="s">
        <v>4847</v>
      </c>
      <c r="C2404" s="1" t="s">
        <v>4847</v>
      </c>
      <c r="E2404" s="13" t="s">
        <v>4848</v>
      </c>
      <c r="G2404" s="16"/>
      <c r="M2404">
        <v>1</v>
      </c>
      <c r="N2404">
        <v>1142</v>
      </c>
      <c r="O2404">
        <v>0</v>
      </c>
      <c r="P2404">
        <v>0.01</v>
      </c>
      <c r="Q2404">
        <v>9.14</v>
      </c>
      <c r="R2404">
        <v>0</v>
      </c>
      <c r="S2404">
        <v>0</v>
      </c>
      <c r="T2404" t="s">
        <v>52</v>
      </c>
      <c r="U2404">
        <v>0</v>
      </c>
      <c r="V2404">
        <v>0</v>
      </c>
      <c r="W2404">
        <v>400017</v>
      </c>
      <c r="X2404" t="s">
        <v>56</v>
      </c>
      <c r="Y2404" t="s">
        <v>57</v>
      </c>
      <c r="AE2404">
        <v>0</v>
      </c>
      <c r="AP2404" t="s">
        <v>49</v>
      </c>
    </row>
    <row r="2405" spans="1:42" ht="15.6">
      <c r="A2405" s="1" t="s">
        <v>46</v>
      </c>
      <c r="B2405" s="1" t="s">
        <v>4849</v>
      </c>
      <c r="C2405" s="1" t="s">
        <v>4849</v>
      </c>
      <c r="E2405" s="13" t="s">
        <v>4850</v>
      </c>
      <c r="G2405" s="16"/>
      <c r="M2405">
        <v>1</v>
      </c>
      <c r="N2405">
        <v>49</v>
      </c>
      <c r="O2405">
        <v>0</v>
      </c>
      <c r="P2405">
        <v>0.3</v>
      </c>
      <c r="Q2405">
        <v>14.7</v>
      </c>
      <c r="R2405">
        <v>0</v>
      </c>
      <c r="S2405">
        <v>0</v>
      </c>
      <c r="T2405" t="s">
        <v>52</v>
      </c>
      <c r="U2405">
        <v>0</v>
      </c>
      <c r="V2405">
        <v>0</v>
      </c>
      <c r="W2405">
        <v>400017</v>
      </c>
      <c r="X2405" t="s">
        <v>56</v>
      </c>
      <c r="Y2405" t="s">
        <v>57</v>
      </c>
      <c r="AE2405">
        <v>0</v>
      </c>
      <c r="AP2405" t="s">
        <v>49</v>
      </c>
    </row>
    <row r="2406" spans="1:42" ht="15.6">
      <c r="A2406" s="1" t="s">
        <v>46</v>
      </c>
      <c r="B2406" s="1" t="s">
        <v>4851</v>
      </c>
      <c r="C2406" s="1" t="s">
        <v>4851</v>
      </c>
      <c r="E2406" s="13" t="s">
        <v>4852</v>
      </c>
      <c r="G2406" s="16"/>
      <c r="M2406">
        <v>1</v>
      </c>
      <c r="N2406">
        <v>336</v>
      </c>
      <c r="O2406">
        <v>0</v>
      </c>
      <c r="P2406">
        <v>0.4</v>
      </c>
      <c r="Q2406">
        <v>134.4</v>
      </c>
      <c r="R2406">
        <v>0</v>
      </c>
      <c r="S2406">
        <v>0</v>
      </c>
      <c r="T2406" t="s">
        <v>52</v>
      </c>
      <c r="U2406">
        <v>0</v>
      </c>
      <c r="V2406">
        <v>0</v>
      </c>
      <c r="W2406">
        <v>400017</v>
      </c>
      <c r="X2406" t="s">
        <v>56</v>
      </c>
      <c r="Y2406" t="s">
        <v>57</v>
      </c>
      <c r="AE2406">
        <v>0</v>
      </c>
      <c r="AP2406" t="s">
        <v>49</v>
      </c>
    </row>
    <row r="2407" spans="1:42" ht="15.6">
      <c r="A2407" s="1" t="s">
        <v>46</v>
      </c>
      <c r="B2407" s="1" t="s">
        <v>4853</v>
      </c>
      <c r="C2407" s="1" t="s">
        <v>4853</v>
      </c>
      <c r="E2407" s="13" t="s">
        <v>4854</v>
      </c>
      <c r="G2407" s="16"/>
      <c r="M2407">
        <v>1</v>
      </c>
      <c r="N2407">
        <v>58</v>
      </c>
      <c r="O2407">
        <v>0</v>
      </c>
      <c r="P2407">
        <v>1</v>
      </c>
      <c r="Q2407">
        <v>58</v>
      </c>
      <c r="R2407">
        <v>0</v>
      </c>
      <c r="S2407">
        <v>0</v>
      </c>
      <c r="T2407" t="s">
        <v>52</v>
      </c>
      <c r="U2407">
        <v>0</v>
      </c>
      <c r="V2407">
        <v>0</v>
      </c>
      <c r="W2407">
        <v>400017</v>
      </c>
      <c r="X2407" t="s">
        <v>56</v>
      </c>
      <c r="Y2407" t="s">
        <v>57</v>
      </c>
      <c r="AE2407">
        <v>0</v>
      </c>
      <c r="AP2407" t="s">
        <v>49</v>
      </c>
    </row>
    <row r="2408" spans="1:42" ht="15.6">
      <c r="A2408" s="1" t="s">
        <v>46</v>
      </c>
      <c r="B2408" s="1" t="s">
        <v>4855</v>
      </c>
      <c r="C2408" s="1" t="s">
        <v>4855</v>
      </c>
      <c r="E2408" s="13" t="s">
        <v>4856</v>
      </c>
      <c r="G2408" s="16"/>
      <c r="M2408">
        <v>1</v>
      </c>
      <c r="N2408">
        <v>16</v>
      </c>
      <c r="O2408">
        <v>0</v>
      </c>
      <c r="P2408">
        <v>0.85</v>
      </c>
      <c r="Q2408">
        <v>13.6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400017</v>
      </c>
      <c r="X2408" t="s">
        <v>56</v>
      </c>
      <c r="Y2408" t="s">
        <v>57</v>
      </c>
      <c r="AE2408">
        <v>0</v>
      </c>
      <c r="AP2408" t="s">
        <v>49</v>
      </c>
    </row>
    <row r="2409" spans="1:42" ht="15.6">
      <c r="A2409" s="1" t="s">
        <v>46</v>
      </c>
      <c r="B2409" s="1" t="s">
        <v>4857</v>
      </c>
      <c r="C2409" s="1" t="s">
        <v>4857</v>
      </c>
      <c r="E2409" s="13" t="s">
        <v>4858</v>
      </c>
      <c r="G2409" s="16"/>
      <c r="M2409">
        <v>1</v>
      </c>
      <c r="N2409">
        <v>51</v>
      </c>
      <c r="O2409">
        <v>0</v>
      </c>
      <c r="P2409">
        <v>1</v>
      </c>
      <c r="Q2409">
        <v>51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400017</v>
      </c>
      <c r="X2409" t="s">
        <v>56</v>
      </c>
      <c r="Y2409" t="s">
        <v>57</v>
      </c>
      <c r="AE2409">
        <v>0</v>
      </c>
      <c r="AP2409" t="s">
        <v>49</v>
      </c>
    </row>
    <row r="2410" spans="1:42" ht="15.6">
      <c r="A2410" s="1" t="s">
        <v>46</v>
      </c>
      <c r="B2410" s="1" t="s">
        <v>4859</v>
      </c>
      <c r="C2410" s="1" t="s">
        <v>4859</v>
      </c>
      <c r="E2410" s="13" t="s">
        <v>4860</v>
      </c>
      <c r="G2410" s="16"/>
      <c r="M2410">
        <v>1</v>
      </c>
      <c r="N2410">
        <v>5</v>
      </c>
      <c r="O2410">
        <v>0</v>
      </c>
      <c r="P2410">
        <v>1.5</v>
      </c>
      <c r="Q2410">
        <v>7.5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400017</v>
      </c>
      <c r="AE2410">
        <v>0</v>
      </c>
      <c r="AP2410" t="s">
        <v>49</v>
      </c>
    </row>
    <row r="2411" spans="1:42" ht="15.6">
      <c r="A2411" s="1" t="s">
        <v>46</v>
      </c>
      <c r="B2411" s="1" t="s">
        <v>4861</v>
      </c>
      <c r="C2411" s="1" t="s">
        <v>4861</v>
      </c>
      <c r="E2411" s="13" t="s">
        <v>4862</v>
      </c>
      <c r="G2411" s="16"/>
      <c r="M2411">
        <v>1</v>
      </c>
      <c r="N2411">
        <v>11</v>
      </c>
      <c r="O2411">
        <v>0</v>
      </c>
      <c r="P2411">
        <v>1.25</v>
      </c>
      <c r="Q2411">
        <v>13.75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400017</v>
      </c>
      <c r="AE2411">
        <v>0</v>
      </c>
      <c r="AP2411" t="s">
        <v>49</v>
      </c>
    </row>
    <row r="2412" spans="1:42" ht="15.6">
      <c r="A2412" s="1" t="s">
        <v>46</v>
      </c>
      <c r="B2412" s="1" t="s">
        <v>4863</v>
      </c>
      <c r="C2412" s="1" t="s">
        <v>4863</v>
      </c>
      <c r="E2412" s="13" t="s">
        <v>4864</v>
      </c>
      <c r="G2412" s="16"/>
      <c r="M2412">
        <v>1</v>
      </c>
      <c r="N2412">
        <v>7</v>
      </c>
      <c r="O2412">
        <v>0</v>
      </c>
      <c r="P2412">
        <v>1.75</v>
      </c>
      <c r="Q2412">
        <v>12.25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400017</v>
      </c>
      <c r="AE2412">
        <v>0</v>
      </c>
      <c r="AP2412" t="s">
        <v>49</v>
      </c>
    </row>
    <row r="2413" spans="1:42" ht="15.6">
      <c r="A2413" s="1" t="s">
        <v>46</v>
      </c>
      <c r="B2413" s="1" t="s">
        <v>4865</v>
      </c>
      <c r="C2413" s="1" t="s">
        <v>4865</v>
      </c>
      <c r="E2413" s="13" t="s">
        <v>4866</v>
      </c>
      <c r="G2413" s="16"/>
      <c r="M2413">
        <v>1</v>
      </c>
      <c r="N2413">
        <v>92</v>
      </c>
      <c r="O2413">
        <v>0</v>
      </c>
      <c r="P2413">
        <v>0.75</v>
      </c>
      <c r="Q2413">
        <v>69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400017</v>
      </c>
      <c r="X2413" t="s">
        <v>56</v>
      </c>
      <c r="Y2413" t="s">
        <v>57</v>
      </c>
      <c r="AE2413">
        <v>0</v>
      </c>
      <c r="AP2413" t="s">
        <v>49</v>
      </c>
    </row>
    <row r="2414" spans="1:42" ht="15.6">
      <c r="A2414" s="1" t="s">
        <v>46</v>
      </c>
      <c r="B2414" s="1" t="s">
        <v>4867</v>
      </c>
      <c r="C2414" s="1" t="s">
        <v>4867</v>
      </c>
      <c r="E2414" s="13" t="s">
        <v>4868</v>
      </c>
      <c r="G2414" s="16"/>
      <c r="M2414">
        <v>1</v>
      </c>
      <c r="N2414">
        <v>1</v>
      </c>
      <c r="O2414">
        <v>0</v>
      </c>
      <c r="P2414">
        <v>2.5</v>
      </c>
      <c r="Q2414">
        <v>2.5</v>
      </c>
      <c r="W2414">
        <v>400017</v>
      </c>
      <c r="AE2414">
        <v>0</v>
      </c>
      <c r="AP2414" t="s">
        <v>49</v>
      </c>
    </row>
    <row r="2415" spans="1:42" ht="15.6">
      <c r="A2415" s="1" t="s">
        <v>46</v>
      </c>
      <c r="B2415" s="1" t="s">
        <v>4869</v>
      </c>
      <c r="C2415" s="1" t="s">
        <v>4869</v>
      </c>
      <c r="E2415" s="13" t="s">
        <v>4870</v>
      </c>
      <c r="G2415" s="16"/>
      <c r="M2415">
        <v>1</v>
      </c>
      <c r="N2415">
        <v>4</v>
      </c>
      <c r="O2415">
        <v>0</v>
      </c>
      <c r="P2415">
        <v>3.25</v>
      </c>
      <c r="Q2415">
        <v>13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400017</v>
      </c>
      <c r="X2415" t="s">
        <v>56</v>
      </c>
      <c r="Y2415" t="s">
        <v>57</v>
      </c>
      <c r="AE2415">
        <v>0</v>
      </c>
      <c r="AP2415" t="s">
        <v>49</v>
      </c>
    </row>
    <row r="2416" spans="1:42" ht="15.6">
      <c r="A2416" s="1" t="s">
        <v>46</v>
      </c>
      <c r="B2416" s="1" t="s">
        <v>4871</v>
      </c>
      <c r="C2416" s="1" t="s">
        <v>4871</v>
      </c>
      <c r="E2416" s="13" t="s">
        <v>4872</v>
      </c>
      <c r="G2416" s="16"/>
      <c r="M2416">
        <v>1</v>
      </c>
      <c r="N2416">
        <v>13</v>
      </c>
      <c r="O2416">
        <v>0</v>
      </c>
      <c r="P2416">
        <v>1.5</v>
      </c>
      <c r="Q2416">
        <v>19.5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400017</v>
      </c>
      <c r="X2416" t="s">
        <v>56</v>
      </c>
      <c r="Y2416" t="s">
        <v>57</v>
      </c>
      <c r="AE2416">
        <v>0</v>
      </c>
      <c r="AP2416" t="s">
        <v>49</v>
      </c>
    </row>
    <row r="2417" spans="1:42" ht="15.6">
      <c r="A2417" s="1" t="s">
        <v>46</v>
      </c>
      <c r="B2417" s="1" t="s">
        <v>4873</v>
      </c>
      <c r="C2417" s="1" t="s">
        <v>4873</v>
      </c>
      <c r="E2417" s="13" t="s">
        <v>4874</v>
      </c>
      <c r="G2417" s="16"/>
      <c r="M2417">
        <v>1</v>
      </c>
      <c r="N2417">
        <v>9</v>
      </c>
      <c r="O2417">
        <v>0</v>
      </c>
      <c r="P2417">
        <v>6</v>
      </c>
      <c r="Q2417">
        <v>54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400017</v>
      </c>
      <c r="AE2417">
        <v>0</v>
      </c>
      <c r="AP2417" t="s">
        <v>49</v>
      </c>
    </row>
    <row r="2418" spans="1:42" ht="15.6">
      <c r="A2418" s="1" t="s">
        <v>46</v>
      </c>
      <c r="B2418" s="1" t="s">
        <v>4875</v>
      </c>
      <c r="C2418" s="1" t="s">
        <v>4875</v>
      </c>
      <c r="E2418" s="13" t="s">
        <v>4876</v>
      </c>
      <c r="G2418" s="16"/>
      <c r="M2418">
        <v>1</v>
      </c>
      <c r="N2418">
        <v>1</v>
      </c>
      <c r="O2418">
        <v>0</v>
      </c>
      <c r="P2418">
        <v>8</v>
      </c>
      <c r="Q2418">
        <v>8</v>
      </c>
      <c r="W2418">
        <v>400017</v>
      </c>
      <c r="AE2418">
        <v>0</v>
      </c>
      <c r="AP2418" t="s">
        <v>49</v>
      </c>
    </row>
    <row r="2419" spans="1:42" ht="15.6">
      <c r="A2419" s="1" t="s">
        <v>46</v>
      </c>
      <c r="B2419" s="1" t="s">
        <v>4877</v>
      </c>
      <c r="C2419" s="1" t="s">
        <v>4877</v>
      </c>
      <c r="E2419" s="13" t="s">
        <v>4878</v>
      </c>
      <c r="G2419" s="16"/>
      <c r="M2419">
        <v>1</v>
      </c>
      <c r="N2419">
        <v>10</v>
      </c>
      <c r="O2419">
        <v>0</v>
      </c>
      <c r="P2419">
        <v>0.2</v>
      </c>
      <c r="Q2419">
        <v>2</v>
      </c>
      <c r="W2419">
        <v>400017</v>
      </c>
      <c r="AE2419">
        <v>0</v>
      </c>
      <c r="AP2419" t="s">
        <v>49</v>
      </c>
    </row>
    <row r="2420" spans="1:42" ht="15.6">
      <c r="A2420" s="1" t="s">
        <v>46</v>
      </c>
      <c r="B2420" s="1" t="s">
        <v>4879</v>
      </c>
      <c r="C2420" s="1" t="s">
        <v>4879</v>
      </c>
      <c r="E2420" s="13" t="s">
        <v>4880</v>
      </c>
      <c r="G2420" s="16"/>
      <c r="M2420">
        <v>1</v>
      </c>
      <c r="N2420">
        <v>33</v>
      </c>
      <c r="O2420">
        <v>0</v>
      </c>
      <c r="P2420">
        <v>0.5</v>
      </c>
      <c r="Q2420">
        <v>16.5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400017</v>
      </c>
      <c r="X2420" t="s">
        <v>56</v>
      </c>
      <c r="Y2420" t="s">
        <v>57</v>
      </c>
      <c r="AE2420">
        <v>0</v>
      </c>
      <c r="AP2420" t="s">
        <v>49</v>
      </c>
    </row>
    <row r="2421" spans="1:42" ht="15.6">
      <c r="A2421" s="1" t="s">
        <v>46</v>
      </c>
      <c r="B2421" s="1" t="s">
        <v>4881</v>
      </c>
      <c r="C2421" s="1" t="s">
        <v>4881</v>
      </c>
      <c r="E2421" s="13" t="s">
        <v>4882</v>
      </c>
      <c r="G2421" s="16"/>
      <c r="M2421">
        <v>1</v>
      </c>
      <c r="N2421">
        <v>30</v>
      </c>
      <c r="O2421">
        <v>0</v>
      </c>
      <c r="P2421">
        <v>0.4</v>
      </c>
      <c r="Q2421">
        <v>12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400017</v>
      </c>
      <c r="X2421" t="s">
        <v>56</v>
      </c>
      <c r="Y2421" t="s">
        <v>57</v>
      </c>
      <c r="AE2421">
        <v>0</v>
      </c>
      <c r="AP2421" t="s">
        <v>49</v>
      </c>
    </row>
    <row r="2422" spans="1:42" ht="15.6">
      <c r="A2422" s="1" t="s">
        <v>46</v>
      </c>
      <c r="B2422" s="1" t="s">
        <v>4883</v>
      </c>
      <c r="C2422" s="1" t="s">
        <v>4883</v>
      </c>
      <c r="E2422" s="13" t="s">
        <v>4884</v>
      </c>
      <c r="G2422" s="16"/>
      <c r="M2422">
        <v>1</v>
      </c>
      <c r="N2422">
        <v>168</v>
      </c>
      <c r="O2422">
        <v>0</v>
      </c>
      <c r="P2422">
        <v>0.08</v>
      </c>
      <c r="Q2422">
        <v>12.6</v>
      </c>
      <c r="W2422">
        <v>400017</v>
      </c>
      <c r="AE2422">
        <v>0</v>
      </c>
      <c r="AP2422" t="s">
        <v>49</v>
      </c>
    </row>
    <row r="2423" spans="1:42" ht="15.6">
      <c r="A2423" s="1" t="s">
        <v>46</v>
      </c>
      <c r="B2423" s="1" t="s">
        <v>4885</v>
      </c>
      <c r="C2423" s="1" t="s">
        <v>4885</v>
      </c>
      <c r="E2423" s="13" t="s">
        <v>4886</v>
      </c>
      <c r="G2423" s="16"/>
      <c r="M2423">
        <v>1</v>
      </c>
      <c r="N2423">
        <v>10</v>
      </c>
      <c r="O2423">
        <v>0</v>
      </c>
      <c r="P2423">
        <v>1.25</v>
      </c>
      <c r="Q2423">
        <v>12.5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400017</v>
      </c>
      <c r="X2423" t="s">
        <v>56</v>
      </c>
      <c r="Y2423" t="s">
        <v>57</v>
      </c>
      <c r="AE2423">
        <v>0</v>
      </c>
      <c r="AP2423" t="s">
        <v>49</v>
      </c>
    </row>
    <row r="2424" spans="1:42" ht="15.6">
      <c r="A2424" s="1" t="s">
        <v>46</v>
      </c>
      <c r="B2424" s="1" t="s">
        <v>4887</v>
      </c>
      <c r="C2424" s="1" t="s">
        <v>4887</v>
      </c>
      <c r="E2424" s="13" t="s">
        <v>4888</v>
      </c>
      <c r="G2424" s="16"/>
      <c r="M2424">
        <v>1</v>
      </c>
      <c r="N2424">
        <v>25</v>
      </c>
      <c r="O2424">
        <v>0</v>
      </c>
      <c r="P2424">
        <v>20</v>
      </c>
      <c r="Q2424">
        <v>500</v>
      </c>
      <c r="R2424">
        <v>0</v>
      </c>
      <c r="S2424">
        <v>0</v>
      </c>
      <c r="T2424" t="s">
        <v>52</v>
      </c>
      <c r="U2424">
        <v>0</v>
      </c>
      <c r="V2424">
        <v>0</v>
      </c>
      <c r="W2424">
        <v>400013</v>
      </c>
      <c r="AE2424">
        <v>0</v>
      </c>
      <c r="AP2424" t="s">
        <v>232</v>
      </c>
    </row>
    <row r="2425" spans="1:42" ht="15.6">
      <c r="A2425" s="1" t="s">
        <v>46</v>
      </c>
      <c r="B2425" s="1" t="s">
        <v>4889</v>
      </c>
      <c r="C2425" s="1" t="s">
        <v>4889</v>
      </c>
      <c r="E2425" s="13" t="s">
        <v>4890</v>
      </c>
      <c r="G2425" s="16"/>
      <c r="M2425">
        <v>1</v>
      </c>
      <c r="N2425">
        <v>30</v>
      </c>
      <c r="O2425">
        <v>0</v>
      </c>
      <c r="P2425">
        <v>15</v>
      </c>
      <c r="Q2425">
        <v>450</v>
      </c>
      <c r="R2425">
        <v>0</v>
      </c>
      <c r="S2425">
        <v>0</v>
      </c>
      <c r="T2425" t="s">
        <v>52</v>
      </c>
      <c r="U2425">
        <v>0</v>
      </c>
      <c r="V2425">
        <v>0</v>
      </c>
      <c r="W2425">
        <v>400008</v>
      </c>
      <c r="AE2425">
        <v>0</v>
      </c>
      <c r="AP2425" t="s">
        <v>4772</v>
      </c>
    </row>
    <row r="2426" spans="1:42" ht="15.6">
      <c r="A2426" s="1" t="s">
        <v>46</v>
      </c>
      <c r="B2426" s="1" t="s">
        <v>4891</v>
      </c>
      <c r="C2426" s="1" t="s">
        <v>4891</v>
      </c>
      <c r="E2426" s="13" t="s">
        <v>4892</v>
      </c>
      <c r="G2426" s="16"/>
      <c r="M2426">
        <v>1</v>
      </c>
      <c r="N2426">
        <v>381</v>
      </c>
      <c r="O2426">
        <v>0</v>
      </c>
      <c r="P2426">
        <v>1</v>
      </c>
      <c r="Q2426">
        <v>381</v>
      </c>
      <c r="R2426">
        <v>0</v>
      </c>
      <c r="S2426">
        <v>0</v>
      </c>
      <c r="T2426" t="s">
        <v>52</v>
      </c>
      <c r="U2426">
        <v>0</v>
      </c>
      <c r="V2426">
        <v>0</v>
      </c>
      <c r="W2426">
        <v>400033</v>
      </c>
      <c r="AE2426">
        <v>0</v>
      </c>
      <c r="AP2426" t="s">
        <v>126</v>
      </c>
    </row>
    <row r="2427" spans="1:42" ht="15.6">
      <c r="A2427" s="1" t="s">
        <v>46</v>
      </c>
      <c r="B2427" s="1" t="s">
        <v>4893</v>
      </c>
      <c r="C2427" s="1" t="s">
        <v>4893</v>
      </c>
      <c r="E2427" s="13" t="s">
        <v>4894</v>
      </c>
      <c r="G2427" s="16"/>
      <c r="M2427">
        <v>1</v>
      </c>
      <c r="N2427">
        <v>608</v>
      </c>
      <c r="O2427">
        <v>0</v>
      </c>
      <c r="P2427">
        <v>1</v>
      </c>
      <c r="Q2427">
        <v>608</v>
      </c>
      <c r="R2427">
        <v>0</v>
      </c>
      <c r="S2427">
        <v>0</v>
      </c>
      <c r="T2427" t="s">
        <v>52</v>
      </c>
      <c r="U2427">
        <v>0</v>
      </c>
      <c r="V2427">
        <v>0</v>
      </c>
      <c r="W2427">
        <v>400209</v>
      </c>
      <c r="AE2427">
        <v>0</v>
      </c>
      <c r="AP2427" t="s">
        <v>4895</v>
      </c>
    </row>
    <row r="2428" spans="1:42" ht="15.6">
      <c r="A2428" s="1" t="s">
        <v>46</v>
      </c>
      <c r="B2428" s="1" t="s">
        <v>4896</v>
      </c>
      <c r="C2428" s="1" t="s">
        <v>4896</v>
      </c>
      <c r="E2428" s="13" t="s">
        <v>4897</v>
      </c>
      <c r="G2428" s="16"/>
      <c r="M2428">
        <v>1</v>
      </c>
      <c r="N2428">
        <v>-9</v>
      </c>
      <c r="O2428">
        <v>0</v>
      </c>
      <c r="P2428">
        <v>1.75</v>
      </c>
      <c r="Q2428">
        <v>-15.75</v>
      </c>
      <c r="R2428">
        <v>0</v>
      </c>
      <c r="S2428">
        <v>0</v>
      </c>
      <c r="T2428" t="s">
        <v>52</v>
      </c>
      <c r="W2428">
        <v>400121</v>
      </c>
      <c r="AE2428">
        <v>0</v>
      </c>
      <c r="AP2428" t="s">
        <v>123</v>
      </c>
    </row>
    <row r="2429" spans="1:42" ht="15.6">
      <c r="A2429" s="1" t="s">
        <v>46</v>
      </c>
      <c r="B2429" s="1" t="s">
        <v>4898</v>
      </c>
      <c r="C2429" s="1" t="s">
        <v>4898</v>
      </c>
      <c r="E2429" s="13" t="s">
        <v>4899</v>
      </c>
      <c r="G2429" s="16"/>
      <c r="M2429">
        <v>1</v>
      </c>
      <c r="N2429">
        <v>110</v>
      </c>
      <c r="O2429">
        <v>0</v>
      </c>
      <c r="P2429">
        <v>11.75</v>
      </c>
      <c r="Q2429">
        <v>1292.5</v>
      </c>
      <c r="R2429">
        <v>0</v>
      </c>
      <c r="S2429">
        <v>0</v>
      </c>
      <c r="T2429" t="s">
        <v>52</v>
      </c>
      <c r="U2429">
        <v>0</v>
      </c>
      <c r="V2429">
        <v>0</v>
      </c>
      <c r="W2429">
        <v>400120</v>
      </c>
      <c r="AE2429">
        <v>0</v>
      </c>
      <c r="AP2429" t="s">
        <v>468</v>
      </c>
    </row>
    <row r="2430" spans="1:42" ht="15.6">
      <c r="A2430" s="1" t="s">
        <v>46</v>
      </c>
      <c r="B2430" s="1" t="s">
        <v>4900</v>
      </c>
      <c r="C2430" s="1" t="s">
        <v>4900</v>
      </c>
      <c r="E2430" s="13" t="s">
        <v>4901</v>
      </c>
      <c r="G2430" s="16"/>
      <c r="M2430">
        <v>1</v>
      </c>
      <c r="N2430">
        <v>44</v>
      </c>
      <c r="O2430">
        <v>0</v>
      </c>
      <c r="P2430">
        <v>4.5</v>
      </c>
      <c r="Q2430">
        <v>198</v>
      </c>
      <c r="R2430">
        <v>0</v>
      </c>
      <c r="S2430">
        <v>0</v>
      </c>
      <c r="T2430">
        <v>0</v>
      </c>
      <c r="W2430">
        <v>400045</v>
      </c>
      <c r="AE2430">
        <v>0</v>
      </c>
      <c r="AP2430" t="s">
        <v>217</v>
      </c>
    </row>
    <row r="2431" spans="1:42" ht="15.6">
      <c r="A2431" s="1" t="s">
        <v>46</v>
      </c>
      <c r="B2431" s="1" t="s">
        <v>4902</v>
      </c>
      <c r="C2431" s="1" t="s">
        <v>4902</v>
      </c>
      <c r="E2431" s="13" t="s">
        <v>4903</v>
      </c>
      <c r="G2431" s="16">
        <v>6</v>
      </c>
      <c r="M2431">
        <v>1</v>
      </c>
      <c r="N2431">
        <v>59</v>
      </c>
      <c r="O2431">
        <v>0</v>
      </c>
      <c r="P2431">
        <v>14.98</v>
      </c>
      <c r="Q2431">
        <v>884.12</v>
      </c>
      <c r="R2431">
        <v>0</v>
      </c>
      <c r="S2431">
        <v>0</v>
      </c>
      <c r="T2431" t="s">
        <v>52</v>
      </c>
      <c r="U2431">
        <v>0</v>
      </c>
      <c r="V2431">
        <v>0</v>
      </c>
      <c r="W2431">
        <v>400032</v>
      </c>
      <c r="X2431" t="s">
        <v>56</v>
      </c>
      <c r="Y2431" t="s">
        <v>57</v>
      </c>
      <c r="AE2431">
        <v>0</v>
      </c>
      <c r="AP2431" t="s">
        <v>404</v>
      </c>
    </row>
    <row r="2432" spans="1:42" ht="15.6">
      <c r="A2432" s="1" t="s">
        <v>46</v>
      </c>
      <c r="B2432" s="1" t="s">
        <v>4904</v>
      </c>
      <c r="C2432" s="1" t="s">
        <v>4904</v>
      </c>
      <c r="E2432" s="13" t="s">
        <v>4905</v>
      </c>
      <c r="G2432" s="16"/>
      <c r="M2432">
        <v>1</v>
      </c>
      <c r="N2432">
        <v>460</v>
      </c>
      <c r="O2432">
        <v>0</v>
      </c>
      <c r="P2432">
        <v>0.8</v>
      </c>
      <c r="Q2432">
        <v>368</v>
      </c>
      <c r="R2432">
        <v>0</v>
      </c>
      <c r="S2432">
        <v>0</v>
      </c>
      <c r="T2432" t="s">
        <v>52</v>
      </c>
      <c r="U2432" t="s">
        <v>52</v>
      </c>
      <c r="V2432">
        <v>0</v>
      </c>
      <c r="W2432">
        <v>400158</v>
      </c>
      <c r="X2432" t="s">
        <v>56</v>
      </c>
      <c r="Y2432" t="s">
        <v>57</v>
      </c>
      <c r="AE2432">
        <v>0</v>
      </c>
      <c r="AP2432" t="s">
        <v>61</v>
      </c>
    </row>
    <row r="2433" spans="1:42" ht="15.6">
      <c r="A2433" s="1" t="s">
        <v>46</v>
      </c>
      <c r="B2433" s="1" t="s">
        <v>4906</v>
      </c>
      <c r="C2433" s="1" t="s">
        <v>4906</v>
      </c>
      <c r="E2433" s="13" t="s">
        <v>4907</v>
      </c>
      <c r="G2433" s="16"/>
      <c r="M2433">
        <v>1</v>
      </c>
      <c r="N2433">
        <v>23</v>
      </c>
      <c r="O2433">
        <v>0</v>
      </c>
      <c r="P2433">
        <v>1.49</v>
      </c>
      <c r="Q2433">
        <v>34.21</v>
      </c>
      <c r="R2433">
        <v>0</v>
      </c>
      <c r="S2433">
        <v>0</v>
      </c>
      <c r="T2433">
        <v>0</v>
      </c>
      <c r="W2433">
        <v>400111</v>
      </c>
      <c r="AE2433">
        <v>0</v>
      </c>
      <c r="AP2433" t="s">
        <v>646</v>
      </c>
    </row>
    <row r="2434" spans="1:42" ht="15.6">
      <c r="A2434" s="1" t="s">
        <v>46</v>
      </c>
      <c r="B2434" s="1" t="s">
        <v>4908</v>
      </c>
      <c r="C2434" s="1" t="s">
        <v>4908</v>
      </c>
      <c r="E2434" s="13" t="s">
        <v>4909</v>
      </c>
      <c r="G2434" s="16"/>
      <c r="M2434">
        <v>1</v>
      </c>
      <c r="N2434">
        <v>5381</v>
      </c>
      <c r="O2434">
        <v>0</v>
      </c>
      <c r="P2434">
        <v>0.03</v>
      </c>
      <c r="Q2434">
        <v>161.43</v>
      </c>
      <c r="R2434">
        <v>0</v>
      </c>
      <c r="S2434">
        <v>0</v>
      </c>
      <c r="T2434" t="s">
        <v>209</v>
      </c>
      <c r="U2434">
        <v>0</v>
      </c>
      <c r="V2434">
        <v>0</v>
      </c>
      <c r="W2434">
        <v>400017</v>
      </c>
      <c r="X2434" t="s">
        <v>56</v>
      </c>
      <c r="Y2434" t="s">
        <v>57</v>
      </c>
      <c r="AE2434">
        <v>0</v>
      </c>
      <c r="AP2434" t="s">
        <v>49</v>
      </c>
    </row>
    <row r="2435" spans="1:42" ht="15.6">
      <c r="A2435" s="1" t="s">
        <v>46</v>
      </c>
      <c r="B2435" s="1" t="s">
        <v>4910</v>
      </c>
      <c r="C2435" s="1" t="s">
        <v>4910</v>
      </c>
      <c r="E2435" s="13" t="s">
        <v>4911</v>
      </c>
      <c r="G2435" s="16">
        <v>4</v>
      </c>
      <c r="M2435">
        <v>1</v>
      </c>
      <c r="N2435">
        <v>-1</v>
      </c>
      <c r="O2435">
        <v>0</v>
      </c>
      <c r="AE2435">
        <v>0</v>
      </c>
    </row>
    <row r="2436" spans="1:42" ht="15.6">
      <c r="A2436" s="1" t="s">
        <v>46</v>
      </c>
      <c r="B2436" s="1" t="s">
        <v>4912</v>
      </c>
      <c r="C2436" s="1" t="s">
        <v>4912</v>
      </c>
      <c r="E2436" s="13" t="s">
        <v>4913</v>
      </c>
      <c r="G2436" s="16">
        <v>4.5</v>
      </c>
      <c r="M2436">
        <v>1</v>
      </c>
      <c r="N2436">
        <v>42</v>
      </c>
      <c r="O2436">
        <v>0</v>
      </c>
      <c r="P2436">
        <v>0.3</v>
      </c>
      <c r="Q2436">
        <v>12.6</v>
      </c>
      <c r="R2436">
        <v>0</v>
      </c>
      <c r="S2436">
        <v>0</v>
      </c>
      <c r="T2436" t="s">
        <v>52</v>
      </c>
      <c r="U2436">
        <v>0</v>
      </c>
      <c r="V2436">
        <v>0</v>
      </c>
      <c r="W2436">
        <v>400017</v>
      </c>
      <c r="X2436" t="s">
        <v>56</v>
      </c>
      <c r="Y2436" t="s">
        <v>57</v>
      </c>
      <c r="AE2436">
        <v>0</v>
      </c>
      <c r="AP2436" t="s">
        <v>49</v>
      </c>
    </row>
    <row r="2437" spans="1:42" ht="15.6">
      <c r="A2437" s="1" t="s">
        <v>46</v>
      </c>
      <c r="B2437" s="1" t="s">
        <v>4914</v>
      </c>
      <c r="C2437" s="1" t="s">
        <v>4914</v>
      </c>
      <c r="E2437" s="13" t="s">
        <v>4915</v>
      </c>
      <c r="G2437" s="16"/>
      <c r="I2437">
        <v>10000</v>
      </c>
      <c r="M2437">
        <v>1</v>
      </c>
      <c r="N2437">
        <v>785</v>
      </c>
      <c r="O2437">
        <v>0</v>
      </c>
      <c r="P2437">
        <v>13.5</v>
      </c>
      <c r="Q2437">
        <v>10597.5</v>
      </c>
      <c r="R2437">
        <v>0</v>
      </c>
      <c r="S2437">
        <v>0</v>
      </c>
      <c r="T2437" t="s">
        <v>52</v>
      </c>
      <c r="U2437">
        <v>0</v>
      </c>
      <c r="V2437">
        <v>0</v>
      </c>
      <c r="W2437">
        <v>400091</v>
      </c>
      <c r="X2437" t="s">
        <v>56</v>
      </c>
      <c r="Y2437" t="s">
        <v>57</v>
      </c>
      <c r="AE2437">
        <v>0</v>
      </c>
      <c r="AH2437">
        <v>10000</v>
      </c>
      <c r="AP2437" t="s">
        <v>3931</v>
      </c>
    </row>
    <row r="2438" spans="1:42" ht="15.6">
      <c r="A2438" s="1" t="s">
        <v>46</v>
      </c>
      <c r="B2438" s="1" t="s">
        <v>4916</v>
      </c>
      <c r="C2438" s="1" t="s">
        <v>4916</v>
      </c>
      <c r="E2438" s="13" t="s">
        <v>4917</v>
      </c>
      <c r="G2438" s="16"/>
      <c r="M2438">
        <v>1</v>
      </c>
      <c r="N2438">
        <v>84</v>
      </c>
      <c r="O2438">
        <v>0</v>
      </c>
      <c r="P2438">
        <v>3</v>
      </c>
      <c r="Q2438">
        <v>252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400017</v>
      </c>
      <c r="X2438" t="s">
        <v>56</v>
      </c>
      <c r="Y2438" t="s">
        <v>57</v>
      </c>
      <c r="AE2438">
        <v>0</v>
      </c>
      <c r="AP2438" t="s">
        <v>49</v>
      </c>
    </row>
    <row r="2439" spans="1:42" ht="15.6">
      <c r="A2439" s="1" t="s">
        <v>46</v>
      </c>
      <c r="B2439" s="1" t="s">
        <v>4918</v>
      </c>
      <c r="C2439" s="1" t="s">
        <v>4918</v>
      </c>
      <c r="E2439" s="13" t="s">
        <v>4919</v>
      </c>
      <c r="G2439" s="16">
        <v>12</v>
      </c>
      <c r="M2439">
        <v>1</v>
      </c>
      <c r="N2439">
        <v>29</v>
      </c>
      <c r="O2439">
        <v>0</v>
      </c>
      <c r="P2439">
        <v>10</v>
      </c>
      <c r="Q2439">
        <v>290</v>
      </c>
      <c r="R2439">
        <v>0</v>
      </c>
      <c r="S2439">
        <v>0</v>
      </c>
      <c r="T2439" t="s">
        <v>56</v>
      </c>
      <c r="U2439">
        <v>0</v>
      </c>
      <c r="V2439">
        <v>0</v>
      </c>
      <c r="W2439">
        <v>400032</v>
      </c>
      <c r="X2439" t="s">
        <v>56</v>
      </c>
      <c r="Y2439" t="s">
        <v>57</v>
      </c>
      <c r="AE2439">
        <v>0</v>
      </c>
      <c r="AP2439" t="s">
        <v>404</v>
      </c>
    </row>
    <row r="2440" spans="1:42" ht="15.6">
      <c r="A2440" s="1" t="s">
        <v>46</v>
      </c>
      <c r="B2440" s="1" t="s">
        <v>4920</v>
      </c>
      <c r="C2440" s="1" t="s">
        <v>4920</v>
      </c>
      <c r="E2440" s="13" t="s">
        <v>4921</v>
      </c>
      <c r="G2440" s="16"/>
      <c r="M2440">
        <v>1</v>
      </c>
      <c r="N2440">
        <v>-1</v>
      </c>
      <c r="O2440">
        <v>0</v>
      </c>
      <c r="AE2440">
        <v>0</v>
      </c>
    </row>
    <row r="2441" spans="1:42" ht="15.6">
      <c r="A2441" s="1" t="s">
        <v>46</v>
      </c>
      <c r="B2441" s="1" t="s">
        <v>4922</v>
      </c>
      <c r="C2441" s="1" t="s">
        <v>4922</v>
      </c>
      <c r="E2441" s="13" t="s">
        <v>4923</v>
      </c>
      <c r="G2441" s="16"/>
      <c r="M2441">
        <v>1</v>
      </c>
      <c r="N2441">
        <v>322</v>
      </c>
      <c r="O2441">
        <v>0</v>
      </c>
      <c r="P2441">
        <v>7.5</v>
      </c>
      <c r="Q2441">
        <v>2415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400032</v>
      </c>
      <c r="X2441" t="s">
        <v>56</v>
      </c>
      <c r="Y2441" t="s">
        <v>57</v>
      </c>
      <c r="AE2441">
        <v>0</v>
      </c>
      <c r="AP2441" t="s">
        <v>404</v>
      </c>
    </row>
    <row r="2442" spans="1:42" ht="15.6">
      <c r="A2442" s="1" t="s">
        <v>46</v>
      </c>
      <c r="B2442" s="1" t="s">
        <v>4924</v>
      </c>
      <c r="C2442" s="1" t="s">
        <v>4924</v>
      </c>
      <c r="E2442" s="13" t="s">
        <v>4925</v>
      </c>
      <c r="G2442" s="16"/>
      <c r="M2442">
        <v>1</v>
      </c>
      <c r="N2442">
        <v>-2</v>
      </c>
      <c r="O2442">
        <v>0</v>
      </c>
      <c r="R2442" t="s">
        <v>107</v>
      </c>
      <c r="S2442">
        <v>0</v>
      </c>
      <c r="T2442" t="s">
        <v>52</v>
      </c>
      <c r="W2442">
        <v>400033</v>
      </c>
      <c r="AE2442">
        <v>0</v>
      </c>
      <c r="AP2442" t="s">
        <v>126</v>
      </c>
    </row>
    <row r="2443" spans="1:42" ht="15.6">
      <c r="A2443" s="1" t="s">
        <v>46</v>
      </c>
      <c r="B2443" s="1" t="s">
        <v>4926</v>
      </c>
      <c r="C2443" s="1" t="s">
        <v>4926</v>
      </c>
      <c r="E2443" s="13" t="s">
        <v>4927</v>
      </c>
      <c r="G2443" s="16">
        <v>5</v>
      </c>
      <c r="M2443">
        <v>1</v>
      </c>
      <c r="N2443">
        <v>50</v>
      </c>
      <c r="O2443">
        <v>0</v>
      </c>
      <c r="P2443">
        <v>2.06</v>
      </c>
      <c r="Q2443">
        <v>103.25</v>
      </c>
      <c r="W2443">
        <v>400046</v>
      </c>
      <c r="AE2443">
        <v>0</v>
      </c>
      <c r="AP2443" t="s">
        <v>407</v>
      </c>
    </row>
    <row r="2444" spans="1:42" ht="15.6">
      <c r="A2444" s="1" t="s">
        <v>46</v>
      </c>
      <c r="B2444" s="1" t="s">
        <v>4928</v>
      </c>
      <c r="C2444" s="1" t="s">
        <v>4928</v>
      </c>
      <c r="E2444" s="13" t="s">
        <v>4929</v>
      </c>
      <c r="G2444" s="16"/>
      <c r="M2444">
        <v>1</v>
      </c>
      <c r="N2444">
        <v>5</v>
      </c>
      <c r="O2444">
        <v>0</v>
      </c>
      <c r="P2444">
        <v>4.13</v>
      </c>
      <c r="Q2444">
        <v>20.64</v>
      </c>
      <c r="R2444">
        <v>0</v>
      </c>
      <c r="S2444">
        <v>0</v>
      </c>
      <c r="T2444" t="s">
        <v>52</v>
      </c>
      <c r="U2444">
        <v>0</v>
      </c>
      <c r="V2444">
        <v>0</v>
      </c>
      <c r="W2444">
        <v>400046</v>
      </c>
      <c r="AE2444">
        <v>0</v>
      </c>
      <c r="AP2444" t="s">
        <v>407</v>
      </c>
    </row>
    <row r="2445" spans="1:42" ht="15.6">
      <c r="A2445" s="1" t="s">
        <v>46</v>
      </c>
      <c r="B2445" s="1" t="s">
        <v>4930</v>
      </c>
      <c r="C2445" s="1" t="s">
        <v>4930</v>
      </c>
      <c r="E2445" s="13" t="s">
        <v>4931</v>
      </c>
      <c r="G2445" s="16"/>
      <c r="M2445">
        <v>1</v>
      </c>
      <c r="N2445">
        <v>674</v>
      </c>
      <c r="O2445">
        <v>0</v>
      </c>
      <c r="P2445">
        <v>3.25</v>
      </c>
      <c r="Q2445">
        <v>2190.5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400017</v>
      </c>
      <c r="X2445" t="s">
        <v>56</v>
      </c>
      <c r="Y2445" t="s">
        <v>57</v>
      </c>
      <c r="AE2445">
        <v>0</v>
      </c>
      <c r="AP2445" t="s">
        <v>49</v>
      </c>
    </row>
    <row r="2446" spans="1:42" ht="15.6">
      <c r="A2446" s="1" t="s">
        <v>46</v>
      </c>
      <c r="B2446" s="1" t="s">
        <v>4932</v>
      </c>
      <c r="C2446" s="1" t="s">
        <v>4932</v>
      </c>
      <c r="E2446" s="13" t="s">
        <v>4933</v>
      </c>
      <c r="G2446" s="16"/>
      <c r="M2446">
        <v>1</v>
      </c>
      <c r="N2446">
        <v>5</v>
      </c>
      <c r="O2446">
        <v>0</v>
      </c>
      <c r="P2446">
        <v>5.5</v>
      </c>
      <c r="Q2446">
        <v>27.5</v>
      </c>
      <c r="W2446">
        <v>400080</v>
      </c>
      <c r="AE2446">
        <v>0</v>
      </c>
      <c r="AP2446" t="s">
        <v>696</v>
      </c>
    </row>
    <row r="2447" spans="1:42" ht="15.6">
      <c r="A2447" s="1" t="s">
        <v>46</v>
      </c>
      <c r="B2447" s="1" t="s">
        <v>4934</v>
      </c>
      <c r="C2447" s="1" t="s">
        <v>4934</v>
      </c>
      <c r="E2447" s="13" t="s">
        <v>4935</v>
      </c>
      <c r="G2447" s="16"/>
      <c r="M2447">
        <v>1</v>
      </c>
      <c r="N2447">
        <v>-60</v>
      </c>
      <c r="O2447">
        <v>0</v>
      </c>
      <c r="R2447">
        <v>0</v>
      </c>
      <c r="S2447">
        <v>0</v>
      </c>
      <c r="T2447" t="s">
        <v>3335</v>
      </c>
      <c r="U2447">
        <v>0</v>
      </c>
      <c r="V2447">
        <v>0</v>
      </c>
      <c r="W2447">
        <v>400017</v>
      </c>
      <c r="X2447" t="s">
        <v>56</v>
      </c>
      <c r="Y2447" t="s">
        <v>57</v>
      </c>
      <c r="AE2447">
        <v>0</v>
      </c>
      <c r="AP2447" t="s">
        <v>49</v>
      </c>
    </row>
    <row r="2448" spans="1:42" ht="15.6">
      <c r="A2448" s="1" t="s">
        <v>46</v>
      </c>
      <c r="B2448" s="1" t="s">
        <v>4936</v>
      </c>
      <c r="C2448" s="1" t="s">
        <v>4936</v>
      </c>
      <c r="E2448" s="13" t="s">
        <v>4937</v>
      </c>
      <c r="G2448" s="16">
        <v>3.5</v>
      </c>
      <c r="M2448">
        <v>1</v>
      </c>
      <c r="N2448">
        <v>93</v>
      </c>
      <c r="O2448">
        <v>0</v>
      </c>
      <c r="P2448">
        <v>0.5</v>
      </c>
      <c r="Q2448">
        <v>46.5</v>
      </c>
      <c r="R2448">
        <v>0</v>
      </c>
      <c r="S2448">
        <v>0</v>
      </c>
      <c r="T2448" t="s">
        <v>52</v>
      </c>
      <c r="U2448">
        <v>0</v>
      </c>
      <c r="V2448">
        <v>0</v>
      </c>
      <c r="W2448">
        <v>400017</v>
      </c>
      <c r="X2448" t="s">
        <v>56</v>
      </c>
      <c r="Y2448" t="s">
        <v>57</v>
      </c>
      <c r="AE2448">
        <v>0</v>
      </c>
      <c r="AP2448" t="s">
        <v>49</v>
      </c>
    </row>
    <row r="2449" spans="1:42" ht="15.6">
      <c r="A2449" s="1" t="s">
        <v>46</v>
      </c>
      <c r="B2449" s="1" t="s">
        <v>4938</v>
      </c>
      <c r="C2449" s="1" t="s">
        <v>4938</v>
      </c>
      <c r="E2449" s="13" t="s">
        <v>4939</v>
      </c>
      <c r="G2449" s="16"/>
      <c r="M2449">
        <v>1</v>
      </c>
      <c r="N2449">
        <v>-1502</v>
      </c>
      <c r="O2449">
        <v>0</v>
      </c>
      <c r="P2449">
        <v>0.03</v>
      </c>
      <c r="Q2449">
        <v>-39.049999999999997</v>
      </c>
      <c r="R2449">
        <v>0</v>
      </c>
      <c r="S2449">
        <v>0</v>
      </c>
      <c r="T2449" t="s">
        <v>52</v>
      </c>
      <c r="W2449">
        <v>400055</v>
      </c>
      <c r="AE2449">
        <v>0</v>
      </c>
      <c r="AP2449" t="s">
        <v>1236</v>
      </c>
    </row>
    <row r="2450" spans="1:42" ht="15.6">
      <c r="A2450" s="1" t="s">
        <v>46</v>
      </c>
      <c r="B2450" s="1" t="s">
        <v>4940</v>
      </c>
      <c r="C2450" s="1" t="s">
        <v>4940</v>
      </c>
      <c r="E2450" s="13" t="s">
        <v>4941</v>
      </c>
      <c r="G2450" s="16"/>
      <c r="M2450">
        <v>1</v>
      </c>
      <c r="N2450">
        <v>541</v>
      </c>
      <c r="O2450">
        <v>0</v>
      </c>
      <c r="P2450">
        <v>1.08</v>
      </c>
      <c r="Q2450">
        <v>586.08000000000004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400017</v>
      </c>
      <c r="X2450" t="s">
        <v>56</v>
      </c>
      <c r="Y2450" t="s">
        <v>57</v>
      </c>
      <c r="AE2450">
        <v>0</v>
      </c>
      <c r="AP2450" t="s">
        <v>49</v>
      </c>
    </row>
    <row r="2451" spans="1:42" ht="15.6">
      <c r="A2451" s="1" t="s">
        <v>46</v>
      </c>
      <c r="B2451" s="1" t="s">
        <v>4942</v>
      </c>
      <c r="C2451" s="1" t="s">
        <v>4942</v>
      </c>
      <c r="E2451" s="13" t="s">
        <v>4943</v>
      </c>
      <c r="G2451" s="16"/>
      <c r="M2451">
        <v>1</v>
      </c>
      <c r="N2451">
        <v>628</v>
      </c>
      <c r="O2451">
        <v>0</v>
      </c>
      <c r="P2451">
        <v>2.5</v>
      </c>
      <c r="Q2451">
        <v>1570</v>
      </c>
      <c r="R2451">
        <v>0</v>
      </c>
      <c r="S2451">
        <v>0</v>
      </c>
      <c r="T2451" t="s">
        <v>52</v>
      </c>
      <c r="U2451">
        <v>0</v>
      </c>
      <c r="V2451">
        <v>0</v>
      </c>
      <c r="W2451">
        <v>400017</v>
      </c>
      <c r="X2451" t="s">
        <v>56</v>
      </c>
      <c r="Y2451" t="s">
        <v>57</v>
      </c>
      <c r="AE2451">
        <v>0</v>
      </c>
      <c r="AP2451" t="s">
        <v>49</v>
      </c>
    </row>
    <row r="2452" spans="1:42" ht="15.6">
      <c r="A2452" s="1" t="s">
        <v>46</v>
      </c>
      <c r="B2452" s="1" t="s">
        <v>4944</v>
      </c>
      <c r="C2452" s="1" t="s">
        <v>4944</v>
      </c>
      <c r="E2452" s="13" t="s">
        <v>4945</v>
      </c>
      <c r="G2452" s="16">
        <v>1</v>
      </c>
      <c r="M2452">
        <v>1</v>
      </c>
      <c r="N2452">
        <v>-2</v>
      </c>
      <c r="O2452">
        <v>0</v>
      </c>
      <c r="P2452">
        <v>4.5</v>
      </c>
      <c r="Q2452">
        <v>-9</v>
      </c>
      <c r="R2452">
        <v>0</v>
      </c>
      <c r="S2452">
        <v>0</v>
      </c>
      <c r="T2452">
        <v>0</v>
      </c>
      <c r="W2452">
        <v>400017</v>
      </c>
      <c r="AE2452">
        <v>0</v>
      </c>
      <c r="AP2452" t="s">
        <v>49</v>
      </c>
    </row>
    <row r="2453" spans="1:42" ht="15.6">
      <c r="A2453" s="1" t="s">
        <v>46</v>
      </c>
      <c r="B2453" s="1" t="s">
        <v>4946</v>
      </c>
      <c r="C2453" s="1" t="s">
        <v>4946</v>
      </c>
      <c r="E2453" s="13" t="s">
        <v>4947</v>
      </c>
      <c r="G2453" s="16"/>
      <c r="M2453">
        <v>1</v>
      </c>
      <c r="N2453">
        <v>91</v>
      </c>
      <c r="O2453">
        <v>0</v>
      </c>
      <c r="P2453">
        <v>2.5</v>
      </c>
      <c r="Q2453">
        <v>227.5</v>
      </c>
      <c r="R2453">
        <v>0</v>
      </c>
      <c r="S2453">
        <v>0</v>
      </c>
      <c r="T2453">
        <v>0</v>
      </c>
      <c r="U2453" t="s">
        <v>52</v>
      </c>
      <c r="W2453">
        <v>400158</v>
      </c>
      <c r="AE2453">
        <v>0</v>
      </c>
      <c r="AP2453" t="s">
        <v>61</v>
      </c>
    </row>
    <row r="2454" spans="1:42" ht="15.6">
      <c r="A2454" s="1" t="s">
        <v>46</v>
      </c>
      <c r="B2454" s="1" t="s">
        <v>4948</v>
      </c>
      <c r="C2454" s="1" t="s">
        <v>4948</v>
      </c>
      <c r="E2454" s="13" t="s">
        <v>4949</v>
      </c>
      <c r="G2454" s="16">
        <v>2</v>
      </c>
      <c r="M2454">
        <v>1</v>
      </c>
      <c r="N2454">
        <v>43</v>
      </c>
      <c r="O2454">
        <v>0</v>
      </c>
      <c r="P2454">
        <v>2</v>
      </c>
      <c r="Q2454">
        <v>86</v>
      </c>
      <c r="R2454">
        <v>0</v>
      </c>
      <c r="S2454">
        <v>0</v>
      </c>
      <c r="T2454">
        <v>0</v>
      </c>
      <c r="U2454" t="s">
        <v>52</v>
      </c>
      <c r="W2454">
        <v>400158</v>
      </c>
      <c r="AE2454">
        <v>0</v>
      </c>
      <c r="AP2454" t="s">
        <v>61</v>
      </c>
    </row>
    <row r="2455" spans="1:42" ht="15.6">
      <c r="A2455" s="1" t="s">
        <v>46</v>
      </c>
      <c r="B2455" s="1" t="s">
        <v>4950</v>
      </c>
      <c r="C2455" s="1" t="s">
        <v>4950</v>
      </c>
      <c r="E2455" s="13" t="s">
        <v>4951</v>
      </c>
      <c r="G2455" s="16"/>
      <c r="M2455">
        <v>1</v>
      </c>
      <c r="N2455">
        <v>79</v>
      </c>
      <c r="O2455">
        <v>0</v>
      </c>
      <c r="P2455">
        <v>0.65</v>
      </c>
      <c r="Q2455">
        <v>51.35</v>
      </c>
      <c r="R2455">
        <v>0</v>
      </c>
      <c r="S2455">
        <v>0</v>
      </c>
      <c r="T2455" t="s">
        <v>52</v>
      </c>
      <c r="U2455">
        <v>0</v>
      </c>
      <c r="V2455">
        <v>0</v>
      </c>
      <c r="W2455">
        <v>400017</v>
      </c>
      <c r="AE2455">
        <v>0</v>
      </c>
      <c r="AP2455" t="s">
        <v>49</v>
      </c>
    </row>
    <row r="2456" spans="1:42" ht="15.6">
      <c r="A2456" s="1" t="s">
        <v>46</v>
      </c>
      <c r="B2456" s="1" t="s">
        <v>4952</v>
      </c>
      <c r="C2456" s="1" t="s">
        <v>4952</v>
      </c>
      <c r="E2456" s="13" t="s">
        <v>4953</v>
      </c>
      <c r="G2456" s="16"/>
      <c r="M2456">
        <v>1</v>
      </c>
      <c r="N2456">
        <v>12</v>
      </c>
      <c r="O2456">
        <v>0</v>
      </c>
      <c r="P2456">
        <v>1.5</v>
      </c>
      <c r="Q2456">
        <v>18</v>
      </c>
      <c r="R2456">
        <v>0</v>
      </c>
      <c r="S2456">
        <v>0</v>
      </c>
      <c r="T2456">
        <v>0</v>
      </c>
      <c r="W2456">
        <v>400017</v>
      </c>
      <c r="AE2456">
        <v>0</v>
      </c>
      <c r="AP2456" t="s">
        <v>49</v>
      </c>
    </row>
    <row r="2457" spans="1:42" ht="15.6">
      <c r="A2457" s="1" t="s">
        <v>46</v>
      </c>
      <c r="B2457" s="1" t="s">
        <v>4954</v>
      </c>
      <c r="C2457" s="1" t="s">
        <v>4954</v>
      </c>
      <c r="E2457" s="13" t="s">
        <v>4955</v>
      </c>
      <c r="G2457" s="16"/>
      <c r="M2457">
        <v>1</v>
      </c>
      <c r="N2457">
        <v>13</v>
      </c>
      <c r="O2457">
        <v>0</v>
      </c>
      <c r="P2457">
        <v>11.7</v>
      </c>
      <c r="Q2457">
        <v>152.1</v>
      </c>
      <c r="R2457">
        <v>0</v>
      </c>
      <c r="S2457">
        <v>0</v>
      </c>
      <c r="T2457">
        <v>0</v>
      </c>
      <c r="W2457">
        <v>400163</v>
      </c>
      <c r="AE2457">
        <v>0</v>
      </c>
      <c r="AP2457" t="s">
        <v>4792</v>
      </c>
    </row>
    <row r="2458" spans="1:42" ht="15.6">
      <c r="A2458" s="1" t="s">
        <v>46</v>
      </c>
      <c r="B2458" s="1" t="s">
        <v>4956</v>
      </c>
      <c r="C2458" s="1" t="s">
        <v>4956</v>
      </c>
      <c r="E2458" s="13" t="s">
        <v>4957</v>
      </c>
      <c r="G2458" s="16"/>
      <c r="M2458">
        <v>1</v>
      </c>
      <c r="N2458">
        <v>24</v>
      </c>
      <c r="O2458">
        <v>0</v>
      </c>
      <c r="P2458">
        <v>16.190000000000001</v>
      </c>
      <c r="Q2458">
        <v>388.54</v>
      </c>
      <c r="R2458">
        <v>0</v>
      </c>
      <c r="S2458">
        <v>0</v>
      </c>
      <c r="T2458">
        <v>0</v>
      </c>
      <c r="W2458">
        <v>400163</v>
      </c>
      <c r="AE2458">
        <v>0</v>
      </c>
      <c r="AP2458" t="s">
        <v>4792</v>
      </c>
    </row>
    <row r="2459" spans="1:42" ht="15.6">
      <c r="A2459" s="1" t="s">
        <v>46</v>
      </c>
      <c r="B2459" s="1" t="s">
        <v>4958</v>
      </c>
      <c r="C2459" s="1" t="s">
        <v>4958</v>
      </c>
      <c r="E2459" s="13" t="s">
        <v>4959</v>
      </c>
      <c r="G2459" s="16">
        <v>1</v>
      </c>
      <c r="M2459">
        <v>1</v>
      </c>
      <c r="N2459">
        <v>12</v>
      </c>
      <c r="O2459">
        <v>0</v>
      </c>
      <c r="P2459">
        <v>20</v>
      </c>
      <c r="Q2459">
        <v>240</v>
      </c>
      <c r="W2459">
        <v>410082</v>
      </c>
      <c r="AE2459">
        <v>0</v>
      </c>
      <c r="AP2459" t="s">
        <v>4960</v>
      </c>
    </row>
    <row r="2460" spans="1:42" ht="15.6">
      <c r="A2460" s="1" t="s">
        <v>46</v>
      </c>
      <c r="B2460" s="1" t="s">
        <v>4961</v>
      </c>
      <c r="C2460" s="1" t="s">
        <v>4961</v>
      </c>
      <c r="E2460" s="13" t="s">
        <v>4962</v>
      </c>
      <c r="G2460" s="16">
        <v>6.5</v>
      </c>
      <c r="M2460">
        <v>1</v>
      </c>
      <c r="N2460">
        <v>-7</v>
      </c>
      <c r="O2460">
        <v>0</v>
      </c>
      <c r="P2460">
        <v>16.66</v>
      </c>
      <c r="Q2460">
        <v>-116.59</v>
      </c>
      <c r="R2460">
        <v>0</v>
      </c>
      <c r="S2460">
        <v>0</v>
      </c>
      <c r="T2460" t="s">
        <v>52</v>
      </c>
      <c r="W2460">
        <v>400160</v>
      </c>
      <c r="AE2460">
        <v>0</v>
      </c>
      <c r="AP2460" t="s">
        <v>201</v>
      </c>
    </row>
    <row r="2461" spans="1:42" ht="15.6">
      <c r="A2461" s="1" t="s">
        <v>46</v>
      </c>
      <c r="B2461" s="1" t="s">
        <v>4963</v>
      </c>
      <c r="C2461" s="1" t="s">
        <v>4963</v>
      </c>
      <c r="E2461" s="13" t="s">
        <v>4964</v>
      </c>
      <c r="G2461" s="16"/>
      <c r="M2461">
        <v>1</v>
      </c>
      <c r="N2461">
        <v>12</v>
      </c>
      <c r="O2461">
        <v>0</v>
      </c>
      <c r="P2461">
        <v>1.89</v>
      </c>
      <c r="Q2461">
        <v>22.72</v>
      </c>
      <c r="R2461">
        <v>0</v>
      </c>
      <c r="S2461">
        <v>0</v>
      </c>
      <c r="T2461" t="s">
        <v>52</v>
      </c>
      <c r="W2461">
        <v>400055</v>
      </c>
      <c r="AE2461">
        <v>0</v>
      </c>
      <c r="AP2461" t="s">
        <v>1236</v>
      </c>
    </row>
    <row r="2462" spans="1:42" ht="15.6">
      <c r="A2462" s="1" t="s">
        <v>46</v>
      </c>
      <c r="B2462" s="1" t="s">
        <v>4965</v>
      </c>
      <c r="C2462" s="1" t="s">
        <v>4965</v>
      </c>
      <c r="E2462" s="13" t="s">
        <v>4966</v>
      </c>
      <c r="G2462" s="16">
        <v>7</v>
      </c>
      <c r="M2462">
        <v>1</v>
      </c>
      <c r="N2462">
        <v>-14</v>
      </c>
      <c r="O2462">
        <v>0</v>
      </c>
      <c r="P2462">
        <v>0.65</v>
      </c>
      <c r="Q2462">
        <v>-9.1</v>
      </c>
      <c r="R2462">
        <v>0</v>
      </c>
      <c r="S2462">
        <v>0</v>
      </c>
      <c r="T2462" t="s">
        <v>52</v>
      </c>
      <c r="W2462">
        <v>400017</v>
      </c>
      <c r="AE2462">
        <v>0</v>
      </c>
      <c r="AP2462" t="s">
        <v>49</v>
      </c>
    </row>
    <row r="2463" spans="1:42" ht="15.6">
      <c r="A2463" s="1" t="s">
        <v>46</v>
      </c>
      <c r="B2463" s="1" t="s">
        <v>4967</v>
      </c>
      <c r="C2463" s="1" t="s">
        <v>4967</v>
      </c>
      <c r="E2463" s="13" t="s">
        <v>4968</v>
      </c>
      <c r="G2463" s="16"/>
      <c r="M2463">
        <v>1</v>
      </c>
      <c r="N2463">
        <v>218</v>
      </c>
      <c r="O2463">
        <v>0</v>
      </c>
      <c r="P2463">
        <v>0.33</v>
      </c>
      <c r="Q2463">
        <v>71.94</v>
      </c>
      <c r="R2463">
        <v>0</v>
      </c>
      <c r="S2463">
        <v>0</v>
      </c>
      <c r="T2463" t="s">
        <v>52</v>
      </c>
      <c r="W2463">
        <v>400110</v>
      </c>
      <c r="AE2463">
        <v>0</v>
      </c>
      <c r="AP2463" t="s">
        <v>344</v>
      </c>
    </row>
    <row r="2464" spans="1:42" ht="15.6">
      <c r="E2464" s="13" t="s">
        <v>4969</v>
      </c>
      <c r="G2464" s="16"/>
    </row>
    <row r="2465" spans="1:42" ht="15.6">
      <c r="E2465" s="13" t="s">
        <v>4970</v>
      </c>
      <c r="G2465" s="16">
        <v>7</v>
      </c>
    </row>
    <row r="2466" spans="1:42" ht="15.6">
      <c r="E2466" s="13" t="s">
        <v>4971</v>
      </c>
      <c r="G2466" s="16"/>
    </row>
    <row r="2467" spans="1:42" ht="15.6">
      <c r="E2467" s="13" t="s">
        <v>4972</v>
      </c>
      <c r="G2467" s="16">
        <v>7</v>
      </c>
    </row>
    <row r="2468" spans="1:42" ht="15.6">
      <c r="E2468" s="13" t="s">
        <v>4973</v>
      </c>
      <c r="G2468" s="16">
        <v>7</v>
      </c>
    </row>
    <row r="2469" spans="1:42" ht="15.6">
      <c r="A2469" s="1"/>
      <c r="B2469" s="1"/>
      <c r="C2469" s="1"/>
      <c r="E2469" s="13" t="s">
        <v>4974</v>
      </c>
      <c r="G2469" s="16">
        <v>7</v>
      </c>
    </row>
    <row r="2470" spans="1:42" ht="15.6">
      <c r="E2470" s="13" t="s">
        <v>4975</v>
      </c>
      <c r="G2470" s="16">
        <v>6</v>
      </c>
    </row>
    <row r="2471" spans="1:42" ht="15.6">
      <c r="E2471" s="13" t="s">
        <v>4976</v>
      </c>
      <c r="G2471" s="16">
        <v>1</v>
      </c>
    </row>
    <row r="2472" spans="1:42" ht="15.6">
      <c r="A2472" s="1" t="s">
        <v>46</v>
      </c>
      <c r="B2472" s="1" t="s">
        <v>4977</v>
      </c>
      <c r="C2472" s="1" t="s">
        <v>4977</v>
      </c>
      <c r="E2472" s="13" t="s">
        <v>4978</v>
      </c>
      <c r="G2472" s="16"/>
      <c r="M2472">
        <v>1</v>
      </c>
      <c r="N2472">
        <v>8</v>
      </c>
      <c r="O2472">
        <v>0</v>
      </c>
      <c r="P2472">
        <v>2.75</v>
      </c>
      <c r="Q2472">
        <v>22</v>
      </c>
      <c r="R2472">
        <v>0</v>
      </c>
      <c r="S2472">
        <v>0</v>
      </c>
      <c r="T2472" t="s">
        <v>52</v>
      </c>
      <c r="W2472">
        <v>400030</v>
      </c>
      <c r="AE2472">
        <v>0</v>
      </c>
      <c r="AP2472" t="s">
        <v>92</v>
      </c>
    </row>
    <row r="2473" spans="1:42" ht="15.6">
      <c r="E2473" s="13" t="s">
        <v>4979</v>
      </c>
      <c r="G2473" s="16">
        <v>0.65</v>
      </c>
    </row>
    <row r="2474" spans="1:42" ht="15.6">
      <c r="A2474" s="1"/>
      <c r="B2474" s="1"/>
      <c r="C2474" s="1"/>
      <c r="E2474" s="13" t="s">
        <v>4980</v>
      </c>
      <c r="G2474" s="16">
        <v>0.65</v>
      </c>
    </row>
    <row r="2475" spans="1:42" ht="15.6">
      <c r="A2475" s="1" t="s">
        <v>46</v>
      </c>
      <c r="B2475" s="1" t="s">
        <v>4981</v>
      </c>
      <c r="C2475" s="1" t="s">
        <v>4981</v>
      </c>
      <c r="E2475" s="13" t="s">
        <v>4982</v>
      </c>
      <c r="G2475" s="16">
        <v>0.65</v>
      </c>
      <c r="M2475">
        <v>1</v>
      </c>
      <c r="N2475">
        <v>-2</v>
      </c>
      <c r="O2475">
        <v>0</v>
      </c>
      <c r="P2475">
        <v>0.5</v>
      </c>
      <c r="Q2475">
        <v>-1</v>
      </c>
      <c r="R2475">
        <v>0</v>
      </c>
      <c r="S2475">
        <v>0</v>
      </c>
      <c r="T2475" t="s">
        <v>52</v>
      </c>
      <c r="W2475">
        <v>400002</v>
      </c>
      <c r="AE2475">
        <v>0</v>
      </c>
      <c r="AP2475" t="s">
        <v>116</v>
      </c>
    </row>
    <row r="2476" spans="1:42" ht="15.6">
      <c r="A2476" s="1" t="s">
        <v>46</v>
      </c>
      <c r="B2476" s="1" t="s">
        <v>4983</v>
      </c>
      <c r="C2476" s="1" t="s">
        <v>4983</v>
      </c>
      <c r="E2476" s="13" t="s">
        <v>4984</v>
      </c>
      <c r="G2476" s="16"/>
      <c r="M2476">
        <v>1</v>
      </c>
      <c r="N2476">
        <v>844</v>
      </c>
      <c r="O2476">
        <v>0</v>
      </c>
      <c r="P2476">
        <v>7.0000000000000007E-2</v>
      </c>
      <c r="Q2476">
        <v>59.08</v>
      </c>
      <c r="R2476">
        <v>0</v>
      </c>
      <c r="S2476">
        <v>0</v>
      </c>
      <c r="T2476" t="s">
        <v>52</v>
      </c>
      <c r="W2476">
        <v>400158</v>
      </c>
      <c r="AE2476">
        <v>0</v>
      </c>
      <c r="AP2476" t="s">
        <v>61</v>
      </c>
    </row>
    <row r="2477" spans="1:42" ht="15.6">
      <c r="A2477" s="1" t="s">
        <v>46</v>
      </c>
      <c r="B2477" s="1" t="s">
        <v>4985</v>
      </c>
      <c r="C2477" s="1" t="s">
        <v>4985</v>
      </c>
      <c r="E2477" s="13" t="s">
        <v>4986</v>
      </c>
      <c r="G2477" s="16">
        <v>0.5</v>
      </c>
      <c r="M2477">
        <v>1</v>
      </c>
      <c r="N2477">
        <v>3</v>
      </c>
      <c r="O2477">
        <v>0</v>
      </c>
      <c r="P2477">
        <v>1.1200000000000001</v>
      </c>
      <c r="Q2477">
        <v>3.35</v>
      </c>
      <c r="R2477">
        <v>0</v>
      </c>
      <c r="S2477">
        <v>0</v>
      </c>
      <c r="T2477" t="s">
        <v>52</v>
      </c>
      <c r="U2477">
        <v>0</v>
      </c>
      <c r="V2477">
        <v>0</v>
      </c>
      <c r="W2477">
        <v>400013</v>
      </c>
      <c r="X2477" t="s">
        <v>56</v>
      </c>
      <c r="Y2477" t="s">
        <v>57</v>
      </c>
      <c r="AE2477">
        <v>0</v>
      </c>
      <c r="AP2477" t="s">
        <v>232</v>
      </c>
    </row>
    <row r="2478" spans="1:42" ht="15.6">
      <c r="A2478" s="1" t="s">
        <v>46</v>
      </c>
      <c r="B2478" s="1" t="s">
        <v>4987</v>
      </c>
      <c r="C2478" s="1" t="s">
        <v>4987</v>
      </c>
      <c r="E2478" s="13" t="s">
        <v>4988</v>
      </c>
      <c r="G2478" s="16">
        <v>3.5</v>
      </c>
      <c r="M2478">
        <v>1</v>
      </c>
      <c r="N2478">
        <v>152</v>
      </c>
      <c r="O2478">
        <v>0</v>
      </c>
      <c r="P2478">
        <v>1</v>
      </c>
      <c r="Q2478">
        <v>152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400002</v>
      </c>
      <c r="AE2478">
        <v>0</v>
      </c>
      <c r="AP2478" t="s">
        <v>116</v>
      </c>
    </row>
    <row r="2479" spans="1:42" ht="15.6">
      <c r="A2479" s="1" t="s">
        <v>46</v>
      </c>
      <c r="B2479" s="1" t="s">
        <v>4989</v>
      </c>
      <c r="C2479" s="1" t="s">
        <v>4989</v>
      </c>
      <c r="E2479" s="13" t="s">
        <v>4990</v>
      </c>
      <c r="G2479" s="16"/>
      <c r="M2479">
        <v>1</v>
      </c>
      <c r="N2479">
        <v>92</v>
      </c>
      <c r="O2479">
        <v>0</v>
      </c>
      <c r="P2479">
        <v>2</v>
      </c>
      <c r="Q2479">
        <v>184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400002</v>
      </c>
      <c r="AE2479">
        <v>0</v>
      </c>
      <c r="AP2479" t="s">
        <v>116</v>
      </c>
    </row>
    <row r="2480" spans="1:42" ht="15.6">
      <c r="A2480" s="1" t="s">
        <v>46</v>
      </c>
      <c r="B2480" s="1" t="s">
        <v>4991</v>
      </c>
      <c r="C2480" s="1" t="s">
        <v>4991</v>
      </c>
      <c r="E2480" s="13" t="s">
        <v>4992</v>
      </c>
      <c r="G2480" s="16">
        <v>4</v>
      </c>
      <c r="M2480">
        <v>1</v>
      </c>
      <c r="N2480">
        <v>270</v>
      </c>
      <c r="O2480">
        <v>0</v>
      </c>
      <c r="P2480">
        <v>0.45</v>
      </c>
      <c r="Q2480">
        <v>121.5</v>
      </c>
      <c r="R2480">
        <v>0</v>
      </c>
      <c r="S2480">
        <v>0</v>
      </c>
      <c r="T2480" t="s">
        <v>52</v>
      </c>
      <c r="W2480">
        <v>400033</v>
      </c>
      <c r="AE2480">
        <v>0</v>
      </c>
      <c r="AP2480" t="s">
        <v>126</v>
      </c>
    </row>
    <row r="2481" spans="1:42" ht="15.6">
      <c r="A2481" s="1" t="s">
        <v>46</v>
      </c>
      <c r="B2481" s="1" t="s">
        <v>4993</v>
      </c>
      <c r="C2481" s="1" t="s">
        <v>4993</v>
      </c>
      <c r="E2481" s="13" t="s">
        <v>4994</v>
      </c>
      <c r="G2481" s="16"/>
      <c r="M2481">
        <v>1</v>
      </c>
      <c r="N2481">
        <v>-6</v>
      </c>
      <c r="O2481">
        <v>0</v>
      </c>
      <c r="P2481">
        <v>1</v>
      </c>
      <c r="Q2481">
        <v>-6</v>
      </c>
      <c r="R2481">
        <v>0</v>
      </c>
      <c r="S2481">
        <v>0</v>
      </c>
      <c r="T2481" t="s">
        <v>52</v>
      </c>
      <c r="W2481">
        <v>400017</v>
      </c>
      <c r="AE2481">
        <v>0</v>
      </c>
      <c r="AP2481" t="s">
        <v>49</v>
      </c>
    </row>
    <row r="2482" spans="1:42" ht="15.6">
      <c r="A2482" s="1" t="s">
        <v>46</v>
      </c>
      <c r="B2482" s="1" t="s">
        <v>4995</v>
      </c>
      <c r="C2482" s="1" t="s">
        <v>4995</v>
      </c>
      <c r="E2482" s="13" t="s">
        <v>397</v>
      </c>
      <c r="G2482" s="16"/>
      <c r="M2482">
        <v>1</v>
      </c>
      <c r="N2482">
        <v>-78</v>
      </c>
      <c r="O2482">
        <v>0</v>
      </c>
      <c r="P2482">
        <v>3.1</v>
      </c>
      <c r="Q2482">
        <v>-241.8</v>
      </c>
      <c r="R2482">
        <v>0</v>
      </c>
      <c r="S2482">
        <v>0</v>
      </c>
      <c r="T2482" t="s">
        <v>52</v>
      </c>
      <c r="W2482">
        <v>400128</v>
      </c>
      <c r="AE2482">
        <v>0</v>
      </c>
      <c r="AP2482" t="s">
        <v>1180</v>
      </c>
    </row>
    <row r="2483" spans="1:42" ht="15.6">
      <c r="A2483" s="1" t="s">
        <v>46</v>
      </c>
      <c r="B2483" s="1" t="s">
        <v>4996</v>
      </c>
      <c r="C2483" s="1" t="s">
        <v>4996</v>
      </c>
      <c r="E2483" s="13" t="s">
        <v>399</v>
      </c>
      <c r="G2483" s="16"/>
      <c r="M2483">
        <v>1</v>
      </c>
      <c r="N2483">
        <v>128</v>
      </c>
      <c r="O2483">
        <v>0</v>
      </c>
      <c r="P2483">
        <v>3.75</v>
      </c>
      <c r="Q2483">
        <v>480</v>
      </c>
      <c r="R2483">
        <v>0</v>
      </c>
      <c r="S2483">
        <v>0</v>
      </c>
      <c r="T2483" t="s">
        <v>52</v>
      </c>
      <c r="W2483">
        <v>400103</v>
      </c>
      <c r="AE2483">
        <v>0</v>
      </c>
      <c r="AP2483" t="s">
        <v>261</v>
      </c>
    </row>
    <row r="2484" spans="1:42" ht="15.6">
      <c r="A2484" s="1" t="s">
        <v>46</v>
      </c>
      <c r="B2484" s="1" t="s">
        <v>4997</v>
      </c>
      <c r="C2484" s="1" t="s">
        <v>4997</v>
      </c>
      <c r="E2484" s="13" t="s">
        <v>401</v>
      </c>
      <c r="G2484" s="16"/>
      <c r="M2484">
        <v>1</v>
      </c>
      <c r="N2484">
        <v>182</v>
      </c>
      <c r="O2484">
        <v>0</v>
      </c>
      <c r="P2484">
        <v>4.75</v>
      </c>
      <c r="Q2484">
        <v>864.5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400028</v>
      </c>
      <c r="AE2484">
        <v>0</v>
      </c>
      <c r="AP2484" t="s">
        <v>246</v>
      </c>
    </row>
    <row r="2485" spans="1:42" ht="15.6">
      <c r="A2485" s="1" t="s">
        <v>46</v>
      </c>
      <c r="B2485" s="1" t="s">
        <v>4998</v>
      </c>
      <c r="C2485" s="1" t="s">
        <v>4998</v>
      </c>
      <c r="E2485" s="13" t="s">
        <v>403</v>
      </c>
      <c r="G2485" s="16">
        <v>0.65</v>
      </c>
      <c r="M2485">
        <v>1</v>
      </c>
      <c r="N2485">
        <v>12</v>
      </c>
      <c r="O2485">
        <v>0</v>
      </c>
      <c r="P2485">
        <v>5</v>
      </c>
      <c r="Q2485">
        <v>60</v>
      </c>
      <c r="W2485">
        <v>400028</v>
      </c>
      <c r="AE2485">
        <v>0</v>
      </c>
      <c r="AP2485" t="s">
        <v>246</v>
      </c>
    </row>
    <row r="2486" spans="1:42" ht="15.6">
      <c r="A2486" s="1" t="s">
        <v>46</v>
      </c>
      <c r="B2486" s="1" t="s">
        <v>4999</v>
      </c>
      <c r="C2486" s="1" t="s">
        <v>4999</v>
      </c>
      <c r="E2486" s="13" t="s">
        <v>406</v>
      </c>
      <c r="G2486" s="16">
        <v>0.65</v>
      </c>
      <c r="M2486">
        <v>1</v>
      </c>
      <c r="N2486">
        <v>10</v>
      </c>
      <c r="O2486">
        <v>0</v>
      </c>
      <c r="P2486">
        <v>5</v>
      </c>
      <c r="Q2486">
        <v>50</v>
      </c>
      <c r="W2486">
        <v>400028</v>
      </c>
      <c r="AE2486">
        <v>0</v>
      </c>
      <c r="AP2486" t="s">
        <v>246</v>
      </c>
    </row>
    <row r="2487" spans="1:42" ht="15.6">
      <c r="E2487" s="13" t="s">
        <v>5000</v>
      </c>
      <c r="G2487" s="16"/>
    </row>
    <row r="2488" spans="1:42" ht="15.6">
      <c r="A2488" s="1" t="s">
        <v>46</v>
      </c>
      <c r="B2488" s="1" t="s">
        <v>5001</v>
      </c>
      <c r="C2488" s="1" t="s">
        <v>5001</v>
      </c>
      <c r="E2488" s="13" t="s">
        <v>5002</v>
      </c>
      <c r="G2488" s="16"/>
      <c r="M2488">
        <v>1</v>
      </c>
      <c r="N2488">
        <v>-9</v>
      </c>
      <c r="O2488">
        <v>0</v>
      </c>
      <c r="AE2488">
        <v>0</v>
      </c>
    </row>
    <row r="2489" spans="1:42" ht="15.6">
      <c r="A2489" s="1" t="s">
        <v>46</v>
      </c>
      <c r="B2489" s="1" t="s">
        <v>5003</v>
      </c>
      <c r="C2489" s="1" t="s">
        <v>5003</v>
      </c>
      <c r="E2489" s="13" t="s">
        <v>5004</v>
      </c>
      <c r="G2489" s="16"/>
      <c r="M2489">
        <v>1</v>
      </c>
      <c r="N2489">
        <v>54</v>
      </c>
      <c r="O2489">
        <v>0</v>
      </c>
      <c r="P2489">
        <v>39</v>
      </c>
      <c r="Q2489">
        <v>2106</v>
      </c>
      <c r="R2489">
        <v>0</v>
      </c>
      <c r="S2489">
        <v>0</v>
      </c>
      <c r="T2489" t="s">
        <v>52</v>
      </c>
      <c r="U2489">
        <v>0</v>
      </c>
      <c r="V2489">
        <v>0</v>
      </c>
      <c r="W2489">
        <v>400028</v>
      </c>
      <c r="AE2489">
        <v>0</v>
      </c>
      <c r="AP2489" t="s">
        <v>246</v>
      </c>
    </row>
    <row r="2490" spans="1:42" ht="15.6">
      <c r="E2490" s="13" t="s">
        <v>5005</v>
      </c>
      <c r="G2490" s="16">
        <v>8</v>
      </c>
    </row>
    <row r="2491" spans="1:42" ht="15.6">
      <c r="A2491" s="1" t="s">
        <v>46</v>
      </c>
      <c r="B2491" s="1" t="s">
        <v>5006</v>
      </c>
      <c r="C2491" s="1" t="s">
        <v>5006</v>
      </c>
      <c r="E2491" s="13" t="s">
        <v>5007</v>
      </c>
      <c r="G2491" s="16"/>
      <c r="M2491">
        <v>1</v>
      </c>
      <c r="N2491">
        <v>851</v>
      </c>
      <c r="O2491">
        <v>0</v>
      </c>
      <c r="P2491">
        <v>6.93</v>
      </c>
      <c r="Q2491">
        <v>5897.43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400120</v>
      </c>
      <c r="AE2491">
        <v>0</v>
      </c>
      <c r="AP2491" t="s">
        <v>468</v>
      </c>
    </row>
    <row r="2492" spans="1:42" ht="15.6">
      <c r="A2492" s="1" t="s">
        <v>46</v>
      </c>
      <c r="B2492" s="1" t="s">
        <v>5008</v>
      </c>
      <c r="C2492" s="1" t="s">
        <v>5008</v>
      </c>
      <c r="E2492" s="13" t="s">
        <v>5009</v>
      </c>
      <c r="G2492" s="16"/>
      <c r="M2492">
        <v>1</v>
      </c>
      <c r="N2492">
        <v>349</v>
      </c>
      <c r="O2492">
        <v>0</v>
      </c>
      <c r="P2492">
        <v>4.16</v>
      </c>
      <c r="Q2492">
        <v>1452.68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400120</v>
      </c>
      <c r="AE2492">
        <v>0</v>
      </c>
      <c r="AP2492" t="s">
        <v>468</v>
      </c>
    </row>
    <row r="2493" spans="1:42" ht="15.6">
      <c r="E2493" s="15" t="s">
        <v>5010</v>
      </c>
      <c r="G2493" s="16">
        <v>1</v>
      </c>
    </row>
    <row r="2494" spans="1:42" ht="15.6">
      <c r="A2494" s="1" t="s">
        <v>46</v>
      </c>
      <c r="B2494" s="1" t="s">
        <v>5011</v>
      </c>
      <c r="C2494" s="1" t="s">
        <v>5011</v>
      </c>
      <c r="E2494" s="15" t="s">
        <v>5012</v>
      </c>
      <c r="G2494" s="16"/>
      <c r="M2494">
        <v>1</v>
      </c>
      <c r="N2494">
        <v>95</v>
      </c>
      <c r="O2494">
        <v>0</v>
      </c>
      <c r="P2494">
        <v>1.75</v>
      </c>
      <c r="Q2494">
        <v>166.25</v>
      </c>
      <c r="R2494">
        <v>0</v>
      </c>
      <c r="S2494">
        <v>0</v>
      </c>
      <c r="T2494" t="s">
        <v>52</v>
      </c>
      <c r="U2494">
        <v>0</v>
      </c>
      <c r="V2494">
        <v>0</v>
      </c>
      <c r="W2494">
        <v>410120</v>
      </c>
      <c r="X2494" t="s">
        <v>56</v>
      </c>
      <c r="Y2494" t="s">
        <v>57</v>
      </c>
      <c r="AE2494">
        <v>0</v>
      </c>
      <c r="AP2494" t="s">
        <v>112</v>
      </c>
    </row>
    <row r="2495" spans="1:42" ht="15.6">
      <c r="A2495" s="1" t="s">
        <v>46</v>
      </c>
      <c r="B2495" s="1" t="s">
        <v>5013</v>
      </c>
      <c r="C2495" s="1" t="s">
        <v>5013</v>
      </c>
      <c r="E2495" s="15" t="s">
        <v>5014</v>
      </c>
      <c r="G2495" s="16"/>
      <c r="M2495">
        <v>1</v>
      </c>
      <c r="N2495">
        <v>1</v>
      </c>
      <c r="O2495">
        <v>0</v>
      </c>
      <c r="P2495">
        <v>18</v>
      </c>
      <c r="Q2495">
        <v>18</v>
      </c>
      <c r="W2495">
        <v>400061</v>
      </c>
      <c r="AE2495">
        <v>0</v>
      </c>
      <c r="AP2495" t="s">
        <v>169</v>
      </c>
    </row>
    <row r="2496" spans="1:42" ht="15.6">
      <c r="A2496" s="1" t="s">
        <v>46</v>
      </c>
      <c r="B2496" s="1" t="s">
        <v>5015</v>
      </c>
      <c r="C2496" s="1" t="s">
        <v>5015</v>
      </c>
      <c r="E2496" s="15" t="s">
        <v>5016</v>
      </c>
      <c r="G2496" s="16"/>
      <c r="M2496">
        <v>1</v>
      </c>
      <c r="N2496">
        <v>1</v>
      </c>
      <c r="O2496">
        <v>0</v>
      </c>
      <c r="P2496">
        <v>20</v>
      </c>
      <c r="Q2496">
        <v>20</v>
      </c>
      <c r="W2496">
        <v>400028</v>
      </c>
      <c r="AE2496">
        <v>0</v>
      </c>
      <c r="AP2496" t="s">
        <v>246</v>
      </c>
    </row>
    <row r="2497" spans="1:42" ht="15.6">
      <c r="A2497" s="1" t="s">
        <v>46</v>
      </c>
      <c r="B2497" s="1" t="s">
        <v>5017</v>
      </c>
      <c r="C2497" s="1" t="s">
        <v>5017</v>
      </c>
      <c r="E2497" s="15" t="s">
        <v>5018</v>
      </c>
      <c r="G2497" s="16"/>
      <c r="M2497">
        <v>1</v>
      </c>
      <c r="N2497">
        <v>218</v>
      </c>
      <c r="O2497">
        <v>0</v>
      </c>
      <c r="P2497">
        <v>3.25</v>
      </c>
      <c r="Q2497">
        <v>708.5</v>
      </c>
      <c r="R2497">
        <v>0</v>
      </c>
      <c r="S2497">
        <v>0</v>
      </c>
      <c r="T2497" t="s">
        <v>52</v>
      </c>
      <c r="U2497">
        <v>0</v>
      </c>
      <c r="V2497">
        <v>0</v>
      </c>
      <c r="W2497">
        <v>400046</v>
      </c>
      <c r="AE2497">
        <v>0</v>
      </c>
      <c r="AP2497" t="s">
        <v>407</v>
      </c>
    </row>
    <row r="2498" spans="1:42" ht="15.6">
      <c r="A2498" s="1" t="s">
        <v>46</v>
      </c>
      <c r="B2498" s="1" t="s">
        <v>5019</v>
      </c>
      <c r="C2498" s="1" t="s">
        <v>5019</v>
      </c>
      <c r="E2498" s="15" t="s">
        <v>5020</v>
      </c>
      <c r="G2498" s="16"/>
      <c r="M2498">
        <v>1</v>
      </c>
      <c r="N2498">
        <v>-12</v>
      </c>
      <c r="O2498">
        <v>0</v>
      </c>
      <c r="W2498">
        <v>400120</v>
      </c>
      <c r="AE2498">
        <v>0</v>
      </c>
      <c r="AP2498" t="s">
        <v>468</v>
      </c>
    </row>
    <row r="2499" spans="1:42" ht="15.6">
      <c r="A2499" s="1" t="s">
        <v>46</v>
      </c>
      <c r="B2499" s="1" t="s">
        <v>5021</v>
      </c>
      <c r="C2499" s="1" t="s">
        <v>5021</v>
      </c>
      <c r="E2499" s="15" t="s">
        <v>5022</v>
      </c>
      <c r="G2499" s="16">
        <v>2</v>
      </c>
      <c r="M2499">
        <v>1</v>
      </c>
      <c r="N2499">
        <v>902</v>
      </c>
      <c r="O2499">
        <v>0</v>
      </c>
      <c r="P2499">
        <v>1.9</v>
      </c>
      <c r="Q2499">
        <v>1713.8</v>
      </c>
      <c r="R2499">
        <v>0</v>
      </c>
      <c r="S2499">
        <v>0</v>
      </c>
      <c r="T2499" t="s">
        <v>52</v>
      </c>
      <c r="U2499">
        <v>0</v>
      </c>
      <c r="V2499">
        <v>0</v>
      </c>
      <c r="W2499">
        <v>400186</v>
      </c>
      <c r="X2499" t="s">
        <v>56</v>
      </c>
      <c r="Y2499" t="s">
        <v>57</v>
      </c>
      <c r="AE2499">
        <v>0</v>
      </c>
      <c r="AP2499" t="s">
        <v>120</v>
      </c>
    </row>
    <row r="2500" spans="1:42" ht="15.6">
      <c r="E2500" s="15" t="s">
        <v>908</v>
      </c>
      <c r="G2500" s="16">
        <v>0.5</v>
      </c>
    </row>
    <row r="2501" spans="1:42" ht="15.6">
      <c r="E2501" s="15" t="s">
        <v>910</v>
      </c>
      <c r="G2501" s="16">
        <v>0.65</v>
      </c>
    </row>
    <row r="2502" spans="1:42" ht="15.6">
      <c r="E2502" s="15" t="s">
        <v>912</v>
      </c>
      <c r="G2502" s="16">
        <v>0.75</v>
      </c>
    </row>
    <row r="2503" spans="1:42" ht="15.6">
      <c r="E2503" s="15" t="s">
        <v>913</v>
      </c>
      <c r="G2503" s="16">
        <v>1</v>
      </c>
    </row>
    <row r="2504" spans="1:42" ht="15.6">
      <c r="E2504" s="15" t="s">
        <v>914</v>
      </c>
      <c r="G2504" s="16">
        <v>0.5</v>
      </c>
    </row>
    <row r="2505" spans="1:42" ht="15.6">
      <c r="E2505" s="15" t="s">
        <v>915</v>
      </c>
      <c r="G2505" s="16">
        <v>0.5</v>
      </c>
    </row>
    <row r="2506" spans="1:42" ht="15.6">
      <c r="E2506" s="15" t="s">
        <v>5023</v>
      </c>
      <c r="G2506" s="16"/>
    </row>
    <row r="2507" spans="1:42" ht="15.6">
      <c r="E2507" s="15" t="s">
        <v>5024</v>
      </c>
      <c r="G2507" s="16"/>
    </row>
    <row r="2508" spans="1:42" ht="15.6">
      <c r="E2508" s="15" t="s">
        <v>5025</v>
      </c>
      <c r="G2508" s="16"/>
    </row>
    <row r="2509" spans="1:42" ht="15.6">
      <c r="E2509" s="15" t="s">
        <v>5026</v>
      </c>
      <c r="G2509" s="16"/>
    </row>
    <row r="2510" spans="1:42" ht="15.6">
      <c r="E2510" s="15" t="s">
        <v>5027</v>
      </c>
      <c r="G2510" s="16"/>
    </row>
    <row r="2511" spans="1:42" ht="15.6">
      <c r="E2511" s="15" t="s">
        <v>5028</v>
      </c>
      <c r="G2511" s="16"/>
    </row>
    <row r="2512" spans="1:42" ht="15.6">
      <c r="E2512" s="15" t="s">
        <v>5029</v>
      </c>
      <c r="G2512" s="16"/>
    </row>
    <row r="2513" spans="1:42" ht="15.6">
      <c r="E2513" s="15" t="s">
        <v>921</v>
      </c>
      <c r="G2513" s="16"/>
    </row>
    <row r="2514" spans="1:42" ht="15.6">
      <c r="E2514" s="15" t="s">
        <v>5030</v>
      </c>
      <c r="G2514" s="16"/>
    </row>
    <row r="2515" spans="1:42" ht="15.6">
      <c r="A2515" s="1" t="s">
        <v>46</v>
      </c>
      <c r="B2515" s="1" t="s">
        <v>5031</v>
      </c>
      <c r="C2515" s="1" t="s">
        <v>5031</v>
      </c>
      <c r="E2515" s="13" t="s">
        <v>5032</v>
      </c>
      <c r="G2515" s="16"/>
      <c r="M2515">
        <v>1</v>
      </c>
      <c r="N2515">
        <v>10</v>
      </c>
      <c r="O2515">
        <v>0</v>
      </c>
      <c r="P2515">
        <v>15.5</v>
      </c>
      <c r="Q2515">
        <v>155</v>
      </c>
      <c r="W2515">
        <v>400056</v>
      </c>
      <c r="AE2515">
        <v>0</v>
      </c>
      <c r="AP2515" t="s">
        <v>1797</v>
      </c>
    </row>
    <row r="2516" spans="1:42" ht="15.6">
      <c r="A2516" s="1" t="s">
        <v>46</v>
      </c>
      <c r="B2516" s="1" t="s">
        <v>5033</v>
      </c>
      <c r="C2516" s="1" t="s">
        <v>5033</v>
      </c>
      <c r="E2516" s="13" t="s">
        <v>5034</v>
      </c>
      <c r="G2516" s="16"/>
      <c r="M2516">
        <v>1</v>
      </c>
      <c r="N2516">
        <v>4</v>
      </c>
      <c r="O2516">
        <v>0</v>
      </c>
      <c r="P2516">
        <v>4.8600000000000003</v>
      </c>
      <c r="Q2516">
        <v>19.46</v>
      </c>
      <c r="AE2516">
        <v>0</v>
      </c>
    </row>
    <row r="2517" spans="1:42" ht="15.6">
      <c r="E2517" s="15" t="s">
        <v>5035</v>
      </c>
      <c r="G2517" s="16"/>
    </row>
    <row r="2518" spans="1:42" ht="15.6">
      <c r="A2518" s="1" t="s">
        <v>46</v>
      </c>
      <c r="B2518" s="1" t="s">
        <v>5036</v>
      </c>
      <c r="C2518" s="1" t="s">
        <v>5036</v>
      </c>
      <c r="E2518" s="15" t="s">
        <v>5037</v>
      </c>
      <c r="G2518" s="16"/>
      <c r="M2518">
        <v>1</v>
      </c>
      <c r="N2518">
        <v>87</v>
      </c>
      <c r="O2518">
        <v>0</v>
      </c>
      <c r="P2518">
        <v>6</v>
      </c>
      <c r="Q2518">
        <v>522</v>
      </c>
      <c r="R2518">
        <v>0</v>
      </c>
      <c r="S2518">
        <v>0</v>
      </c>
      <c r="T2518">
        <v>0</v>
      </c>
      <c r="W2518">
        <v>400017</v>
      </c>
      <c r="AE2518">
        <v>0</v>
      </c>
      <c r="AP2518" t="s">
        <v>49</v>
      </c>
    </row>
    <row r="2519" spans="1:42" ht="15.6">
      <c r="A2519" s="1" t="s">
        <v>46</v>
      </c>
      <c r="B2519" s="1" t="s">
        <v>5038</v>
      </c>
      <c r="C2519" s="1" t="s">
        <v>5038</v>
      </c>
      <c r="E2519" s="15" t="s">
        <v>5039</v>
      </c>
      <c r="G2519" s="16"/>
      <c r="M2519">
        <v>1</v>
      </c>
      <c r="N2519">
        <v>718</v>
      </c>
      <c r="O2519">
        <v>0</v>
      </c>
      <c r="P2519">
        <v>1.25</v>
      </c>
      <c r="Q2519">
        <v>897.5</v>
      </c>
      <c r="R2519">
        <v>0</v>
      </c>
      <c r="S2519">
        <v>0</v>
      </c>
      <c r="T2519">
        <v>0</v>
      </c>
      <c r="W2519">
        <v>400133</v>
      </c>
      <c r="AE2519">
        <v>0</v>
      </c>
      <c r="AP2519" t="s">
        <v>4040</v>
      </c>
    </row>
    <row r="2520" spans="1:42" ht="15.6">
      <c r="A2520" s="1" t="s">
        <v>46</v>
      </c>
      <c r="B2520" s="1" t="s">
        <v>5040</v>
      </c>
      <c r="C2520" s="1" t="s">
        <v>5040</v>
      </c>
      <c r="E2520" s="15" t="s">
        <v>5041</v>
      </c>
      <c r="G2520" s="16"/>
      <c r="M2520">
        <v>1</v>
      </c>
      <c r="N2520">
        <v>-1</v>
      </c>
      <c r="O2520">
        <v>0</v>
      </c>
      <c r="P2520">
        <v>68</v>
      </c>
      <c r="Q2520">
        <v>-68</v>
      </c>
      <c r="R2520">
        <v>0</v>
      </c>
      <c r="S2520">
        <v>0</v>
      </c>
      <c r="T2520" t="s">
        <v>52</v>
      </c>
      <c r="W2520">
        <v>400017</v>
      </c>
      <c r="AE2520">
        <v>0</v>
      </c>
      <c r="AP2520" t="s">
        <v>49</v>
      </c>
    </row>
    <row r="2521" spans="1:42" ht="15.6">
      <c r="A2521" s="1" t="s">
        <v>46</v>
      </c>
      <c r="B2521" s="1" t="s">
        <v>5042</v>
      </c>
      <c r="C2521" s="1" t="s">
        <v>5042</v>
      </c>
      <c r="E2521" s="15" t="s">
        <v>5043</v>
      </c>
      <c r="G2521" s="16"/>
      <c r="M2521">
        <v>1</v>
      </c>
      <c r="N2521">
        <v>94</v>
      </c>
      <c r="O2521">
        <v>0</v>
      </c>
      <c r="P2521">
        <v>5.5</v>
      </c>
      <c r="Q2521">
        <v>517</v>
      </c>
      <c r="R2521">
        <v>0</v>
      </c>
      <c r="S2521">
        <v>0</v>
      </c>
      <c r="T2521" t="s">
        <v>52</v>
      </c>
      <c r="W2521">
        <v>400017</v>
      </c>
      <c r="AE2521">
        <v>0</v>
      </c>
      <c r="AP2521" t="s">
        <v>49</v>
      </c>
    </row>
    <row r="2522" spans="1:42" ht="15.6">
      <c r="A2522" s="1" t="s">
        <v>46</v>
      </c>
      <c r="B2522" s="1" t="s">
        <v>5044</v>
      </c>
      <c r="C2522" s="1" t="s">
        <v>5044</v>
      </c>
      <c r="E2522" s="15" t="s">
        <v>5045</v>
      </c>
      <c r="G2522" s="16"/>
      <c r="M2522">
        <v>1</v>
      </c>
      <c r="N2522">
        <v>57</v>
      </c>
      <c r="O2522">
        <v>0</v>
      </c>
      <c r="P2522">
        <v>2.5</v>
      </c>
      <c r="Q2522">
        <v>142.5</v>
      </c>
      <c r="R2522">
        <v>0</v>
      </c>
      <c r="S2522">
        <v>0</v>
      </c>
      <c r="T2522" t="s">
        <v>17</v>
      </c>
      <c r="U2522">
        <v>0</v>
      </c>
      <c r="V2522">
        <v>0</v>
      </c>
      <c r="W2522">
        <v>400017</v>
      </c>
      <c r="X2522" t="s">
        <v>56</v>
      </c>
      <c r="Y2522" t="s">
        <v>57</v>
      </c>
      <c r="AE2522">
        <v>0</v>
      </c>
      <c r="AP2522" t="s">
        <v>49</v>
      </c>
    </row>
    <row r="2523" spans="1:42" ht="15.6">
      <c r="A2523" s="1" t="s">
        <v>46</v>
      </c>
      <c r="B2523" s="1" t="s">
        <v>5046</v>
      </c>
      <c r="C2523" s="1" t="s">
        <v>5046</v>
      </c>
      <c r="E2523" s="15" t="s">
        <v>5047</v>
      </c>
      <c r="G2523" s="16">
        <v>3.5</v>
      </c>
      <c r="M2523">
        <v>1</v>
      </c>
      <c r="N2523">
        <v>-6</v>
      </c>
      <c r="O2523">
        <v>0</v>
      </c>
      <c r="P2523">
        <v>2.25</v>
      </c>
      <c r="Q2523">
        <v>-13.5</v>
      </c>
      <c r="R2523">
        <v>0</v>
      </c>
      <c r="S2523">
        <v>0</v>
      </c>
      <c r="T2523" t="s">
        <v>52</v>
      </c>
      <c r="W2523">
        <v>400066</v>
      </c>
      <c r="AE2523">
        <v>0</v>
      </c>
      <c r="AP2523" t="s">
        <v>680</v>
      </c>
    </row>
    <row r="2524" spans="1:42" ht="15.6">
      <c r="A2524" s="1" t="s">
        <v>46</v>
      </c>
      <c r="B2524" s="1" t="s">
        <v>5048</v>
      </c>
      <c r="C2524" s="1" t="s">
        <v>5048</v>
      </c>
      <c r="E2524" s="15" t="s">
        <v>5049</v>
      </c>
      <c r="G2524" s="16"/>
      <c r="M2524">
        <v>1</v>
      </c>
      <c r="N2524">
        <v>214</v>
      </c>
      <c r="O2524">
        <v>0</v>
      </c>
      <c r="P2524">
        <v>0.16</v>
      </c>
      <c r="Q2524">
        <v>34.24</v>
      </c>
      <c r="R2524">
        <v>0</v>
      </c>
      <c r="S2524">
        <v>0</v>
      </c>
      <c r="T2524" t="s">
        <v>52</v>
      </c>
      <c r="W2524">
        <v>400017</v>
      </c>
      <c r="AE2524">
        <v>0</v>
      </c>
      <c r="AP2524" t="s">
        <v>49</v>
      </c>
    </row>
    <row r="2525" spans="1:42" ht="15.6">
      <c r="A2525" s="1" t="s">
        <v>46</v>
      </c>
      <c r="B2525" s="1" t="s">
        <v>5050</v>
      </c>
      <c r="C2525" s="1" t="s">
        <v>5050</v>
      </c>
      <c r="E2525" s="15" t="s">
        <v>5051</v>
      </c>
      <c r="G2525" s="16"/>
      <c r="M2525">
        <v>1</v>
      </c>
      <c r="N2525">
        <v>8</v>
      </c>
      <c r="O2525">
        <v>0</v>
      </c>
      <c r="P2525">
        <v>10</v>
      </c>
      <c r="Q2525">
        <v>80</v>
      </c>
      <c r="R2525">
        <v>0</v>
      </c>
      <c r="S2525">
        <v>0</v>
      </c>
      <c r="T2525" t="s">
        <v>52</v>
      </c>
      <c r="U2525">
        <v>0</v>
      </c>
      <c r="V2525">
        <v>0</v>
      </c>
      <c r="W2525">
        <v>400004</v>
      </c>
      <c r="AE2525">
        <v>0</v>
      </c>
      <c r="AP2525" t="s">
        <v>352</v>
      </c>
    </row>
    <row r="2526" spans="1:42" ht="15.6">
      <c r="A2526" s="1" t="s">
        <v>46</v>
      </c>
      <c r="B2526" s="1" t="s">
        <v>5052</v>
      </c>
      <c r="C2526" s="1" t="s">
        <v>5052</v>
      </c>
      <c r="E2526" s="15" t="s">
        <v>5053</v>
      </c>
      <c r="G2526" s="16">
        <v>5</v>
      </c>
      <c r="M2526">
        <v>1</v>
      </c>
      <c r="N2526">
        <v>290</v>
      </c>
      <c r="O2526">
        <v>0</v>
      </c>
      <c r="P2526">
        <v>20</v>
      </c>
      <c r="Q2526">
        <v>5800</v>
      </c>
      <c r="R2526">
        <v>0</v>
      </c>
      <c r="S2526">
        <v>0</v>
      </c>
      <c r="T2526" t="s">
        <v>52</v>
      </c>
      <c r="U2526">
        <v>0</v>
      </c>
      <c r="V2526">
        <v>0</v>
      </c>
      <c r="W2526">
        <v>400032</v>
      </c>
      <c r="X2526" t="s">
        <v>4203</v>
      </c>
      <c r="Y2526" t="s">
        <v>57</v>
      </c>
      <c r="AE2526">
        <v>0</v>
      </c>
      <c r="AP2526" t="s">
        <v>404</v>
      </c>
    </row>
    <row r="2527" spans="1:42" ht="15.6">
      <c r="A2527" s="1" t="s">
        <v>46</v>
      </c>
      <c r="B2527" s="1" t="s">
        <v>5054</v>
      </c>
      <c r="C2527" s="1" t="s">
        <v>5054</v>
      </c>
      <c r="E2527" s="15" t="s">
        <v>5055</v>
      </c>
      <c r="G2527" s="16">
        <v>9</v>
      </c>
      <c r="M2527">
        <v>1</v>
      </c>
      <c r="N2527">
        <v>2412</v>
      </c>
      <c r="O2527">
        <v>0</v>
      </c>
      <c r="P2527">
        <v>20</v>
      </c>
      <c r="Q2527">
        <v>48240</v>
      </c>
      <c r="R2527">
        <v>0</v>
      </c>
      <c r="S2527">
        <v>0</v>
      </c>
      <c r="T2527" t="s">
        <v>52</v>
      </c>
      <c r="U2527">
        <v>0</v>
      </c>
      <c r="V2527">
        <v>0</v>
      </c>
      <c r="W2527">
        <v>400197</v>
      </c>
      <c r="X2527" t="s">
        <v>56</v>
      </c>
      <c r="Y2527" t="s">
        <v>57</v>
      </c>
      <c r="AE2527">
        <v>0</v>
      </c>
      <c r="AP2527" t="s">
        <v>5056</v>
      </c>
    </row>
    <row r="2528" spans="1:42" ht="15.6">
      <c r="A2528" s="1" t="s">
        <v>46</v>
      </c>
      <c r="B2528" s="1" t="s">
        <v>5057</v>
      </c>
      <c r="C2528" s="1" t="s">
        <v>5057</v>
      </c>
      <c r="E2528" s="15" t="s">
        <v>5058</v>
      </c>
      <c r="G2528" s="16"/>
      <c r="M2528">
        <v>1</v>
      </c>
      <c r="N2528">
        <v>521</v>
      </c>
      <c r="O2528">
        <v>0</v>
      </c>
      <c r="P2528">
        <v>2.25</v>
      </c>
      <c r="Q2528">
        <v>1172.25</v>
      </c>
      <c r="R2528">
        <v>0</v>
      </c>
      <c r="S2528">
        <v>0</v>
      </c>
      <c r="T2528" t="s">
        <v>52</v>
      </c>
      <c r="U2528">
        <v>0</v>
      </c>
      <c r="V2528">
        <v>0</v>
      </c>
      <c r="W2528">
        <v>400017</v>
      </c>
      <c r="X2528" t="s">
        <v>56</v>
      </c>
      <c r="Y2528" t="s">
        <v>57</v>
      </c>
      <c r="AE2528">
        <v>0</v>
      </c>
      <c r="AP2528" t="s">
        <v>49</v>
      </c>
    </row>
    <row r="2529" spans="1:42" ht="15.6">
      <c r="A2529" s="1" t="s">
        <v>46</v>
      </c>
      <c r="B2529" s="1" t="s">
        <v>5059</v>
      </c>
      <c r="C2529" s="1" t="s">
        <v>5059</v>
      </c>
      <c r="E2529" s="15" t="s">
        <v>5060</v>
      </c>
      <c r="G2529" s="16"/>
      <c r="M2529">
        <v>1</v>
      </c>
      <c r="N2529">
        <v>168</v>
      </c>
      <c r="O2529">
        <v>0</v>
      </c>
      <c r="P2529">
        <v>2.52</v>
      </c>
      <c r="Q2529">
        <v>423.36</v>
      </c>
      <c r="R2529">
        <v>0</v>
      </c>
      <c r="S2529">
        <v>0</v>
      </c>
      <c r="T2529" t="s">
        <v>52</v>
      </c>
      <c r="U2529">
        <v>0</v>
      </c>
      <c r="V2529">
        <v>0</v>
      </c>
      <c r="W2529">
        <v>400197</v>
      </c>
      <c r="X2529" t="s">
        <v>56</v>
      </c>
      <c r="Y2529" t="s">
        <v>57</v>
      </c>
      <c r="AE2529">
        <v>0</v>
      </c>
      <c r="AP2529" t="s">
        <v>5056</v>
      </c>
    </row>
    <row r="2530" spans="1:42" ht="15.6">
      <c r="A2530" s="1" t="s">
        <v>46</v>
      </c>
      <c r="B2530" s="1" t="s">
        <v>5061</v>
      </c>
      <c r="C2530" s="1" t="s">
        <v>5061</v>
      </c>
      <c r="E2530" s="15" t="s">
        <v>5062</v>
      </c>
      <c r="G2530" s="16"/>
      <c r="M2530">
        <v>1</v>
      </c>
      <c r="N2530">
        <v>1187</v>
      </c>
      <c r="O2530">
        <v>0</v>
      </c>
      <c r="P2530">
        <v>1</v>
      </c>
      <c r="Q2530">
        <v>1187</v>
      </c>
      <c r="R2530">
        <v>0</v>
      </c>
      <c r="S2530">
        <v>0</v>
      </c>
      <c r="T2530" t="s">
        <v>52</v>
      </c>
      <c r="U2530">
        <v>0</v>
      </c>
      <c r="V2530">
        <v>0</v>
      </c>
      <c r="W2530">
        <v>400017</v>
      </c>
      <c r="AE2530">
        <v>0</v>
      </c>
      <c r="AP2530" t="s">
        <v>49</v>
      </c>
    </row>
    <row r="2531" spans="1:42" ht="15.6">
      <c r="A2531" s="1" t="s">
        <v>46</v>
      </c>
      <c r="B2531" s="1" t="s">
        <v>5063</v>
      </c>
      <c r="C2531" s="1" t="s">
        <v>5063</v>
      </c>
      <c r="E2531" s="15" t="s">
        <v>5064</v>
      </c>
      <c r="G2531" s="16"/>
      <c r="M2531">
        <v>1</v>
      </c>
      <c r="N2531">
        <v>5383</v>
      </c>
      <c r="O2531">
        <v>0</v>
      </c>
      <c r="P2531">
        <v>25</v>
      </c>
      <c r="Q2531">
        <v>134575</v>
      </c>
      <c r="R2531">
        <v>0</v>
      </c>
      <c r="S2531">
        <v>0</v>
      </c>
      <c r="T2531" t="s">
        <v>52</v>
      </c>
      <c r="U2531">
        <v>0</v>
      </c>
      <c r="V2531">
        <v>0</v>
      </c>
      <c r="W2531">
        <v>400197</v>
      </c>
      <c r="X2531" t="s">
        <v>56</v>
      </c>
      <c r="Y2531" t="s">
        <v>57</v>
      </c>
      <c r="AE2531">
        <v>0</v>
      </c>
      <c r="AP2531" t="s">
        <v>5056</v>
      </c>
    </row>
    <row r="2532" spans="1:42" ht="15.6">
      <c r="A2532" s="1" t="s">
        <v>46</v>
      </c>
      <c r="B2532" s="1" t="s">
        <v>5065</v>
      </c>
      <c r="C2532" s="1" t="s">
        <v>5065</v>
      </c>
      <c r="E2532" s="15" t="s">
        <v>5066</v>
      </c>
      <c r="G2532" s="16"/>
      <c r="M2532">
        <v>1</v>
      </c>
      <c r="N2532">
        <v>2</v>
      </c>
      <c r="O2532">
        <v>0</v>
      </c>
      <c r="P2532">
        <v>20</v>
      </c>
      <c r="Q2532">
        <v>40</v>
      </c>
      <c r="AE2532">
        <v>0</v>
      </c>
    </row>
    <row r="2533" spans="1:42" ht="15.6">
      <c r="A2533" s="1" t="s">
        <v>46</v>
      </c>
      <c r="B2533" s="1" t="s">
        <v>5067</v>
      </c>
      <c r="C2533" s="1" t="s">
        <v>5067</v>
      </c>
      <c r="E2533" s="15" t="s">
        <v>5068</v>
      </c>
      <c r="G2533" s="16"/>
      <c r="M2533">
        <v>1</v>
      </c>
      <c r="N2533">
        <v>-541</v>
      </c>
      <c r="O2533">
        <v>0</v>
      </c>
      <c r="P2533">
        <v>13.75</v>
      </c>
      <c r="Q2533">
        <v>-7438.75</v>
      </c>
      <c r="R2533">
        <v>0</v>
      </c>
      <c r="S2533">
        <v>0</v>
      </c>
      <c r="T2533" t="s">
        <v>52</v>
      </c>
      <c r="U2533" t="s">
        <v>52</v>
      </c>
      <c r="V2533">
        <v>0</v>
      </c>
      <c r="W2533">
        <v>400158</v>
      </c>
      <c r="X2533" t="s">
        <v>56</v>
      </c>
      <c r="Y2533" t="s">
        <v>57</v>
      </c>
      <c r="AE2533">
        <v>0</v>
      </c>
      <c r="AP2533" t="s">
        <v>61</v>
      </c>
    </row>
    <row r="2534" spans="1:42" ht="15.6">
      <c r="A2534" s="1" t="s">
        <v>46</v>
      </c>
      <c r="B2534" s="1" t="s">
        <v>5069</v>
      </c>
      <c r="C2534" s="1" t="s">
        <v>5069</v>
      </c>
      <c r="E2534" s="15" t="s">
        <v>5070</v>
      </c>
      <c r="G2534" s="16"/>
      <c r="M2534">
        <v>1</v>
      </c>
      <c r="N2534">
        <v>1</v>
      </c>
      <c r="O2534">
        <v>0</v>
      </c>
      <c r="P2534">
        <v>31.64</v>
      </c>
      <c r="Q2534">
        <v>31.64</v>
      </c>
      <c r="R2534">
        <v>0</v>
      </c>
      <c r="S2534">
        <v>0</v>
      </c>
      <c r="T2534">
        <v>0</v>
      </c>
      <c r="W2534">
        <v>400022</v>
      </c>
      <c r="AE2534">
        <v>0</v>
      </c>
      <c r="AP2534" t="s">
        <v>3714</v>
      </c>
    </row>
    <row r="2535" spans="1:42" ht="15.6">
      <c r="A2535" s="1" t="s">
        <v>46</v>
      </c>
      <c r="B2535" s="1" t="s">
        <v>5071</v>
      </c>
      <c r="C2535" s="1" t="s">
        <v>5071</v>
      </c>
      <c r="E2535" s="15" t="s">
        <v>5072</v>
      </c>
      <c r="G2535" s="16"/>
      <c r="M2535">
        <v>1</v>
      </c>
      <c r="N2535">
        <v>63</v>
      </c>
      <c r="O2535">
        <v>0</v>
      </c>
      <c r="P2535">
        <v>128</v>
      </c>
      <c r="Q2535">
        <v>8064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400056</v>
      </c>
      <c r="X2535" t="s">
        <v>56</v>
      </c>
      <c r="Y2535" t="s">
        <v>57</v>
      </c>
      <c r="AE2535">
        <v>0</v>
      </c>
      <c r="AP2535" t="s">
        <v>1797</v>
      </c>
    </row>
    <row r="2536" spans="1:42" ht="15.6">
      <c r="A2536" s="1" t="s">
        <v>46</v>
      </c>
      <c r="B2536" s="1" t="s">
        <v>5073</v>
      </c>
      <c r="C2536" s="1" t="s">
        <v>5073</v>
      </c>
      <c r="E2536" s="15" t="s">
        <v>5074</v>
      </c>
      <c r="G2536" s="16"/>
      <c r="M2536">
        <v>1</v>
      </c>
      <c r="N2536">
        <v>2</v>
      </c>
      <c r="O2536">
        <v>0</v>
      </c>
      <c r="P2536">
        <v>104.99</v>
      </c>
      <c r="Q2536">
        <v>209.98</v>
      </c>
      <c r="R2536">
        <v>0</v>
      </c>
      <c r="S2536">
        <v>0</v>
      </c>
      <c r="T2536" t="s">
        <v>52</v>
      </c>
      <c r="W2536">
        <v>400013</v>
      </c>
      <c r="AE2536">
        <v>0</v>
      </c>
      <c r="AP2536" t="s">
        <v>232</v>
      </c>
    </row>
    <row r="2537" spans="1:42" ht="15.6">
      <c r="A2537" s="1" t="s">
        <v>46</v>
      </c>
      <c r="B2537" s="1" t="s">
        <v>5075</v>
      </c>
      <c r="C2537" s="1" t="s">
        <v>5075</v>
      </c>
      <c r="E2537" s="15" t="s">
        <v>5076</v>
      </c>
      <c r="G2537" s="16"/>
      <c r="M2537">
        <v>1</v>
      </c>
      <c r="N2537">
        <v>50</v>
      </c>
      <c r="O2537">
        <v>0</v>
      </c>
      <c r="P2537">
        <v>130.97999999999999</v>
      </c>
      <c r="Q2537">
        <v>6549</v>
      </c>
      <c r="R2537">
        <v>0</v>
      </c>
      <c r="S2537">
        <v>0</v>
      </c>
      <c r="T2537" t="s">
        <v>17</v>
      </c>
      <c r="U2537">
        <v>0</v>
      </c>
      <c r="V2537">
        <v>0</v>
      </c>
      <c r="W2537">
        <v>400120</v>
      </c>
      <c r="AE2537">
        <v>0</v>
      </c>
      <c r="AP2537" t="s">
        <v>468</v>
      </c>
    </row>
    <row r="2538" spans="1:42" ht="15.6">
      <c r="A2538" s="1" t="s">
        <v>46</v>
      </c>
      <c r="B2538" s="1" t="s">
        <v>5077</v>
      </c>
      <c r="C2538" s="1" t="s">
        <v>5077</v>
      </c>
      <c r="E2538" s="15" t="s">
        <v>5078</v>
      </c>
      <c r="G2538" s="16"/>
      <c r="M2538">
        <v>1</v>
      </c>
      <c r="N2538">
        <v>607</v>
      </c>
      <c r="O2538">
        <v>0</v>
      </c>
      <c r="P2538">
        <v>0.22</v>
      </c>
      <c r="Q2538">
        <v>136.58000000000001</v>
      </c>
      <c r="R2538">
        <v>0</v>
      </c>
      <c r="S2538">
        <v>0</v>
      </c>
      <c r="T2538" t="s">
        <v>52</v>
      </c>
      <c r="W2538">
        <v>400158</v>
      </c>
      <c r="AE2538">
        <v>0</v>
      </c>
      <c r="AP2538" t="s">
        <v>61</v>
      </c>
    </row>
    <row r="2539" spans="1:42" ht="15.6">
      <c r="A2539" s="1" t="s">
        <v>46</v>
      </c>
      <c r="B2539" s="1" t="s">
        <v>5079</v>
      </c>
      <c r="C2539" s="1" t="s">
        <v>5079</v>
      </c>
      <c r="E2539" s="15" t="s">
        <v>5080</v>
      </c>
      <c r="G2539" s="16"/>
      <c r="M2539">
        <v>1</v>
      </c>
      <c r="N2539">
        <v>96</v>
      </c>
      <c r="O2539">
        <v>0</v>
      </c>
      <c r="P2539">
        <v>0.85</v>
      </c>
      <c r="Q2539">
        <v>81.599999999999994</v>
      </c>
      <c r="R2539">
        <v>0</v>
      </c>
      <c r="S2539">
        <v>0</v>
      </c>
      <c r="T2539" t="s">
        <v>4390</v>
      </c>
      <c r="W2539">
        <v>400091</v>
      </c>
      <c r="AE2539">
        <v>0</v>
      </c>
      <c r="AP2539" t="s">
        <v>3931</v>
      </c>
    </row>
    <row r="2540" spans="1:42" ht="15.6">
      <c r="A2540" s="1" t="s">
        <v>46</v>
      </c>
      <c r="B2540" s="1" t="s">
        <v>5081</v>
      </c>
      <c r="C2540" s="1" t="s">
        <v>5081</v>
      </c>
      <c r="E2540" s="15" t="s">
        <v>5082</v>
      </c>
      <c r="G2540" s="16"/>
      <c r="M2540">
        <v>1</v>
      </c>
      <c r="N2540">
        <v>3</v>
      </c>
      <c r="O2540">
        <v>0</v>
      </c>
      <c r="P2540">
        <v>3</v>
      </c>
      <c r="Q2540">
        <v>9</v>
      </c>
      <c r="W2540">
        <v>400017</v>
      </c>
      <c r="AE2540">
        <v>0</v>
      </c>
      <c r="AP2540" t="s">
        <v>49</v>
      </c>
    </row>
    <row r="2541" spans="1:42" ht="15.6">
      <c r="A2541" s="1" t="s">
        <v>46</v>
      </c>
      <c r="B2541" s="1" t="s">
        <v>5083</v>
      </c>
      <c r="C2541" s="1" t="s">
        <v>5083</v>
      </c>
      <c r="E2541" s="15" t="s">
        <v>5084</v>
      </c>
      <c r="G2541" s="16">
        <v>3</v>
      </c>
      <c r="M2541">
        <v>1</v>
      </c>
      <c r="N2541">
        <v>-9</v>
      </c>
      <c r="O2541">
        <v>0</v>
      </c>
      <c r="R2541">
        <v>0</v>
      </c>
      <c r="S2541">
        <v>0</v>
      </c>
      <c r="T2541">
        <v>0</v>
      </c>
      <c r="AE2541">
        <v>0</v>
      </c>
    </row>
    <row r="2542" spans="1:42" ht="15.6">
      <c r="A2542" s="1" t="s">
        <v>46</v>
      </c>
      <c r="B2542" s="1" t="s">
        <v>5085</v>
      </c>
      <c r="C2542" s="1" t="s">
        <v>5085</v>
      </c>
      <c r="E2542" s="15" t="s">
        <v>5086</v>
      </c>
      <c r="G2542" s="16"/>
      <c r="M2542">
        <v>1</v>
      </c>
      <c r="N2542">
        <v>46.6</v>
      </c>
      <c r="O2542">
        <v>0</v>
      </c>
      <c r="P2542">
        <v>8.5</v>
      </c>
      <c r="Q2542">
        <v>396.1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400158</v>
      </c>
      <c r="X2542" t="s">
        <v>56</v>
      </c>
      <c r="Y2542" t="s">
        <v>57</v>
      </c>
      <c r="AE2542">
        <v>0</v>
      </c>
      <c r="AP2542" t="s">
        <v>61</v>
      </c>
    </row>
    <row r="2543" spans="1:42" ht="15.6">
      <c r="A2543" s="1" t="s">
        <v>46</v>
      </c>
      <c r="B2543" s="1" t="s">
        <v>5087</v>
      </c>
      <c r="C2543" s="1" t="s">
        <v>5087</v>
      </c>
      <c r="E2543" s="15" t="s">
        <v>5088</v>
      </c>
      <c r="G2543" s="16"/>
      <c r="M2543">
        <v>1</v>
      </c>
      <c r="N2543">
        <v>4</v>
      </c>
      <c r="O2543">
        <v>0</v>
      </c>
      <c r="P2543">
        <v>10</v>
      </c>
      <c r="Q2543">
        <v>40</v>
      </c>
      <c r="R2543">
        <v>0</v>
      </c>
      <c r="S2543">
        <v>0</v>
      </c>
      <c r="T2543">
        <v>0</v>
      </c>
      <c r="W2543">
        <v>400017</v>
      </c>
      <c r="AE2543">
        <v>0</v>
      </c>
      <c r="AP2543" t="s">
        <v>49</v>
      </c>
    </row>
    <row r="2544" spans="1:42" ht="15.6">
      <c r="A2544" s="1" t="s">
        <v>46</v>
      </c>
      <c r="B2544" s="1" t="s">
        <v>5089</v>
      </c>
      <c r="C2544" s="1" t="s">
        <v>5089</v>
      </c>
      <c r="E2544" s="15" t="s">
        <v>5090</v>
      </c>
      <c r="G2544" s="16">
        <v>5</v>
      </c>
      <c r="M2544">
        <v>1</v>
      </c>
      <c r="N2544">
        <v>-3.65</v>
      </c>
      <c r="O2544">
        <v>0</v>
      </c>
      <c r="P2544">
        <v>8.5</v>
      </c>
      <c r="Q2544">
        <v>-31.02</v>
      </c>
      <c r="R2544">
        <v>0</v>
      </c>
      <c r="S2544">
        <v>0</v>
      </c>
      <c r="T2544">
        <v>0</v>
      </c>
      <c r="W2544">
        <v>400158</v>
      </c>
      <c r="AE2544">
        <v>0</v>
      </c>
      <c r="AP2544" t="s">
        <v>61</v>
      </c>
    </row>
    <row r="2545" spans="1:42" ht="15.6">
      <c r="A2545" s="1" t="s">
        <v>46</v>
      </c>
      <c r="B2545" s="1" t="s">
        <v>5091</v>
      </c>
      <c r="C2545" s="1" t="s">
        <v>5091</v>
      </c>
      <c r="E2545" s="15" t="s">
        <v>5092</v>
      </c>
      <c r="G2545" s="16">
        <v>4</v>
      </c>
      <c r="M2545">
        <v>1</v>
      </c>
      <c r="N2545">
        <v>27</v>
      </c>
      <c r="O2545">
        <v>0</v>
      </c>
      <c r="P2545">
        <v>14</v>
      </c>
      <c r="Q2545">
        <v>378</v>
      </c>
      <c r="R2545">
        <v>0</v>
      </c>
      <c r="S2545">
        <v>0</v>
      </c>
      <c r="T2545" t="s">
        <v>52</v>
      </c>
      <c r="U2545">
        <v>0</v>
      </c>
      <c r="V2545">
        <v>0</v>
      </c>
      <c r="W2545">
        <v>410120</v>
      </c>
      <c r="X2545" t="s">
        <v>56</v>
      </c>
      <c r="Y2545" t="s">
        <v>57</v>
      </c>
      <c r="AE2545">
        <v>0</v>
      </c>
      <c r="AP2545" t="s">
        <v>112</v>
      </c>
    </row>
    <row r="2546" spans="1:42" ht="15.6">
      <c r="A2546" s="1" t="s">
        <v>46</v>
      </c>
      <c r="B2546" s="1" t="s">
        <v>5093</v>
      </c>
      <c r="C2546" s="1" t="s">
        <v>5093</v>
      </c>
      <c r="E2546" s="15" t="s">
        <v>5094</v>
      </c>
      <c r="G2546" s="16"/>
      <c r="M2546">
        <v>1</v>
      </c>
      <c r="N2546">
        <v>22</v>
      </c>
      <c r="O2546">
        <v>0</v>
      </c>
      <c r="P2546">
        <v>23</v>
      </c>
      <c r="Q2546">
        <v>506</v>
      </c>
      <c r="R2546">
        <v>0</v>
      </c>
      <c r="S2546">
        <v>0</v>
      </c>
      <c r="T2546">
        <v>0</v>
      </c>
      <c r="W2546">
        <v>400017</v>
      </c>
      <c r="AE2546">
        <v>0</v>
      </c>
      <c r="AP2546" t="s">
        <v>49</v>
      </c>
    </row>
    <row r="2547" spans="1:42" ht="15.6">
      <c r="A2547" s="1" t="s">
        <v>46</v>
      </c>
      <c r="B2547" s="1" t="s">
        <v>5095</v>
      </c>
      <c r="C2547" s="1" t="s">
        <v>5095</v>
      </c>
      <c r="E2547" s="15" t="s">
        <v>5096</v>
      </c>
      <c r="G2547" s="16"/>
      <c r="M2547">
        <v>1</v>
      </c>
      <c r="N2547">
        <v>105</v>
      </c>
      <c r="O2547">
        <v>0</v>
      </c>
      <c r="P2547">
        <v>2.5</v>
      </c>
      <c r="Q2547">
        <v>262.5</v>
      </c>
      <c r="R2547">
        <v>0</v>
      </c>
      <c r="S2547">
        <v>0</v>
      </c>
      <c r="T2547" t="s">
        <v>52</v>
      </c>
      <c r="U2547">
        <v>0</v>
      </c>
      <c r="V2547">
        <v>0</v>
      </c>
      <c r="W2547">
        <v>400045</v>
      </c>
      <c r="X2547" t="s">
        <v>56</v>
      </c>
      <c r="Y2547" t="s">
        <v>57</v>
      </c>
      <c r="AE2547">
        <v>0</v>
      </c>
      <c r="AP2547" t="s">
        <v>217</v>
      </c>
    </row>
    <row r="2548" spans="1:42" ht="15.6">
      <c r="A2548" s="1" t="s">
        <v>46</v>
      </c>
      <c r="B2548" s="1" t="s">
        <v>5097</v>
      </c>
      <c r="C2548" s="1" t="s">
        <v>5097</v>
      </c>
      <c r="E2548" s="15" t="s">
        <v>5098</v>
      </c>
      <c r="G2548" s="16"/>
      <c r="M2548">
        <v>1</v>
      </c>
      <c r="N2548">
        <v>45</v>
      </c>
      <c r="O2548">
        <v>0</v>
      </c>
      <c r="P2548">
        <v>2</v>
      </c>
      <c r="Q2548">
        <v>90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400013</v>
      </c>
      <c r="X2548" t="s">
        <v>56</v>
      </c>
      <c r="Y2548" t="s">
        <v>57</v>
      </c>
      <c r="AE2548">
        <v>0</v>
      </c>
      <c r="AP2548" t="s">
        <v>232</v>
      </c>
    </row>
    <row r="2549" spans="1:42" ht="15.6">
      <c r="A2549" s="1" t="s">
        <v>46</v>
      </c>
      <c r="B2549" s="1" t="s">
        <v>5099</v>
      </c>
      <c r="C2549" s="1" t="s">
        <v>5099</v>
      </c>
      <c r="E2549" s="15" t="s">
        <v>5100</v>
      </c>
      <c r="G2549" s="16"/>
      <c r="M2549">
        <v>1</v>
      </c>
      <c r="N2549">
        <v>50</v>
      </c>
      <c r="O2549">
        <v>0</v>
      </c>
      <c r="P2549">
        <v>0.3</v>
      </c>
      <c r="Q2549">
        <v>15</v>
      </c>
      <c r="R2549">
        <v>0</v>
      </c>
      <c r="S2549">
        <v>0</v>
      </c>
      <c r="T2549" t="s">
        <v>52</v>
      </c>
      <c r="U2549">
        <v>0</v>
      </c>
      <c r="V2549">
        <v>0</v>
      </c>
      <c r="W2549">
        <v>400196</v>
      </c>
      <c r="AE2549">
        <v>0</v>
      </c>
      <c r="AP2549" t="s">
        <v>5101</v>
      </c>
    </row>
    <row r="2550" spans="1:42" ht="15.6">
      <c r="A2550" s="1" t="s">
        <v>46</v>
      </c>
      <c r="B2550" s="1" t="s">
        <v>5102</v>
      </c>
      <c r="C2550" s="1" t="s">
        <v>5102</v>
      </c>
      <c r="E2550" s="15" t="s">
        <v>5103</v>
      </c>
      <c r="G2550" s="16"/>
      <c r="M2550">
        <v>1</v>
      </c>
      <c r="N2550">
        <v>100</v>
      </c>
      <c r="O2550">
        <v>0</v>
      </c>
      <c r="P2550">
        <v>0.15</v>
      </c>
      <c r="Q2550">
        <v>15</v>
      </c>
      <c r="R2550">
        <v>0</v>
      </c>
      <c r="S2550">
        <v>0</v>
      </c>
      <c r="T2550" t="s">
        <v>52</v>
      </c>
      <c r="U2550">
        <v>0</v>
      </c>
      <c r="V2550">
        <v>0</v>
      </c>
      <c r="W2550">
        <v>400196</v>
      </c>
      <c r="AE2550">
        <v>0</v>
      </c>
      <c r="AP2550" t="s">
        <v>5101</v>
      </c>
    </row>
    <row r="2551" spans="1:42" ht="15.6">
      <c r="A2551" s="1" t="s">
        <v>46</v>
      </c>
      <c r="B2551" s="1" t="s">
        <v>5104</v>
      </c>
      <c r="C2551" s="1" t="s">
        <v>5104</v>
      </c>
      <c r="E2551" s="15" t="s">
        <v>5105</v>
      </c>
      <c r="G2551" s="16"/>
      <c r="M2551">
        <v>1</v>
      </c>
      <c r="N2551">
        <v>100</v>
      </c>
      <c r="O2551">
        <v>0</v>
      </c>
      <c r="P2551">
        <v>0.1</v>
      </c>
      <c r="Q2551">
        <v>10</v>
      </c>
      <c r="R2551">
        <v>0</v>
      </c>
      <c r="S2551">
        <v>0</v>
      </c>
      <c r="T2551" t="s">
        <v>52</v>
      </c>
      <c r="U2551">
        <v>0</v>
      </c>
      <c r="V2551">
        <v>0</v>
      </c>
      <c r="W2551">
        <v>400196</v>
      </c>
      <c r="AE2551">
        <v>0</v>
      </c>
      <c r="AP2551" t="s">
        <v>5101</v>
      </c>
    </row>
    <row r="2552" spans="1:42" ht="15.6">
      <c r="E2552" s="15" t="s">
        <v>5106</v>
      </c>
      <c r="G2552" s="16">
        <v>0.15</v>
      </c>
    </row>
    <row r="2553" spans="1:42" ht="15.6">
      <c r="A2553" s="1" t="s">
        <v>46</v>
      </c>
      <c r="B2553" s="1" t="s">
        <v>5107</v>
      </c>
      <c r="C2553" s="1" t="s">
        <v>5107</v>
      </c>
      <c r="E2553" s="15" t="s">
        <v>5108</v>
      </c>
      <c r="G2553" s="16">
        <v>0.15</v>
      </c>
      <c r="M2553">
        <v>1</v>
      </c>
      <c r="N2553">
        <v>119</v>
      </c>
      <c r="O2553">
        <v>0</v>
      </c>
      <c r="P2553">
        <v>0.12</v>
      </c>
      <c r="Q2553">
        <v>14.28</v>
      </c>
      <c r="W2553">
        <v>400196</v>
      </c>
      <c r="AE2553">
        <v>0</v>
      </c>
      <c r="AP2553" t="s">
        <v>5101</v>
      </c>
    </row>
    <row r="2554" spans="1:42" ht="15.6">
      <c r="A2554" s="1" t="s">
        <v>46</v>
      </c>
      <c r="B2554" s="1" t="s">
        <v>5109</v>
      </c>
      <c r="C2554" s="1" t="s">
        <v>5109</v>
      </c>
      <c r="E2554" s="15" t="s">
        <v>5110</v>
      </c>
      <c r="G2554" s="16">
        <v>0.25</v>
      </c>
      <c r="M2554">
        <v>1</v>
      </c>
      <c r="N2554">
        <v>0</v>
      </c>
      <c r="O2554">
        <v>0</v>
      </c>
      <c r="P2554">
        <v>4.5</v>
      </c>
      <c r="Q2554">
        <v>0</v>
      </c>
      <c r="R2554">
        <v>0</v>
      </c>
      <c r="S2554">
        <v>0</v>
      </c>
      <c r="T2554" t="s">
        <v>52</v>
      </c>
      <c r="U2554">
        <v>0</v>
      </c>
      <c r="V2554">
        <v>0</v>
      </c>
      <c r="W2554">
        <v>400017</v>
      </c>
      <c r="X2554" t="s">
        <v>56</v>
      </c>
      <c r="Y2554" t="s">
        <v>57</v>
      </c>
      <c r="AE2554">
        <v>0</v>
      </c>
      <c r="AP2554" t="s">
        <v>49</v>
      </c>
    </row>
    <row r="2555" spans="1:42" ht="15.6">
      <c r="A2555" s="1" t="s">
        <v>46</v>
      </c>
      <c r="B2555" s="1" t="s">
        <v>5111</v>
      </c>
      <c r="C2555" s="1" t="s">
        <v>5111</v>
      </c>
      <c r="E2555" s="15" t="s">
        <v>5112</v>
      </c>
      <c r="G2555" s="16"/>
      <c r="M2555">
        <v>1</v>
      </c>
      <c r="N2555">
        <v>-24</v>
      </c>
      <c r="O2555">
        <v>0</v>
      </c>
      <c r="P2555">
        <v>0.61</v>
      </c>
      <c r="Q2555">
        <v>-14.64</v>
      </c>
      <c r="R2555">
        <v>0</v>
      </c>
      <c r="S2555">
        <v>0</v>
      </c>
      <c r="T2555" t="s">
        <v>52</v>
      </c>
      <c r="W2555">
        <v>400125</v>
      </c>
      <c r="AE2555">
        <v>0</v>
      </c>
      <c r="AP2555" t="s">
        <v>184</v>
      </c>
    </row>
    <row r="2556" spans="1:42" ht="15.6">
      <c r="A2556" s="1" t="s">
        <v>46</v>
      </c>
      <c r="B2556" s="1" t="s">
        <v>5113</v>
      </c>
      <c r="C2556" s="1" t="s">
        <v>5113</v>
      </c>
      <c r="E2556" s="15" t="s">
        <v>5114</v>
      </c>
      <c r="G2556" s="16"/>
      <c r="M2556">
        <v>1</v>
      </c>
      <c r="N2556">
        <v>1</v>
      </c>
      <c r="O2556">
        <v>0</v>
      </c>
      <c r="P2556">
        <v>33</v>
      </c>
      <c r="Q2556">
        <v>33</v>
      </c>
      <c r="R2556">
        <v>0</v>
      </c>
      <c r="S2556">
        <v>0</v>
      </c>
      <c r="T2556" t="s">
        <v>3335</v>
      </c>
      <c r="W2556">
        <v>400140</v>
      </c>
      <c r="AE2556">
        <v>0</v>
      </c>
      <c r="AP2556" t="s">
        <v>4033</v>
      </c>
    </row>
    <row r="2557" spans="1:42" ht="15.6">
      <c r="A2557" s="1" t="s">
        <v>46</v>
      </c>
      <c r="B2557" s="1" t="s">
        <v>5115</v>
      </c>
      <c r="C2557" s="1" t="s">
        <v>5115</v>
      </c>
      <c r="E2557" s="15" t="s">
        <v>5116</v>
      </c>
      <c r="G2557" s="16"/>
      <c r="M2557">
        <v>1</v>
      </c>
      <c r="N2557">
        <v>-7456.25</v>
      </c>
      <c r="O2557">
        <v>0</v>
      </c>
      <c r="P2557">
        <v>1.1000000000000001</v>
      </c>
      <c r="Q2557">
        <v>-8201.8799999999992</v>
      </c>
      <c r="R2557">
        <v>0</v>
      </c>
      <c r="S2557">
        <v>0</v>
      </c>
      <c r="T2557">
        <v>0</v>
      </c>
      <c r="W2557">
        <v>400054</v>
      </c>
      <c r="AE2557">
        <v>0</v>
      </c>
      <c r="AP2557" t="s">
        <v>4060</v>
      </c>
    </row>
    <row r="2558" spans="1:42" ht="15.6">
      <c r="A2558" s="1" t="s">
        <v>46</v>
      </c>
      <c r="B2558" s="1" t="s">
        <v>5117</v>
      </c>
      <c r="C2558" s="1" t="s">
        <v>5117</v>
      </c>
      <c r="E2558" s="15" t="s">
        <v>5118</v>
      </c>
      <c r="G2558" s="16"/>
      <c r="M2558">
        <v>1</v>
      </c>
      <c r="N2558">
        <v>-1067.0999999999999</v>
      </c>
      <c r="O2558">
        <v>0</v>
      </c>
      <c r="P2558">
        <v>57</v>
      </c>
      <c r="Q2558">
        <v>-60824.7</v>
      </c>
      <c r="R2558">
        <v>0</v>
      </c>
      <c r="S2558">
        <v>0</v>
      </c>
      <c r="T2558" t="s">
        <v>52</v>
      </c>
      <c r="U2558" t="s">
        <v>52</v>
      </c>
      <c r="V2558">
        <v>0</v>
      </c>
      <c r="W2558">
        <v>400139</v>
      </c>
      <c r="X2558" t="s">
        <v>56</v>
      </c>
      <c r="Y2558" t="s">
        <v>57</v>
      </c>
      <c r="AE2558">
        <v>0</v>
      </c>
      <c r="AP2558" t="s">
        <v>1233</v>
      </c>
    </row>
    <row r="2559" spans="1:42" ht="15.6">
      <c r="A2559" s="1" t="s">
        <v>46</v>
      </c>
      <c r="B2559" s="1" t="s">
        <v>5119</v>
      </c>
      <c r="C2559" s="1" t="s">
        <v>5119</v>
      </c>
      <c r="E2559" s="15" t="s">
        <v>5120</v>
      </c>
      <c r="G2559" s="16"/>
      <c r="M2559">
        <v>1</v>
      </c>
      <c r="N2559">
        <v>-33</v>
      </c>
      <c r="O2559">
        <v>0</v>
      </c>
      <c r="AE2559">
        <v>0</v>
      </c>
    </row>
    <row r="2560" spans="1:42" ht="15.6">
      <c r="E2560" s="15" t="s">
        <v>5121</v>
      </c>
      <c r="G2560" s="16"/>
    </row>
    <row r="2561" spans="1:42" ht="15.6">
      <c r="E2561" s="15" t="s">
        <v>5122</v>
      </c>
      <c r="G2561" s="16">
        <v>0.35</v>
      </c>
    </row>
    <row r="2562" spans="1:42" ht="15.6">
      <c r="E2562" s="15" t="s">
        <v>5123</v>
      </c>
      <c r="G2562" s="16"/>
    </row>
    <row r="2563" spans="1:42" ht="15.6">
      <c r="E2563" s="15" t="s">
        <v>5124</v>
      </c>
      <c r="G2563" s="16"/>
    </row>
    <row r="2564" spans="1:42" ht="15.6">
      <c r="E2564" s="15" t="s">
        <v>5125</v>
      </c>
      <c r="G2564" s="16"/>
    </row>
    <row r="2565" spans="1:42" ht="15.6">
      <c r="E2565" s="15" t="s">
        <v>5126</v>
      </c>
      <c r="G2565" s="16"/>
    </row>
    <row r="2566" spans="1:42" ht="15.6">
      <c r="E2566" s="15" t="s">
        <v>5127</v>
      </c>
      <c r="G2566" s="16"/>
    </row>
    <row r="2567" spans="1:42" ht="15.6">
      <c r="A2567" s="1" t="s">
        <v>46</v>
      </c>
      <c r="B2567" s="1" t="s">
        <v>5128</v>
      </c>
      <c r="C2567" s="1" t="s">
        <v>5128</v>
      </c>
      <c r="E2567" s="15" t="s">
        <v>5129</v>
      </c>
      <c r="G2567" s="16"/>
      <c r="M2567">
        <v>1</v>
      </c>
      <c r="N2567">
        <v>-32</v>
      </c>
      <c r="O2567">
        <v>0</v>
      </c>
      <c r="P2567">
        <v>0.9</v>
      </c>
      <c r="Q2567">
        <v>-28.8</v>
      </c>
      <c r="R2567">
        <v>0</v>
      </c>
      <c r="S2567">
        <v>0</v>
      </c>
      <c r="T2567" t="s">
        <v>52</v>
      </c>
      <c r="W2567">
        <v>400004</v>
      </c>
      <c r="AE2567">
        <v>0</v>
      </c>
      <c r="AP2567" t="s">
        <v>352</v>
      </c>
    </row>
    <row r="2568" spans="1:42" ht="15.6">
      <c r="A2568" s="1" t="s">
        <v>46</v>
      </c>
      <c r="B2568" s="1" t="s">
        <v>5130</v>
      </c>
      <c r="C2568" s="1" t="s">
        <v>5130</v>
      </c>
      <c r="E2568" s="15" t="s">
        <v>5131</v>
      </c>
      <c r="G2568" s="16"/>
      <c r="M2568">
        <v>1</v>
      </c>
      <c r="N2568">
        <v>127</v>
      </c>
      <c r="O2568">
        <v>0</v>
      </c>
      <c r="P2568">
        <v>19</v>
      </c>
      <c r="Q2568">
        <v>2413</v>
      </c>
      <c r="R2568">
        <v>0</v>
      </c>
      <c r="S2568">
        <v>0</v>
      </c>
      <c r="T2568" t="s">
        <v>17</v>
      </c>
      <c r="W2568">
        <v>400028</v>
      </c>
      <c r="AE2568">
        <v>0</v>
      </c>
      <c r="AP2568" t="s">
        <v>246</v>
      </c>
    </row>
    <row r="2569" spans="1:42" ht="15.6">
      <c r="A2569" s="1" t="s">
        <v>46</v>
      </c>
      <c r="B2569" s="1" t="s">
        <v>5132</v>
      </c>
      <c r="C2569" s="1" t="s">
        <v>5132</v>
      </c>
      <c r="E2569" s="15" t="s">
        <v>5133</v>
      </c>
      <c r="G2569" s="16"/>
      <c r="M2569">
        <v>1</v>
      </c>
      <c r="N2569">
        <v>118</v>
      </c>
      <c r="O2569">
        <v>0</v>
      </c>
      <c r="P2569">
        <v>5.25</v>
      </c>
      <c r="Q2569">
        <v>619.5</v>
      </c>
      <c r="R2569">
        <v>0</v>
      </c>
      <c r="S2569">
        <v>0</v>
      </c>
      <c r="T2569" t="s">
        <v>52</v>
      </c>
      <c r="U2569">
        <v>0</v>
      </c>
      <c r="V2569">
        <v>0</v>
      </c>
      <c r="W2569">
        <v>400158</v>
      </c>
      <c r="AE2569">
        <v>0</v>
      </c>
      <c r="AP2569" t="s">
        <v>61</v>
      </c>
    </row>
    <row r="2570" spans="1:42" ht="15.6">
      <c r="A2570" s="1" t="s">
        <v>46</v>
      </c>
      <c r="B2570" s="1" t="s">
        <v>5134</v>
      </c>
      <c r="C2570" s="1" t="s">
        <v>5134</v>
      </c>
      <c r="E2570" s="15" t="s">
        <v>5135</v>
      </c>
      <c r="G2570" s="16"/>
      <c r="M2570">
        <v>1</v>
      </c>
      <c r="N2570">
        <v>29</v>
      </c>
      <c r="O2570">
        <v>0</v>
      </c>
      <c r="P2570">
        <v>1.5</v>
      </c>
      <c r="Q2570">
        <v>43.5</v>
      </c>
      <c r="R2570">
        <v>0</v>
      </c>
      <c r="S2570">
        <v>0</v>
      </c>
      <c r="T2570">
        <v>0</v>
      </c>
      <c r="W2570">
        <v>400017</v>
      </c>
      <c r="AE2570">
        <v>0</v>
      </c>
      <c r="AP2570" t="s">
        <v>49</v>
      </c>
    </row>
    <row r="2571" spans="1:42" ht="15.6">
      <c r="A2571" s="1" t="s">
        <v>46</v>
      </c>
      <c r="B2571" s="1" t="s">
        <v>5136</v>
      </c>
      <c r="C2571" s="1" t="s">
        <v>5136</v>
      </c>
      <c r="E2571" s="15" t="s">
        <v>5137</v>
      </c>
      <c r="G2571" s="16"/>
      <c r="M2571">
        <v>1</v>
      </c>
      <c r="N2571">
        <v>22</v>
      </c>
      <c r="O2571">
        <v>0</v>
      </c>
      <c r="P2571">
        <v>7</v>
      </c>
      <c r="Q2571">
        <v>154</v>
      </c>
      <c r="R2571">
        <v>0</v>
      </c>
      <c r="S2571">
        <v>0</v>
      </c>
      <c r="T2571" t="s">
        <v>5138</v>
      </c>
      <c r="W2571">
        <v>400158</v>
      </c>
      <c r="AE2571">
        <v>0</v>
      </c>
      <c r="AP2571" t="s">
        <v>61</v>
      </c>
    </row>
    <row r="2572" spans="1:42" ht="15.6">
      <c r="A2572" s="1" t="s">
        <v>46</v>
      </c>
      <c r="B2572" s="1" t="s">
        <v>5139</v>
      </c>
      <c r="C2572" s="1" t="s">
        <v>5139</v>
      </c>
      <c r="E2572" s="15" t="s">
        <v>5140</v>
      </c>
      <c r="G2572" s="16">
        <v>7</v>
      </c>
      <c r="M2572">
        <v>1</v>
      </c>
      <c r="N2572">
        <v>126</v>
      </c>
      <c r="O2572">
        <v>0</v>
      </c>
      <c r="P2572">
        <v>4.5</v>
      </c>
      <c r="Q2572">
        <v>567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400158</v>
      </c>
      <c r="X2572" t="s">
        <v>56</v>
      </c>
      <c r="Y2572" t="s">
        <v>57</v>
      </c>
      <c r="AE2572">
        <v>0</v>
      </c>
      <c r="AP2572" t="s">
        <v>61</v>
      </c>
    </row>
    <row r="2573" spans="1:42" ht="15.6">
      <c r="A2573" s="1" t="s">
        <v>46</v>
      </c>
      <c r="B2573" s="1" t="s">
        <v>5141</v>
      </c>
      <c r="C2573" s="1" t="s">
        <v>5141</v>
      </c>
      <c r="E2573" s="15" t="s">
        <v>5142</v>
      </c>
      <c r="G2573" s="16"/>
      <c r="M2573">
        <v>1</v>
      </c>
      <c r="N2573">
        <v>620</v>
      </c>
      <c r="O2573">
        <v>0</v>
      </c>
      <c r="P2573">
        <v>0.5</v>
      </c>
      <c r="Q2573">
        <v>310</v>
      </c>
      <c r="R2573">
        <v>0</v>
      </c>
      <c r="S2573">
        <v>0</v>
      </c>
      <c r="T2573" t="s">
        <v>52</v>
      </c>
      <c r="U2573">
        <v>0</v>
      </c>
      <c r="V2573">
        <v>0</v>
      </c>
      <c r="W2573">
        <v>400017</v>
      </c>
      <c r="X2573" t="s">
        <v>56</v>
      </c>
      <c r="Y2573" t="s">
        <v>57</v>
      </c>
      <c r="AE2573">
        <v>0</v>
      </c>
      <c r="AP2573" t="s">
        <v>49</v>
      </c>
    </row>
    <row r="2574" spans="1:42" ht="15.6">
      <c r="A2574" s="1" t="s">
        <v>46</v>
      </c>
      <c r="B2574" s="1" t="s">
        <v>5143</v>
      </c>
      <c r="C2574" s="1" t="s">
        <v>5143</v>
      </c>
      <c r="E2574" s="15" t="s">
        <v>1255</v>
      </c>
      <c r="G2574" s="16"/>
      <c r="M2574">
        <v>1</v>
      </c>
      <c r="N2574">
        <v>186</v>
      </c>
      <c r="O2574">
        <v>0</v>
      </c>
      <c r="P2574">
        <v>0.5</v>
      </c>
      <c r="Q2574">
        <v>93</v>
      </c>
      <c r="R2574">
        <v>0</v>
      </c>
      <c r="S2574">
        <v>0</v>
      </c>
      <c r="T2574" t="s">
        <v>52</v>
      </c>
      <c r="U2574">
        <v>0</v>
      </c>
      <c r="V2574">
        <v>0</v>
      </c>
      <c r="W2574">
        <v>400017</v>
      </c>
      <c r="X2574" t="s">
        <v>56</v>
      </c>
      <c r="Y2574" t="s">
        <v>57</v>
      </c>
      <c r="AE2574">
        <v>0</v>
      </c>
      <c r="AP2574" t="s">
        <v>49</v>
      </c>
    </row>
    <row r="2575" spans="1:42" ht="15.6">
      <c r="A2575" s="1" t="s">
        <v>46</v>
      </c>
      <c r="B2575" s="1" t="s">
        <v>5144</v>
      </c>
      <c r="C2575" s="1" t="s">
        <v>5144</v>
      </c>
      <c r="E2575" s="15" t="s">
        <v>1259</v>
      </c>
      <c r="G2575" s="16"/>
      <c r="M2575">
        <v>1</v>
      </c>
      <c r="N2575">
        <v>1</v>
      </c>
      <c r="O2575">
        <v>0</v>
      </c>
      <c r="P2575">
        <v>10</v>
      </c>
      <c r="Q2575">
        <v>10</v>
      </c>
      <c r="R2575">
        <v>0</v>
      </c>
      <c r="S2575">
        <v>0</v>
      </c>
      <c r="T2575" t="s">
        <v>3335</v>
      </c>
      <c r="U2575">
        <v>0</v>
      </c>
      <c r="V2575">
        <v>0</v>
      </c>
      <c r="W2575">
        <v>400017</v>
      </c>
      <c r="X2575" t="s">
        <v>56</v>
      </c>
      <c r="Y2575" t="s">
        <v>57</v>
      </c>
      <c r="AE2575">
        <v>0</v>
      </c>
      <c r="AP2575" t="s">
        <v>49</v>
      </c>
    </row>
    <row r="2576" spans="1:42" ht="15.6">
      <c r="A2576" s="1" t="s">
        <v>46</v>
      </c>
      <c r="B2576" s="1" t="s">
        <v>5145</v>
      </c>
      <c r="C2576" s="1" t="s">
        <v>5145</v>
      </c>
      <c r="E2576" s="15" t="s">
        <v>1263</v>
      </c>
      <c r="G2576" s="16"/>
      <c r="M2576">
        <v>1</v>
      </c>
      <c r="N2576">
        <v>900</v>
      </c>
      <c r="O2576">
        <v>0</v>
      </c>
      <c r="P2576">
        <v>7.0000000000000007E-2</v>
      </c>
      <c r="Q2576">
        <v>63</v>
      </c>
      <c r="R2576">
        <v>0</v>
      </c>
      <c r="S2576">
        <v>0</v>
      </c>
      <c r="T2576" t="s">
        <v>52</v>
      </c>
      <c r="U2576">
        <v>0</v>
      </c>
      <c r="V2576">
        <v>0</v>
      </c>
      <c r="W2576">
        <v>400017</v>
      </c>
      <c r="X2576" t="s">
        <v>56</v>
      </c>
      <c r="Y2576" t="s">
        <v>57</v>
      </c>
      <c r="AE2576">
        <v>0</v>
      </c>
      <c r="AP2576" t="s">
        <v>49</v>
      </c>
    </row>
    <row r="2577" spans="1:42" ht="15.6">
      <c r="A2577" s="1" t="s">
        <v>46</v>
      </c>
      <c r="B2577" s="1" t="s">
        <v>5146</v>
      </c>
      <c r="C2577" s="1" t="s">
        <v>5146</v>
      </c>
      <c r="E2577" s="15" t="s">
        <v>1267</v>
      </c>
      <c r="G2577" s="16"/>
      <c r="M2577">
        <v>1</v>
      </c>
      <c r="N2577">
        <v>-18</v>
      </c>
      <c r="O2577">
        <v>0</v>
      </c>
      <c r="P2577">
        <v>0.15</v>
      </c>
      <c r="Q2577">
        <v>-2.7</v>
      </c>
      <c r="R2577">
        <v>0</v>
      </c>
      <c r="S2577">
        <v>0</v>
      </c>
      <c r="T2577" t="s">
        <v>52</v>
      </c>
      <c r="W2577">
        <v>400156</v>
      </c>
      <c r="AE2577">
        <v>0</v>
      </c>
      <c r="AP2577" t="s">
        <v>5147</v>
      </c>
    </row>
    <row r="2578" spans="1:42" ht="15.6">
      <c r="A2578" s="1" t="s">
        <v>46</v>
      </c>
      <c r="B2578" s="1" t="s">
        <v>5148</v>
      </c>
      <c r="C2578" s="1" t="s">
        <v>5148</v>
      </c>
      <c r="E2578" s="15" t="s">
        <v>1271</v>
      </c>
      <c r="G2578" s="16"/>
      <c r="M2578">
        <v>1</v>
      </c>
      <c r="N2578">
        <v>-1</v>
      </c>
      <c r="O2578">
        <v>0</v>
      </c>
      <c r="AE2578">
        <v>0</v>
      </c>
    </row>
    <row r="2579" spans="1:42" ht="15.6">
      <c r="A2579" s="1" t="s">
        <v>46</v>
      </c>
      <c r="B2579" s="1" t="s">
        <v>5149</v>
      </c>
      <c r="C2579" s="1" t="s">
        <v>5149</v>
      </c>
      <c r="E2579" s="15" t="s">
        <v>5150</v>
      </c>
      <c r="G2579" s="16"/>
      <c r="M2579">
        <v>1</v>
      </c>
      <c r="N2579">
        <v>60</v>
      </c>
      <c r="O2579">
        <v>0</v>
      </c>
      <c r="P2579">
        <v>40</v>
      </c>
      <c r="Q2579">
        <v>2400</v>
      </c>
      <c r="R2579">
        <v>0</v>
      </c>
      <c r="S2579">
        <v>0</v>
      </c>
      <c r="T2579" t="s">
        <v>52</v>
      </c>
      <c r="U2579">
        <v>0</v>
      </c>
      <c r="V2579">
        <v>0</v>
      </c>
      <c r="W2579">
        <v>400028</v>
      </c>
      <c r="X2579" t="s">
        <v>56</v>
      </c>
      <c r="Y2579" t="s">
        <v>57</v>
      </c>
      <c r="AE2579">
        <v>0</v>
      </c>
      <c r="AP2579" t="s">
        <v>246</v>
      </c>
    </row>
    <row r="2580" spans="1:42" ht="15.6">
      <c r="A2580" s="1" t="s">
        <v>46</v>
      </c>
      <c r="B2580" s="1" t="s">
        <v>5151</v>
      </c>
      <c r="C2580" s="1" t="s">
        <v>5151</v>
      </c>
      <c r="E2580" s="15" t="s">
        <v>5152</v>
      </c>
      <c r="G2580" s="16"/>
      <c r="M2580">
        <v>1</v>
      </c>
      <c r="N2580">
        <v>-6</v>
      </c>
      <c r="O2580">
        <v>0</v>
      </c>
      <c r="P2580">
        <v>14</v>
      </c>
      <c r="Q2580">
        <v>-84</v>
      </c>
      <c r="R2580">
        <v>0</v>
      </c>
      <c r="S2580">
        <v>0</v>
      </c>
      <c r="T2580" t="s">
        <v>52</v>
      </c>
      <c r="W2580">
        <v>400028</v>
      </c>
      <c r="AE2580">
        <v>0</v>
      </c>
      <c r="AP2580" t="s">
        <v>246</v>
      </c>
    </row>
    <row r="2581" spans="1:42" ht="15.6">
      <c r="A2581" s="1" t="s">
        <v>46</v>
      </c>
      <c r="B2581" s="1" t="s">
        <v>5153</v>
      </c>
      <c r="C2581" s="1" t="s">
        <v>5153</v>
      </c>
      <c r="E2581" s="15" t="s">
        <v>5154</v>
      </c>
      <c r="G2581" s="16"/>
      <c r="M2581">
        <v>1</v>
      </c>
      <c r="N2581">
        <v>106</v>
      </c>
      <c r="O2581">
        <v>0</v>
      </c>
      <c r="P2581">
        <v>1</v>
      </c>
      <c r="Q2581">
        <v>106</v>
      </c>
      <c r="R2581">
        <v>0</v>
      </c>
      <c r="S2581">
        <v>0</v>
      </c>
      <c r="T2581" t="s">
        <v>52</v>
      </c>
      <c r="U2581">
        <v>0</v>
      </c>
      <c r="V2581">
        <v>0</v>
      </c>
      <c r="W2581">
        <v>400142</v>
      </c>
      <c r="AE2581">
        <v>0</v>
      </c>
      <c r="AP2581" t="s">
        <v>5155</v>
      </c>
    </row>
    <row r="2582" spans="1:42" ht="15.6">
      <c r="A2582" s="1" t="s">
        <v>46</v>
      </c>
      <c r="B2582" s="1" t="s">
        <v>5156</v>
      </c>
      <c r="C2582" s="1" t="s">
        <v>5156</v>
      </c>
      <c r="E2582" s="15" t="s">
        <v>5157</v>
      </c>
      <c r="G2582" s="16">
        <v>1.35</v>
      </c>
      <c r="M2582">
        <v>1</v>
      </c>
      <c r="N2582">
        <v>3</v>
      </c>
      <c r="O2582">
        <v>0</v>
      </c>
      <c r="P2582">
        <v>4.4400000000000004</v>
      </c>
      <c r="Q2582">
        <v>13.32</v>
      </c>
      <c r="R2582">
        <v>0</v>
      </c>
      <c r="S2582">
        <v>0</v>
      </c>
      <c r="T2582" t="s">
        <v>52</v>
      </c>
      <c r="W2582">
        <v>400028</v>
      </c>
      <c r="AE2582">
        <v>0</v>
      </c>
      <c r="AP2582" t="s">
        <v>246</v>
      </c>
    </row>
    <row r="2583" spans="1:42" ht="15.6">
      <c r="A2583" s="1" t="s">
        <v>46</v>
      </c>
      <c r="B2583" s="1" t="s">
        <v>5158</v>
      </c>
      <c r="C2583" s="1" t="s">
        <v>5158</v>
      </c>
      <c r="E2583" s="13" t="s">
        <v>5159</v>
      </c>
      <c r="G2583" s="16"/>
      <c r="M2583">
        <v>1</v>
      </c>
      <c r="N2583">
        <v>1</v>
      </c>
      <c r="O2583">
        <v>0</v>
      </c>
      <c r="P2583">
        <v>16</v>
      </c>
      <c r="Q2583">
        <v>16</v>
      </c>
      <c r="W2583">
        <v>400028</v>
      </c>
      <c r="AE2583">
        <v>0</v>
      </c>
      <c r="AP2583" t="s">
        <v>246</v>
      </c>
    </row>
    <row r="2584" spans="1:42" ht="15.6">
      <c r="A2584" s="1" t="s">
        <v>46</v>
      </c>
      <c r="B2584" s="1" t="s">
        <v>5160</v>
      </c>
      <c r="C2584" s="1" t="s">
        <v>5160</v>
      </c>
      <c r="E2584" s="13" t="s">
        <v>5161</v>
      </c>
      <c r="G2584" s="16"/>
      <c r="I2584">
        <v>3000</v>
      </c>
      <c r="M2584">
        <v>1</v>
      </c>
      <c r="N2584">
        <v>529</v>
      </c>
      <c r="O2584">
        <v>0</v>
      </c>
      <c r="P2584">
        <v>14</v>
      </c>
      <c r="Q2584">
        <v>7406</v>
      </c>
      <c r="R2584">
        <v>0</v>
      </c>
      <c r="S2584">
        <v>0</v>
      </c>
      <c r="T2584" t="s">
        <v>52</v>
      </c>
      <c r="U2584">
        <v>0</v>
      </c>
      <c r="V2584">
        <v>0</v>
      </c>
      <c r="W2584">
        <v>400028</v>
      </c>
      <c r="AE2584">
        <v>0</v>
      </c>
      <c r="AH2584">
        <v>3000</v>
      </c>
      <c r="AP2584" t="s">
        <v>246</v>
      </c>
    </row>
    <row r="2585" spans="1:42" ht="15.6">
      <c r="A2585" s="1" t="s">
        <v>46</v>
      </c>
      <c r="B2585" s="1" t="s">
        <v>5162</v>
      </c>
      <c r="C2585" s="1" t="s">
        <v>5162</v>
      </c>
      <c r="E2585" s="13" t="s">
        <v>5163</v>
      </c>
      <c r="G2585" s="16"/>
      <c r="M2585">
        <v>1</v>
      </c>
      <c r="N2585">
        <v>32</v>
      </c>
      <c r="O2585">
        <v>0</v>
      </c>
      <c r="P2585">
        <v>10</v>
      </c>
      <c r="Q2585">
        <v>320</v>
      </c>
      <c r="R2585">
        <v>0</v>
      </c>
      <c r="S2585">
        <v>0</v>
      </c>
      <c r="T2585" t="s">
        <v>52</v>
      </c>
      <c r="U2585">
        <v>0</v>
      </c>
      <c r="V2585">
        <v>0</v>
      </c>
      <c r="W2585">
        <v>400028</v>
      </c>
      <c r="AE2585">
        <v>0</v>
      </c>
      <c r="AP2585" t="s">
        <v>246</v>
      </c>
    </row>
    <row r="2586" spans="1:42" ht="15.6">
      <c r="A2586" s="1" t="s">
        <v>46</v>
      </c>
      <c r="B2586" s="1" t="s">
        <v>5164</v>
      </c>
      <c r="C2586" s="1" t="s">
        <v>5164</v>
      </c>
      <c r="E2586" s="13" t="s">
        <v>5165</v>
      </c>
      <c r="G2586" s="16">
        <v>6.5</v>
      </c>
      <c r="M2586">
        <v>1</v>
      </c>
      <c r="N2586">
        <v>60</v>
      </c>
      <c r="O2586">
        <v>0</v>
      </c>
      <c r="P2586">
        <v>7</v>
      </c>
      <c r="Q2586">
        <v>420</v>
      </c>
      <c r="R2586">
        <v>0</v>
      </c>
      <c r="S2586">
        <v>0</v>
      </c>
      <c r="T2586" t="s">
        <v>52</v>
      </c>
      <c r="U2586">
        <v>0</v>
      </c>
      <c r="V2586">
        <v>0</v>
      </c>
      <c r="W2586">
        <v>400139</v>
      </c>
      <c r="X2586" t="s">
        <v>56</v>
      </c>
      <c r="Y2586" t="s">
        <v>57</v>
      </c>
      <c r="AE2586">
        <v>0</v>
      </c>
      <c r="AP2586" t="s">
        <v>1233</v>
      </c>
    </row>
    <row r="2587" spans="1:42" ht="15.6">
      <c r="A2587" s="1" t="s">
        <v>46</v>
      </c>
      <c r="B2587" s="1" t="s">
        <v>5166</v>
      </c>
      <c r="C2587" s="1" t="s">
        <v>5166</v>
      </c>
      <c r="E2587" s="13" t="s">
        <v>5167</v>
      </c>
      <c r="G2587" s="16"/>
      <c r="I2587">
        <v>9.9</v>
      </c>
      <c r="M2587">
        <v>1</v>
      </c>
      <c r="N2587">
        <v>3</v>
      </c>
      <c r="O2587">
        <v>0</v>
      </c>
      <c r="P2587">
        <v>5.55</v>
      </c>
      <c r="Q2587">
        <v>16.649999999999999</v>
      </c>
      <c r="R2587" t="s">
        <v>107</v>
      </c>
      <c r="S2587">
        <v>0</v>
      </c>
      <c r="T2587" t="s">
        <v>52</v>
      </c>
      <c r="U2587">
        <v>0</v>
      </c>
      <c r="V2587">
        <v>0</v>
      </c>
      <c r="W2587">
        <v>400010</v>
      </c>
      <c r="AE2587">
        <v>0</v>
      </c>
      <c r="AH2587">
        <v>9.9</v>
      </c>
      <c r="AP2587" t="s">
        <v>66</v>
      </c>
    </row>
    <row r="2588" spans="1:42" ht="15.6">
      <c r="A2588" s="1" t="s">
        <v>46</v>
      </c>
      <c r="B2588" s="1" t="s">
        <v>5168</v>
      </c>
      <c r="C2588" s="1" t="s">
        <v>5168</v>
      </c>
      <c r="E2588" s="13" t="s">
        <v>5169</v>
      </c>
      <c r="G2588" s="16"/>
      <c r="M2588">
        <v>1</v>
      </c>
      <c r="N2588">
        <v>29</v>
      </c>
      <c r="O2588">
        <v>0</v>
      </c>
      <c r="P2588">
        <v>3.5</v>
      </c>
      <c r="Q2588">
        <v>101.5</v>
      </c>
      <c r="R2588">
        <v>0</v>
      </c>
      <c r="S2588">
        <v>0</v>
      </c>
      <c r="T2588" t="s">
        <v>52</v>
      </c>
      <c r="U2588">
        <v>0</v>
      </c>
      <c r="V2588">
        <v>0</v>
      </c>
      <c r="W2588">
        <v>400017</v>
      </c>
      <c r="X2588" t="s">
        <v>56</v>
      </c>
      <c r="Y2588" t="s">
        <v>57</v>
      </c>
      <c r="AE2588">
        <v>0</v>
      </c>
      <c r="AP2588" t="s">
        <v>49</v>
      </c>
    </row>
    <row r="2589" spans="1:42" ht="15.6">
      <c r="A2589" s="1" t="s">
        <v>46</v>
      </c>
      <c r="B2589" s="1" t="s">
        <v>5170</v>
      </c>
      <c r="C2589" s="1" t="s">
        <v>5170</v>
      </c>
      <c r="E2589" s="13" t="s">
        <v>5171</v>
      </c>
      <c r="G2589" s="16"/>
      <c r="M2589">
        <v>1</v>
      </c>
      <c r="N2589">
        <v>3</v>
      </c>
      <c r="O2589">
        <v>0</v>
      </c>
      <c r="P2589">
        <v>20</v>
      </c>
      <c r="Q2589">
        <v>60</v>
      </c>
      <c r="R2589">
        <v>0</v>
      </c>
      <c r="S2589">
        <v>0</v>
      </c>
      <c r="T2589" t="s">
        <v>17</v>
      </c>
      <c r="U2589">
        <v>0</v>
      </c>
      <c r="V2589">
        <v>0</v>
      </c>
      <c r="W2589">
        <v>400017</v>
      </c>
      <c r="X2589" t="s">
        <v>56</v>
      </c>
      <c r="Y2589" t="s">
        <v>57</v>
      </c>
      <c r="AE2589">
        <v>0</v>
      </c>
      <c r="AP2589" t="s">
        <v>49</v>
      </c>
    </row>
    <row r="2590" spans="1:42" ht="15.6">
      <c r="A2590" s="1" t="s">
        <v>46</v>
      </c>
      <c r="B2590" s="1" t="s">
        <v>5172</v>
      </c>
      <c r="C2590" s="1" t="s">
        <v>5172</v>
      </c>
      <c r="E2590" s="13" t="s">
        <v>5173</v>
      </c>
      <c r="G2590" s="16"/>
      <c r="M2590">
        <v>1</v>
      </c>
      <c r="N2590">
        <v>998</v>
      </c>
      <c r="O2590">
        <v>0</v>
      </c>
      <c r="P2590">
        <v>0.17</v>
      </c>
      <c r="Q2590">
        <v>166.88</v>
      </c>
      <c r="R2590">
        <v>0</v>
      </c>
      <c r="S2590">
        <v>0</v>
      </c>
      <c r="T2590" t="s">
        <v>17</v>
      </c>
      <c r="W2590">
        <v>400055</v>
      </c>
      <c r="AE2590">
        <v>0</v>
      </c>
      <c r="AP2590" t="s">
        <v>1236</v>
      </c>
    </row>
    <row r="2591" spans="1:42" ht="15.6">
      <c r="A2591" s="1" t="s">
        <v>46</v>
      </c>
      <c r="B2591" s="1" t="s">
        <v>5174</v>
      </c>
      <c r="C2591" s="1" t="s">
        <v>5174</v>
      </c>
      <c r="E2591" s="13" t="s">
        <v>5175</v>
      </c>
      <c r="G2591" s="16"/>
      <c r="M2591">
        <v>1</v>
      </c>
      <c r="N2591">
        <v>-5</v>
      </c>
      <c r="O2591">
        <v>0</v>
      </c>
      <c r="P2591">
        <v>7</v>
      </c>
      <c r="Q2591">
        <v>-35</v>
      </c>
      <c r="R2591">
        <v>0</v>
      </c>
      <c r="S2591">
        <v>0</v>
      </c>
      <c r="T2591" t="s">
        <v>52</v>
      </c>
      <c r="U2591">
        <v>0</v>
      </c>
      <c r="V2591">
        <v>0</v>
      </c>
      <c r="W2591">
        <v>400017</v>
      </c>
      <c r="AE2591">
        <v>0</v>
      </c>
      <c r="AP2591" t="s">
        <v>49</v>
      </c>
    </row>
    <row r="2592" spans="1:42" ht="15.6">
      <c r="A2592" s="1" t="s">
        <v>46</v>
      </c>
      <c r="B2592" s="1" t="s">
        <v>5176</v>
      </c>
      <c r="C2592" s="1" t="s">
        <v>5176</v>
      </c>
      <c r="E2592" s="13" t="s">
        <v>5177</v>
      </c>
      <c r="G2592" s="16"/>
      <c r="M2592">
        <v>1</v>
      </c>
      <c r="N2592">
        <v>-4</v>
      </c>
      <c r="O2592">
        <v>0</v>
      </c>
      <c r="P2592">
        <v>15000</v>
      </c>
      <c r="Q2592">
        <v>-60000</v>
      </c>
      <c r="R2592">
        <v>0</v>
      </c>
      <c r="S2592">
        <v>0</v>
      </c>
      <c r="T2592" t="s">
        <v>52</v>
      </c>
      <c r="W2592">
        <v>400004</v>
      </c>
      <c r="AE2592">
        <v>0</v>
      </c>
      <c r="AP2592" t="s">
        <v>352</v>
      </c>
    </row>
    <row r="2593" spans="1:42" ht="15.6">
      <c r="A2593" s="1" t="s">
        <v>46</v>
      </c>
      <c r="B2593" s="1" t="s">
        <v>5178</v>
      </c>
      <c r="C2593" s="1" t="s">
        <v>5178</v>
      </c>
      <c r="E2593" s="13" t="s">
        <v>5179</v>
      </c>
      <c r="G2593" s="16"/>
      <c r="M2593">
        <v>1</v>
      </c>
      <c r="N2593">
        <v>67</v>
      </c>
      <c r="O2593">
        <v>0</v>
      </c>
      <c r="P2593">
        <v>5</v>
      </c>
      <c r="Q2593">
        <v>335</v>
      </c>
      <c r="R2593">
        <v>0</v>
      </c>
      <c r="S2593">
        <v>0</v>
      </c>
      <c r="T2593" t="s">
        <v>52</v>
      </c>
      <c r="U2593">
        <v>0</v>
      </c>
      <c r="V2593">
        <v>0</v>
      </c>
      <c r="W2593">
        <v>400042</v>
      </c>
      <c r="X2593" t="s">
        <v>56</v>
      </c>
      <c r="Y2593" t="s">
        <v>57</v>
      </c>
      <c r="AE2593">
        <v>0</v>
      </c>
      <c r="AP2593" t="s">
        <v>154</v>
      </c>
    </row>
    <row r="2594" spans="1:42" ht="15.6">
      <c r="A2594" s="1" t="s">
        <v>46</v>
      </c>
      <c r="B2594" s="1" t="s">
        <v>5180</v>
      </c>
      <c r="C2594" s="1" t="s">
        <v>5180</v>
      </c>
      <c r="E2594" s="13" t="s">
        <v>5181</v>
      </c>
      <c r="G2594" s="16">
        <v>1</v>
      </c>
      <c r="M2594">
        <v>1</v>
      </c>
      <c r="N2594">
        <v>5</v>
      </c>
      <c r="O2594">
        <v>0</v>
      </c>
      <c r="P2594">
        <v>13.87</v>
      </c>
      <c r="Q2594">
        <v>69.349999999999994</v>
      </c>
      <c r="T2594" t="s">
        <v>52</v>
      </c>
      <c r="W2594">
        <v>400046</v>
      </c>
      <c r="AE2594">
        <v>0</v>
      </c>
      <c r="AP2594" t="s">
        <v>407</v>
      </c>
    </row>
    <row r="2595" spans="1:42" ht="15.6">
      <c r="A2595" s="1" t="s">
        <v>46</v>
      </c>
      <c r="B2595" s="1" t="s">
        <v>5182</v>
      </c>
      <c r="C2595" s="1" t="s">
        <v>5182</v>
      </c>
      <c r="E2595" s="13" t="s">
        <v>5183</v>
      </c>
      <c r="G2595" s="16">
        <v>1.35</v>
      </c>
      <c r="M2595">
        <v>1</v>
      </c>
      <c r="N2595">
        <v>5</v>
      </c>
      <c r="O2595">
        <v>0</v>
      </c>
      <c r="P2595">
        <v>16</v>
      </c>
      <c r="Q2595">
        <v>80</v>
      </c>
      <c r="W2595">
        <v>400026</v>
      </c>
      <c r="AE2595">
        <v>0</v>
      </c>
      <c r="AP2595" t="s">
        <v>187</v>
      </c>
    </row>
    <row r="2596" spans="1:42" ht="15.6">
      <c r="A2596" s="1" t="s">
        <v>46</v>
      </c>
      <c r="B2596" s="1" t="s">
        <v>5184</v>
      </c>
      <c r="C2596" s="1" t="s">
        <v>5184</v>
      </c>
      <c r="E2596" s="13" t="s">
        <v>5185</v>
      </c>
      <c r="G2596" s="16"/>
      <c r="M2596">
        <v>1</v>
      </c>
      <c r="N2596">
        <v>5</v>
      </c>
      <c r="O2596">
        <v>0</v>
      </c>
      <c r="P2596">
        <v>18.5</v>
      </c>
      <c r="Q2596">
        <v>92.5</v>
      </c>
      <c r="W2596">
        <v>400026</v>
      </c>
      <c r="AE2596">
        <v>0</v>
      </c>
      <c r="AP2596" t="s">
        <v>187</v>
      </c>
    </row>
    <row r="2597" spans="1:42" ht="15.6">
      <c r="A2597" s="1" t="s">
        <v>46</v>
      </c>
      <c r="B2597" s="1" t="s">
        <v>5186</v>
      </c>
      <c r="C2597" s="1" t="s">
        <v>5186</v>
      </c>
      <c r="E2597" s="13" t="s">
        <v>5187</v>
      </c>
      <c r="G2597" s="16"/>
      <c r="M2597">
        <v>1</v>
      </c>
      <c r="N2597">
        <v>398</v>
      </c>
      <c r="O2597">
        <v>0</v>
      </c>
      <c r="P2597">
        <v>0.45</v>
      </c>
      <c r="Q2597">
        <v>179.1</v>
      </c>
      <c r="R2597">
        <v>0</v>
      </c>
      <c r="S2597">
        <v>0</v>
      </c>
      <c r="T2597" t="s">
        <v>52</v>
      </c>
      <c r="U2597">
        <v>0</v>
      </c>
      <c r="V2597">
        <v>0</v>
      </c>
      <c r="W2597">
        <v>400013</v>
      </c>
      <c r="X2597" t="s">
        <v>56</v>
      </c>
      <c r="Y2597" t="s">
        <v>57</v>
      </c>
      <c r="AE2597">
        <v>0</v>
      </c>
      <c r="AP2597" t="s">
        <v>232</v>
      </c>
    </row>
    <row r="2598" spans="1:42" ht="15.6">
      <c r="A2598" s="1" t="s">
        <v>46</v>
      </c>
      <c r="B2598" s="1" t="s">
        <v>5188</v>
      </c>
      <c r="C2598" s="1" t="s">
        <v>5188</v>
      </c>
      <c r="E2598" s="13" t="s">
        <v>5189</v>
      </c>
      <c r="G2598" s="16"/>
      <c r="M2598">
        <v>1</v>
      </c>
      <c r="N2598">
        <v>292</v>
      </c>
      <c r="O2598">
        <v>0</v>
      </c>
      <c r="P2598">
        <v>0.65</v>
      </c>
      <c r="Q2598">
        <v>189.8</v>
      </c>
      <c r="R2598">
        <v>0</v>
      </c>
      <c r="S2598">
        <v>0</v>
      </c>
      <c r="T2598" t="s">
        <v>52</v>
      </c>
      <c r="U2598">
        <v>0</v>
      </c>
      <c r="V2598">
        <v>0</v>
      </c>
      <c r="W2598">
        <v>400166</v>
      </c>
      <c r="AE2598">
        <v>0</v>
      </c>
      <c r="AP2598" t="s">
        <v>540</v>
      </c>
    </row>
    <row r="2599" spans="1:42" ht="15.6">
      <c r="A2599" s="1" t="s">
        <v>46</v>
      </c>
      <c r="B2599" s="1" t="s">
        <v>5190</v>
      </c>
      <c r="C2599" s="1" t="s">
        <v>5190</v>
      </c>
      <c r="E2599" s="13" t="s">
        <v>5191</v>
      </c>
      <c r="G2599" s="16"/>
      <c r="M2599">
        <v>1</v>
      </c>
      <c r="N2599">
        <v>-7</v>
      </c>
      <c r="O2599">
        <v>0</v>
      </c>
      <c r="P2599">
        <v>5.5</v>
      </c>
      <c r="Q2599">
        <v>-38.5</v>
      </c>
      <c r="T2599" t="s">
        <v>52</v>
      </c>
      <c r="W2599">
        <v>400026</v>
      </c>
      <c r="AE2599">
        <v>0</v>
      </c>
      <c r="AP2599" t="s">
        <v>187</v>
      </c>
    </row>
    <row r="2600" spans="1:42" ht="15.6">
      <c r="A2600" s="1" t="s">
        <v>46</v>
      </c>
      <c r="B2600" s="1" t="s">
        <v>5192</v>
      </c>
      <c r="C2600" s="1" t="s">
        <v>5192</v>
      </c>
      <c r="E2600" s="13" t="s">
        <v>5193</v>
      </c>
      <c r="G2600" s="16"/>
      <c r="M2600">
        <v>1</v>
      </c>
      <c r="N2600">
        <v>112</v>
      </c>
      <c r="O2600">
        <v>0</v>
      </c>
      <c r="P2600">
        <v>6.11</v>
      </c>
      <c r="Q2600">
        <v>684.32</v>
      </c>
      <c r="R2600">
        <v>0</v>
      </c>
      <c r="S2600">
        <v>0</v>
      </c>
      <c r="T2600" t="s">
        <v>52</v>
      </c>
      <c r="U2600">
        <v>0</v>
      </c>
      <c r="V2600">
        <v>0</v>
      </c>
      <c r="W2600">
        <v>400013</v>
      </c>
      <c r="X2600" t="s">
        <v>56</v>
      </c>
      <c r="Y2600" t="s">
        <v>57</v>
      </c>
      <c r="AE2600">
        <v>0</v>
      </c>
      <c r="AP2600" t="s">
        <v>232</v>
      </c>
    </row>
    <row r="2601" spans="1:42" ht="15.6">
      <c r="A2601" s="1" t="s">
        <v>46</v>
      </c>
      <c r="B2601" s="1" t="s">
        <v>5194</v>
      </c>
      <c r="C2601" s="1" t="s">
        <v>5194</v>
      </c>
      <c r="E2601" s="13" t="s">
        <v>5195</v>
      </c>
      <c r="G2601" s="16"/>
      <c r="M2601">
        <v>1</v>
      </c>
      <c r="N2601">
        <v>96</v>
      </c>
      <c r="O2601">
        <v>0</v>
      </c>
      <c r="P2601">
        <v>2.25</v>
      </c>
      <c r="Q2601">
        <v>216</v>
      </c>
      <c r="R2601">
        <v>0</v>
      </c>
      <c r="S2601">
        <v>0</v>
      </c>
      <c r="T2601" t="s">
        <v>52</v>
      </c>
      <c r="W2601">
        <v>400080</v>
      </c>
      <c r="AE2601">
        <v>0</v>
      </c>
      <c r="AP2601" t="s">
        <v>696</v>
      </c>
    </row>
    <row r="2602" spans="1:42" ht="15.6">
      <c r="A2602" s="1" t="s">
        <v>46</v>
      </c>
      <c r="B2602" s="1" t="s">
        <v>5196</v>
      </c>
      <c r="C2602" s="1" t="s">
        <v>5196</v>
      </c>
      <c r="E2602" s="13" t="s">
        <v>5197</v>
      </c>
      <c r="G2602" s="16"/>
      <c r="M2602">
        <v>1</v>
      </c>
      <c r="N2602">
        <v>-232</v>
      </c>
      <c r="O2602">
        <v>0</v>
      </c>
      <c r="P2602">
        <v>0.6</v>
      </c>
      <c r="Q2602">
        <v>-139.19999999999999</v>
      </c>
      <c r="R2602">
        <v>0</v>
      </c>
      <c r="S2602">
        <v>0</v>
      </c>
      <c r="T2602" t="s">
        <v>52</v>
      </c>
      <c r="W2602">
        <v>400066</v>
      </c>
      <c r="AE2602">
        <v>0</v>
      </c>
      <c r="AP2602" t="s">
        <v>680</v>
      </c>
    </row>
    <row r="2603" spans="1:42" ht="15.6">
      <c r="A2603" s="1" t="s">
        <v>46</v>
      </c>
      <c r="B2603" s="1" t="s">
        <v>5198</v>
      </c>
      <c r="C2603" s="1" t="s">
        <v>5198</v>
      </c>
      <c r="E2603" s="13" t="s">
        <v>5199</v>
      </c>
      <c r="G2603" s="16"/>
      <c r="M2603">
        <v>1</v>
      </c>
      <c r="N2603">
        <v>-2</v>
      </c>
      <c r="O2603">
        <v>0</v>
      </c>
      <c r="P2603">
        <v>3.5</v>
      </c>
      <c r="Q2603">
        <v>-7</v>
      </c>
      <c r="R2603">
        <v>0</v>
      </c>
      <c r="S2603">
        <v>0</v>
      </c>
      <c r="T2603" t="s">
        <v>52</v>
      </c>
      <c r="U2603">
        <v>0</v>
      </c>
      <c r="V2603">
        <v>0</v>
      </c>
      <c r="W2603">
        <v>400042</v>
      </c>
      <c r="AE2603">
        <v>0</v>
      </c>
      <c r="AP2603" t="s">
        <v>154</v>
      </c>
    </row>
    <row r="2604" spans="1:42" ht="15.6">
      <c r="A2604" s="1" t="s">
        <v>46</v>
      </c>
      <c r="B2604" s="1" t="s">
        <v>5200</v>
      </c>
      <c r="C2604" s="1" t="s">
        <v>5200</v>
      </c>
      <c r="E2604" s="13" t="s">
        <v>5201</v>
      </c>
      <c r="G2604" s="16"/>
      <c r="M2604">
        <v>1</v>
      </c>
      <c r="N2604">
        <v>750</v>
      </c>
      <c r="O2604">
        <v>0</v>
      </c>
      <c r="P2604">
        <v>3.75</v>
      </c>
      <c r="Q2604">
        <v>2812.5</v>
      </c>
      <c r="R2604">
        <v>0</v>
      </c>
      <c r="S2604">
        <v>0</v>
      </c>
      <c r="T2604" t="s">
        <v>52</v>
      </c>
      <c r="U2604">
        <v>0</v>
      </c>
      <c r="V2604">
        <v>0</v>
      </c>
      <c r="W2604">
        <v>400214</v>
      </c>
      <c r="AE2604">
        <v>0</v>
      </c>
      <c r="AP2604" t="s">
        <v>689</v>
      </c>
    </row>
    <row r="2605" spans="1:42" ht="15.6">
      <c r="A2605" s="1" t="s">
        <v>46</v>
      </c>
      <c r="B2605" s="1" t="s">
        <v>5202</v>
      </c>
      <c r="C2605" s="1" t="s">
        <v>5202</v>
      </c>
      <c r="E2605" s="13" t="s">
        <v>5203</v>
      </c>
      <c r="G2605" s="16"/>
      <c r="M2605">
        <v>1</v>
      </c>
      <c r="N2605">
        <v>540</v>
      </c>
      <c r="O2605">
        <v>0</v>
      </c>
      <c r="P2605">
        <v>1.25</v>
      </c>
      <c r="Q2605">
        <v>675</v>
      </c>
      <c r="R2605">
        <v>0</v>
      </c>
      <c r="S2605">
        <v>0</v>
      </c>
      <c r="T2605" t="s">
        <v>52</v>
      </c>
      <c r="W2605">
        <v>410120</v>
      </c>
      <c r="AE2605">
        <v>0</v>
      </c>
      <c r="AP2605" t="s">
        <v>112</v>
      </c>
    </row>
    <row r="2606" spans="1:42" ht="15.6">
      <c r="A2606" s="1" t="s">
        <v>46</v>
      </c>
      <c r="B2606" s="1" t="s">
        <v>5204</v>
      </c>
      <c r="C2606" s="1" t="s">
        <v>5204</v>
      </c>
      <c r="E2606" s="13" t="s">
        <v>5205</v>
      </c>
      <c r="G2606" s="16"/>
      <c r="M2606">
        <v>1</v>
      </c>
      <c r="N2606">
        <v>-1</v>
      </c>
      <c r="O2606">
        <v>0</v>
      </c>
      <c r="P2606">
        <v>57</v>
      </c>
      <c r="Q2606">
        <v>-57</v>
      </c>
      <c r="R2606">
        <v>0</v>
      </c>
      <c r="S2606">
        <v>0</v>
      </c>
      <c r="T2606">
        <v>0</v>
      </c>
      <c r="W2606">
        <v>400030</v>
      </c>
      <c r="AE2606">
        <v>0</v>
      </c>
      <c r="AP2606" t="s">
        <v>92</v>
      </c>
    </row>
    <row r="2607" spans="1:42" ht="15.6">
      <c r="A2607" s="1" t="s">
        <v>46</v>
      </c>
      <c r="B2607" s="1" t="s">
        <v>5206</v>
      </c>
      <c r="C2607" s="1" t="s">
        <v>5206</v>
      </c>
      <c r="E2607" s="13" t="s">
        <v>5207</v>
      </c>
      <c r="G2607" s="16"/>
      <c r="M2607">
        <v>1</v>
      </c>
      <c r="N2607">
        <v>13</v>
      </c>
      <c r="O2607">
        <v>0</v>
      </c>
      <c r="P2607">
        <v>1.25</v>
      </c>
      <c r="Q2607">
        <v>16.25</v>
      </c>
      <c r="R2607">
        <v>0</v>
      </c>
      <c r="S2607">
        <v>0</v>
      </c>
      <c r="T2607" t="s">
        <v>52</v>
      </c>
      <c r="W2607">
        <v>400111</v>
      </c>
      <c r="AE2607">
        <v>0</v>
      </c>
      <c r="AP2607" t="s">
        <v>646</v>
      </c>
    </row>
    <row r="2608" spans="1:42" ht="15.6">
      <c r="A2608" s="1" t="s">
        <v>46</v>
      </c>
      <c r="B2608" s="1" t="s">
        <v>5208</v>
      </c>
      <c r="C2608" s="1" t="s">
        <v>5208</v>
      </c>
      <c r="E2608" s="13" t="s">
        <v>5209</v>
      </c>
      <c r="G2608" s="16"/>
      <c r="M2608">
        <v>1</v>
      </c>
      <c r="N2608">
        <v>1275.5</v>
      </c>
      <c r="O2608">
        <v>0</v>
      </c>
      <c r="P2608">
        <v>0.5</v>
      </c>
      <c r="Q2608">
        <v>637.75</v>
      </c>
      <c r="R2608">
        <v>0</v>
      </c>
      <c r="S2608">
        <v>0</v>
      </c>
      <c r="T2608" t="s">
        <v>4637</v>
      </c>
      <c r="U2608">
        <v>0</v>
      </c>
      <c r="V2608">
        <v>0</v>
      </c>
      <c r="W2608">
        <v>400017</v>
      </c>
      <c r="X2608" t="s">
        <v>56</v>
      </c>
      <c r="Y2608" t="s">
        <v>57</v>
      </c>
      <c r="AE2608">
        <v>0</v>
      </c>
      <c r="AP2608" t="s">
        <v>49</v>
      </c>
    </row>
    <row r="2609" spans="1:42" ht="15.6">
      <c r="E2609" s="13" t="s">
        <v>5210</v>
      </c>
      <c r="G2609" s="16"/>
    </row>
    <row r="2610" spans="1:42" ht="15.6">
      <c r="E2610" s="13" t="s">
        <v>5211</v>
      </c>
      <c r="G2610" s="16"/>
    </row>
    <row r="2611" spans="1:42" ht="15.6">
      <c r="E2611" s="13" t="s">
        <v>5212</v>
      </c>
      <c r="G2611" s="16"/>
    </row>
    <row r="2612" spans="1:42" ht="15.6">
      <c r="E2612" s="13" t="s">
        <v>5213</v>
      </c>
      <c r="G2612" s="16"/>
    </row>
    <row r="2613" spans="1:42" ht="15.6">
      <c r="E2613" s="13" t="s">
        <v>5214</v>
      </c>
      <c r="G2613" s="16"/>
    </row>
    <row r="2614" spans="1:42" ht="15.6">
      <c r="A2614" s="1" t="s">
        <v>46</v>
      </c>
      <c r="B2614" s="1" t="s">
        <v>5215</v>
      </c>
      <c r="C2614" s="1" t="s">
        <v>5215</v>
      </c>
      <c r="E2614" s="13" t="s">
        <v>5216</v>
      </c>
      <c r="G2614" s="16"/>
      <c r="I2614">
        <v>38.5</v>
      </c>
      <c r="M2614">
        <v>1</v>
      </c>
      <c r="N2614">
        <v>70</v>
      </c>
      <c r="O2614">
        <v>0</v>
      </c>
      <c r="P2614">
        <v>22.78</v>
      </c>
      <c r="Q2614">
        <v>1594.4</v>
      </c>
      <c r="R2614" t="s">
        <v>107</v>
      </c>
      <c r="S2614">
        <v>0</v>
      </c>
      <c r="T2614" t="s">
        <v>52</v>
      </c>
      <c r="U2614">
        <v>0</v>
      </c>
      <c r="V2614">
        <v>0</v>
      </c>
      <c r="W2614">
        <v>400045</v>
      </c>
      <c r="AE2614">
        <v>0</v>
      </c>
      <c r="AH2614">
        <v>38.5</v>
      </c>
      <c r="AP2614" t="s">
        <v>217</v>
      </c>
    </row>
    <row r="2615" spans="1:42" ht="15.6">
      <c r="E2615" s="13" t="s">
        <v>5217</v>
      </c>
      <c r="G2615" s="16"/>
    </row>
    <row r="2616" spans="1:42" ht="15.6">
      <c r="A2616" s="1" t="s">
        <v>46</v>
      </c>
      <c r="B2616" s="1" t="s">
        <v>5218</v>
      </c>
      <c r="C2616" s="1" t="s">
        <v>5218</v>
      </c>
      <c r="E2616" s="13" t="s">
        <v>5219</v>
      </c>
      <c r="G2616" s="16">
        <v>1.25</v>
      </c>
      <c r="M2616">
        <v>1</v>
      </c>
      <c r="N2616">
        <v>3</v>
      </c>
      <c r="O2616">
        <v>0</v>
      </c>
      <c r="P2616">
        <v>78.81</v>
      </c>
      <c r="Q2616">
        <v>236.43</v>
      </c>
      <c r="R2616" t="s">
        <v>107</v>
      </c>
      <c r="S2616">
        <v>0</v>
      </c>
      <c r="T2616" t="s">
        <v>52</v>
      </c>
      <c r="W2616">
        <v>400207</v>
      </c>
      <c r="AE2616">
        <v>0</v>
      </c>
      <c r="AP2616" t="s">
        <v>483</v>
      </c>
    </row>
    <row r="2617" spans="1:42" ht="15.6">
      <c r="A2617" s="1" t="s">
        <v>46</v>
      </c>
      <c r="B2617" s="1" t="s">
        <v>5220</v>
      </c>
      <c r="C2617" s="1" t="s">
        <v>5220</v>
      </c>
      <c r="E2617" s="13" t="s">
        <v>5221</v>
      </c>
      <c r="G2617" s="16"/>
      <c r="M2617">
        <v>1</v>
      </c>
      <c r="N2617">
        <v>1</v>
      </c>
      <c r="O2617">
        <v>0</v>
      </c>
      <c r="P2617">
        <v>94.33</v>
      </c>
      <c r="Q2617">
        <v>94.33</v>
      </c>
      <c r="R2617" t="s">
        <v>107</v>
      </c>
      <c r="S2617">
        <v>0</v>
      </c>
      <c r="T2617" t="s">
        <v>52</v>
      </c>
      <c r="W2617">
        <v>400010</v>
      </c>
      <c r="AE2617">
        <v>0</v>
      </c>
      <c r="AP2617" t="s">
        <v>66</v>
      </c>
    </row>
    <row r="2618" spans="1:42" ht="15.6">
      <c r="A2618" s="1" t="s">
        <v>46</v>
      </c>
      <c r="B2618" s="1" t="s">
        <v>5222</v>
      </c>
      <c r="C2618" s="1" t="s">
        <v>5222</v>
      </c>
      <c r="E2618" s="13" t="s">
        <v>5223</v>
      </c>
      <c r="G2618" s="16"/>
      <c r="I2618">
        <v>89.1</v>
      </c>
      <c r="M2618">
        <v>1</v>
      </c>
      <c r="N2618">
        <v>41</v>
      </c>
      <c r="O2618">
        <v>0</v>
      </c>
      <c r="P2618">
        <v>36.96</v>
      </c>
      <c r="Q2618">
        <v>1515.48</v>
      </c>
      <c r="R2618" t="s">
        <v>107</v>
      </c>
      <c r="S2618">
        <v>0</v>
      </c>
      <c r="T2618" t="s">
        <v>52</v>
      </c>
      <c r="U2618">
        <v>0</v>
      </c>
      <c r="V2618">
        <v>0</v>
      </c>
      <c r="W2618">
        <v>400207</v>
      </c>
      <c r="X2618" t="s">
        <v>56</v>
      </c>
      <c r="Y2618" t="s">
        <v>57</v>
      </c>
      <c r="AE2618">
        <v>0</v>
      </c>
      <c r="AH2618">
        <v>89.1</v>
      </c>
      <c r="AP2618" t="s">
        <v>483</v>
      </c>
    </row>
    <row r="2619" spans="1:42" ht="15.6">
      <c r="E2619" s="13" t="s">
        <v>5224</v>
      </c>
      <c r="G2619" s="16"/>
    </row>
    <row r="2620" spans="1:42" ht="15.6">
      <c r="A2620" s="1" t="s">
        <v>46</v>
      </c>
      <c r="B2620" s="1" t="s">
        <v>5225</v>
      </c>
      <c r="C2620" s="1" t="s">
        <v>5225</v>
      </c>
      <c r="E2620" s="13" t="s">
        <v>5226</v>
      </c>
      <c r="G2620" s="16"/>
      <c r="I2620">
        <v>101.2</v>
      </c>
      <c r="M2620">
        <v>1</v>
      </c>
      <c r="N2620">
        <v>7</v>
      </c>
      <c r="O2620">
        <v>0</v>
      </c>
      <c r="P2620">
        <v>37.78</v>
      </c>
      <c r="Q2620">
        <v>264.45999999999998</v>
      </c>
      <c r="R2620" t="s">
        <v>107</v>
      </c>
      <c r="S2620">
        <v>0</v>
      </c>
      <c r="T2620" t="s">
        <v>52</v>
      </c>
      <c r="U2620">
        <v>0</v>
      </c>
      <c r="V2620">
        <v>0</v>
      </c>
      <c r="W2620">
        <v>400010</v>
      </c>
      <c r="AE2620">
        <v>0</v>
      </c>
      <c r="AH2620">
        <v>101.2</v>
      </c>
      <c r="AP2620" t="s">
        <v>66</v>
      </c>
    </row>
    <row r="2621" spans="1:42" ht="15.6">
      <c r="A2621" s="1" t="s">
        <v>46</v>
      </c>
      <c r="B2621" s="1" t="s">
        <v>5227</v>
      </c>
      <c r="C2621" s="1" t="s">
        <v>5227</v>
      </c>
      <c r="E2621" s="13" t="s">
        <v>5228</v>
      </c>
      <c r="G2621" s="16"/>
      <c r="I2621">
        <v>101.2</v>
      </c>
      <c r="M2621">
        <v>1</v>
      </c>
      <c r="N2621">
        <v>4</v>
      </c>
      <c r="O2621">
        <v>0</v>
      </c>
      <c r="P2621">
        <v>36.96</v>
      </c>
      <c r="Q2621">
        <v>147.85</v>
      </c>
      <c r="R2621" t="s">
        <v>107</v>
      </c>
      <c r="S2621">
        <v>0</v>
      </c>
      <c r="T2621" t="s">
        <v>52</v>
      </c>
      <c r="U2621">
        <v>0</v>
      </c>
      <c r="V2621">
        <v>0</v>
      </c>
      <c r="W2621">
        <v>400207</v>
      </c>
      <c r="AE2621">
        <v>0</v>
      </c>
      <c r="AH2621">
        <v>101.2</v>
      </c>
      <c r="AP2621" t="s">
        <v>483</v>
      </c>
    </row>
    <row r="2622" spans="1:42" ht="15.6">
      <c r="A2622" s="1" t="s">
        <v>46</v>
      </c>
      <c r="B2622" s="1" t="s">
        <v>5229</v>
      </c>
      <c r="C2622" s="1" t="s">
        <v>5229</v>
      </c>
      <c r="E2622" s="13" t="s">
        <v>5230</v>
      </c>
      <c r="G2622" s="16">
        <v>2.75</v>
      </c>
      <c r="I2622">
        <v>101.2</v>
      </c>
      <c r="M2622">
        <v>1</v>
      </c>
      <c r="N2622">
        <v>2</v>
      </c>
      <c r="O2622">
        <v>0</v>
      </c>
      <c r="P2622">
        <v>41.07</v>
      </c>
      <c r="Q2622">
        <v>82.14</v>
      </c>
      <c r="R2622" t="s">
        <v>107</v>
      </c>
      <c r="S2622">
        <v>0</v>
      </c>
      <c r="T2622" t="s">
        <v>52</v>
      </c>
      <c r="U2622">
        <v>0</v>
      </c>
      <c r="V2622">
        <v>0</v>
      </c>
      <c r="W2622">
        <v>400202</v>
      </c>
      <c r="AE2622">
        <v>0</v>
      </c>
      <c r="AH2622">
        <v>101.2</v>
      </c>
      <c r="AP2622" t="s">
        <v>5231</v>
      </c>
    </row>
    <row r="2623" spans="1:42" ht="15.6">
      <c r="A2623" s="1" t="s">
        <v>46</v>
      </c>
      <c r="B2623" s="1" t="s">
        <v>5232</v>
      </c>
      <c r="C2623" s="1" t="s">
        <v>5232</v>
      </c>
      <c r="E2623" s="13" t="s">
        <v>5233</v>
      </c>
      <c r="G2623" s="16">
        <v>3.5</v>
      </c>
      <c r="I2623">
        <v>101.2</v>
      </c>
      <c r="M2623">
        <v>1</v>
      </c>
      <c r="N2623">
        <v>2</v>
      </c>
      <c r="O2623">
        <v>0</v>
      </c>
      <c r="P2623">
        <v>41.07</v>
      </c>
      <c r="Q2623">
        <v>82.14</v>
      </c>
      <c r="R2623" t="s">
        <v>107</v>
      </c>
      <c r="S2623">
        <v>0</v>
      </c>
      <c r="T2623" t="s">
        <v>52</v>
      </c>
      <c r="U2623">
        <v>0</v>
      </c>
      <c r="V2623">
        <v>0</v>
      </c>
      <c r="W2623">
        <v>400202</v>
      </c>
      <c r="AE2623">
        <v>0</v>
      </c>
      <c r="AH2623">
        <v>101.2</v>
      </c>
      <c r="AP2623" t="s">
        <v>5231</v>
      </c>
    </row>
    <row r="2624" spans="1:42" ht="15.6">
      <c r="A2624" s="1" t="s">
        <v>46</v>
      </c>
      <c r="B2624" s="1" t="s">
        <v>5234</v>
      </c>
      <c r="C2624" s="1" t="s">
        <v>5234</v>
      </c>
      <c r="E2624" s="13" t="s">
        <v>5235</v>
      </c>
      <c r="G2624" s="16"/>
      <c r="I2624">
        <v>101.2</v>
      </c>
      <c r="M2624">
        <v>1</v>
      </c>
      <c r="N2624">
        <v>6</v>
      </c>
      <c r="O2624">
        <v>0</v>
      </c>
      <c r="P2624">
        <v>28.75</v>
      </c>
      <c r="Q2624">
        <v>172.49</v>
      </c>
      <c r="R2624" t="s">
        <v>107</v>
      </c>
      <c r="S2624">
        <v>0</v>
      </c>
      <c r="T2624" t="s">
        <v>52</v>
      </c>
      <c r="U2624">
        <v>0</v>
      </c>
      <c r="V2624">
        <v>0</v>
      </c>
      <c r="W2624">
        <v>400207</v>
      </c>
      <c r="AE2624">
        <v>0</v>
      </c>
      <c r="AH2624">
        <v>101.2</v>
      </c>
      <c r="AP2624" t="s">
        <v>483</v>
      </c>
    </row>
    <row r="2625" spans="1:42" ht="15.6">
      <c r="A2625" s="1" t="s">
        <v>46</v>
      </c>
      <c r="B2625" s="1" t="s">
        <v>5236</v>
      </c>
      <c r="C2625" s="1" t="s">
        <v>5236</v>
      </c>
      <c r="E2625" s="13" t="s">
        <v>5237</v>
      </c>
      <c r="G2625" s="16"/>
      <c r="M2625">
        <v>1</v>
      </c>
      <c r="N2625">
        <v>110</v>
      </c>
      <c r="O2625">
        <v>0</v>
      </c>
      <c r="P2625">
        <v>15.54</v>
      </c>
      <c r="Q2625">
        <v>1709.4</v>
      </c>
      <c r="R2625" t="s">
        <v>107</v>
      </c>
      <c r="S2625">
        <v>0</v>
      </c>
      <c r="T2625" t="s">
        <v>52</v>
      </c>
      <c r="U2625">
        <v>0</v>
      </c>
      <c r="V2625">
        <v>0</v>
      </c>
      <c r="W2625">
        <v>400217</v>
      </c>
      <c r="AE2625">
        <v>0</v>
      </c>
      <c r="AP2625" t="s">
        <v>2762</v>
      </c>
    </row>
    <row r="2626" spans="1:42" ht="15.6">
      <c r="A2626" s="1" t="s">
        <v>46</v>
      </c>
      <c r="B2626" s="1" t="s">
        <v>5238</v>
      </c>
      <c r="C2626" s="1" t="s">
        <v>5238</v>
      </c>
      <c r="E2626" s="13" t="s">
        <v>5239</v>
      </c>
      <c r="G2626" s="16"/>
      <c r="M2626">
        <v>1</v>
      </c>
      <c r="N2626">
        <v>7</v>
      </c>
      <c r="O2626">
        <v>0</v>
      </c>
      <c r="P2626">
        <v>25.33</v>
      </c>
      <c r="Q2626">
        <v>177.31</v>
      </c>
      <c r="R2626" t="s">
        <v>107</v>
      </c>
      <c r="S2626">
        <v>0</v>
      </c>
      <c r="T2626" t="s">
        <v>52</v>
      </c>
      <c r="U2626">
        <v>0</v>
      </c>
      <c r="V2626">
        <v>0</v>
      </c>
      <c r="W2626">
        <v>400010</v>
      </c>
      <c r="AE2626">
        <v>0</v>
      </c>
      <c r="AP2626" t="s">
        <v>66</v>
      </c>
    </row>
    <row r="2627" spans="1:42" ht="15.6">
      <c r="A2627" s="1" t="s">
        <v>46</v>
      </c>
      <c r="B2627" s="1" t="s">
        <v>5240</v>
      </c>
      <c r="C2627" s="1" t="s">
        <v>5240</v>
      </c>
      <c r="E2627" s="13" t="s">
        <v>5241</v>
      </c>
      <c r="G2627" s="16"/>
      <c r="M2627">
        <v>1</v>
      </c>
      <c r="N2627">
        <v>6</v>
      </c>
      <c r="O2627">
        <v>0</v>
      </c>
      <c r="P2627">
        <v>71.260000000000005</v>
      </c>
      <c r="Q2627">
        <v>427.57</v>
      </c>
      <c r="R2627" t="s">
        <v>107</v>
      </c>
      <c r="S2627">
        <v>0</v>
      </c>
      <c r="T2627" t="s">
        <v>52</v>
      </c>
      <c r="U2627">
        <v>0</v>
      </c>
      <c r="V2627">
        <v>0</v>
      </c>
      <c r="W2627">
        <v>400202</v>
      </c>
      <c r="AE2627">
        <v>0</v>
      </c>
      <c r="AP2627" t="s">
        <v>5231</v>
      </c>
    </row>
    <row r="2628" spans="1:42" ht="15.6">
      <c r="A2628" s="1" t="s">
        <v>46</v>
      </c>
      <c r="B2628" s="1" t="s">
        <v>5242</v>
      </c>
      <c r="C2628" s="1" t="s">
        <v>5242</v>
      </c>
      <c r="E2628" s="13" t="s">
        <v>5243</v>
      </c>
      <c r="G2628" s="16">
        <v>2.25</v>
      </c>
      <c r="M2628">
        <v>1</v>
      </c>
      <c r="N2628">
        <v>130</v>
      </c>
      <c r="O2628">
        <v>0</v>
      </c>
      <c r="P2628">
        <v>7</v>
      </c>
      <c r="Q2628">
        <v>910</v>
      </c>
      <c r="R2628" t="s">
        <v>107</v>
      </c>
      <c r="S2628">
        <v>0</v>
      </c>
      <c r="T2628" t="s">
        <v>52</v>
      </c>
      <c r="U2628">
        <v>0</v>
      </c>
      <c r="V2628">
        <v>0</v>
      </c>
      <c r="W2628">
        <v>400033</v>
      </c>
      <c r="AE2628">
        <v>0</v>
      </c>
      <c r="AP2628" t="s">
        <v>126</v>
      </c>
    </row>
    <row r="2629" spans="1:42" ht="15.6">
      <c r="A2629" s="1" t="s">
        <v>46</v>
      </c>
      <c r="B2629" s="1" t="s">
        <v>5244</v>
      </c>
      <c r="C2629" s="1" t="s">
        <v>5244</v>
      </c>
      <c r="E2629" s="13" t="s">
        <v>5245</v>
      </c>
      <c r="G2629" s="16"/>
      <c r="I2629">
        <v>111.1</v>
      </c>
      <c r="M2629">
        <v>1</v>
      </c>
      <c r="N2629">
        <v>34</v>
      </c>
      <c r="O2629">
        <v>0</v>
      </c>
      <c r="P2629">
        <v>77.34</v>
      </c>
      <c r="Q2629">
        <v>2629.72</v>
      </c>
      <c r="R2629" t="s">
        <v>107</v>
      </c>
      <c r="S2629">
        <v>0</v>
      </c>
      <c r="T2629" t="s">
        <v>52</v>
      </c>
      <c r="U2629">
        <v>0</v>
      </c>
      <c r="V2629">
        <v>0</v>
      </c>
      <c r="W2629">
        <v>400207</v>
      </c>
      <c r="X2629" t="s">
        <v>56</v>
      </c>
      <c r="Y2629" t="s">
        <v>57</v>
      </c>
      <c r="AE2629">
        <v>0</v>
      </c>
      <c r="AH2629">
        <v>111.1</v>
      </c>
      <c r="AP2629" t="s">
        <v>483</v>
      </c>
    </row>
    <row r="2630" spans="1:42" ht="15.6">
      <c r="A2630" s="1" t="s">
        <v>46</v>
      </c>
      <c r="B2630" s="1" t="s">
        <v>5246</v>
      </c>
      <c r="C2630" s="1" t="s">
        <v>5246</v>
      </c>
      <c r="E2630" s="13" t="s">
        <v>5247</v>
      </c>
      <c r="G2630" s="16"/>
      <c r="I2630">
        <v>128.69999999999999</v>
      </c>
      <c r="M2630">
        <v>1</v>
      </c>
      <c r="N2630">
        <v>6</v>
      </c>
      <c r="O2630">
        <v>0</v>
      </c>
      <c r="P2630">
        <v>81.81</v>
      </c>
      <c r="Q2630">
        <v>490.84</v>
      </c>
      <c r="R2630" t="s">
        <v>107</v>
      </c>
      <c r="S2630">
        <v>0</v>
      </c>
      <c r="T2630" t="s">
        <v>52</v>
      </c>
      <c r="U2630">
        <v>0</v>
      </c>
      <c r="V2630">
        <v>0</v>
      </c>
      <c r="W2630">
        <v>400013</v>
      </c>
      <c r="AE2630">
        <v>0</v>
      </c>
      <c r="AH2630">
        <v>128.69999999999999</v>
      </c>
      <c r="AP2630" t="s">
        <v>232</v>
      </c>
    </row>
    <row r="2631" spans="1:42" ht="15.6">
      <c r="A2631" s="1" t="s">
        <v>46</v>
      </c>
      <c r="B2631" s="1" t="s">
        <v>5248</v>
      </c>
      <c r="C2631" s="1" t="s">
        <v>5248</v>
      </c>
      <c r="E2631" s="13" t="s">
        <v>5249</v>
      </c>
      <c r="G2631" s="16"/>
      <c r="M2631">
        <v>1</v>
      </c>
      <c r="N2631">
        <v>-2</v>
      </c>
      <c r="O2631">
        <v>0</v>
      </c>
      <c r="W2631">
        <v>400120</v>
      </c>
      <c r="AE2631">
        <v>0</v>
      </c>
      <c r="AP2631" t="s">
        <v>468</v>
      </c>
    </row>
    <row r="2632" spans="1:42" ht="15.6">
      <c r="A2632" s="1" t="s">
        <v>46</v>
      </c>
      <c r="B2632" s="1" t="s">
        <v>5250</v>
      </c>
      <c r="C2632" s="1" t="s">
        <v>5250</v>
      </c>
      <c r="E2632" s="13" t="s">
        <v>5251</v>
      </c>
      <c r="G2632" s="16"/>
      <c r="I2632">
        <v>113.3</v>
      </c>
      <c r="M2632">
        <v>1</v>
      </c>
      <c r="N2632">
        <v>1</v>
      </c>
      <c r="O2632">
        <v>0</v>
      </c>
      <c r="P2632">
        <v>82.58</v>
      </c>
      <c r="Q2632">
        <v>82.58</v>
      </c>
      <c r="R2632" t="s">
        <v>107</v>
      </c>
      <c r="S2632">
        <v>0</v>
      </c>
      <c r="T2632" t="s">
        <v>52</v>
      </c>
      <c r="U2632">
        <v>0</v>
      </c>
      <c r="V2632">
        <v>0</v>
      </c>
      <c r="W2632">
        <v>400010</v>
      </c>
      <c r="AE2632">
        <v>0</v>
      </c>
      <c r="AH2632">
        <v>113.3</v>
      </c>
      <c r="AP2632" t="s">
        <v>66</v>
      </c>
    </row>
    <row r="2633" spans="1:42" ht="15.6">
      <c r="A2633" s="1" t="s">
        <v>46</v>
      </c>
      <c r="B2633" s="1" t="s">
        <v>5252</v>
      </c>
      <c r="C2633" s="1" t="s">
        <v>5252</v>
      </c>
      <c r="E2633" s="13" t="s">
        <v>5253</v>
      </c>
      <c r="G2633" s="16"/>
      <c r="M2633">
        <v>1</v>
      </c>
      <c r="N2633">
        <v>-7</v>
      </c>
      <c r="O2633">
        <v>0</v>
      </c>
      <c r="P2633">
        <v>119.88</v>
      </c>
      <c r="Q2633">
        <v>-839.16</v>
      </c>
      <c r="R2633" t="s">
        <v>4272</v>
      </c>
      <c r="S2633">
        <v>0</v>
      </c>
      <c r="T2633" t="s">
        <v>52</v>
      </c>
      <c r="U2633">
        <v>0</v>
      </c>
      <c r="V2633">
        <v>0</v>
      </c>
      <c r="W2633">
        <v>400013</v>
      </c>
      <c r="AE2633">
        <v>0</v>
      </c>
      <c r="AP2633" t="s">
        <v>232</v>
      </c>
    </row>
    <row r="2634" spans="1:42" ht="15.6">
      <c r="E2634" s="13" t="s">
        <v>5254</v>
      </c>
      <c r="G2634" s="16"/>
    </row>
    <row r="2635" spans="1:42" ht="15.6">
      <c r="A2635" s="1" t="s">
        <v>46</v>
      </c>
      <c r="B2635" s="1" t="s">
        <v>5255</v>
      </c>
      <c r="C2635" s="1" t="s">
        <v>5255</v>
      </c>
      <c r="E2635" s="13" t="s">
        <v>5256</v>
      </c>
      <c r="G2635" s="16"/>
      <c r="I2635">
        <v>67</v>
      </c>
      <c r="M2635">
        <v>1</v>
      </c>
      <c r="N2635">
        <v>106</v>
      </c>
      <c r="O2635">
        <v>0</v>
      </c>
      <c r="P2635">
        <v>31.44</v>
      </c>
      <c r="Q2635">
        <v>3332.13</v>
      </c>
      <c r="R2635" t="s">
        <v>107</v>
      </c>
      <c r="S2635">
        <v>0</v>
      </c>
      <c r="T2635" t="s">
        <v>52</v>
      </c>
      <c r="U2635">
        <v>0</v>
      </c>
      <c r="V2635">
        <v>0</v>
      </c>
      <c r="W2635">
        <v>400013</v>
      </c>
      <c r="X2635" t="s">
        <v>56</v>
      </c>
      <c r="Y2635" t="s">
        <v>57</v>
      </c>
      <c r="AE2635">
        <v>0</v>
      </c>
      <c r="AH2635">
        <v>67</v>
      </c>
      <c r="AP2635" t="s">
        <v>232</v>
      </c>
    </row>
    <row r="2636" spans="1:42" ht="15.6">
      <c r="A2636" s="1" t="s">
        <v>46</v>
      </c>
      <c r="B2636" s="1" t="s">
        <v>5257</v>
      </c>
      <c r="C2636" s="1" t="s">
        <v>5257</v>
      </c>
      <c r="E2636" s="13" t="s">
        <v>5258</v>
      </c>
      <c r="G2636" s="16"/>
      <c r="I2636">
        <v>82.5</v>
      </c>
      <c r="M2636">
        <v>1</v>
      </c>
      <c r="N2636">
        <v>9</v>
      </c>
      <c r="O2636">
        <v>0</v>
      </c>
      <c r="P2636">
        <v>31.44</v>
      </c>
      <c r="Q2636">
        <v>282.92</v>
      </c>
      <c r="R2636" t="s">
        <v>107</v>
      </c>
      <c r="S2636">
        <v>0</v>
      </c>
      <c r="T2636" t="s">
        <v>52</v>
      </c>
      <c r="U2636">
        <v>0</v>
      </c>
      <c r="V2636">
        <v>0</v>
      </c>
      <c r="W2636">
        <v>400013</v>
      </c>
      <c r="AE2636">
        <v>0</v>
      </c>
      <c r="AH2636">
        <v>82.5</v>
      </c>
      <c r="AP2636" t="s">
        <v>232</v>
      </c>
    </row>
    <row r="2637" spans="1:42" ht="15.6">
      <c r="A2637" s="1" t="s">
        <v>46</v>
      </c>
      <c r="B2637" s="1" t="s">
        <v>5259</v>
      </c>
      <c r="C2637" s="1" t="s">
        <v>5259</v>
      </c>
      <c r="E2637" s="13" t="s">
        <v>5260</v>
      </c>
      <c r="G2637" s="16"/>
      <c r="I2637">
        <v>82.5</v>
      </c>
      <c r="M2637">
        <v>1</v>
      </c>
      <c r="N2637">
        <v>3</v>
      </c>
      <c r="O2637">
        <v>0</v>
      </c>
      <c r="P2637">
        <v>31.44</v>
      </c>
      <c r="Q2637">
        <v>94.31</v>
      </c>
      <c r="R2637" t="s">
        <v>107</v>
      </c>
      <c r="S2637">
        <v>0</v>
      </c>
      <c r="T2637" t="s">
        <v>52</v>
      </c>
      <c r="U2637">
        <v>0</v>
      </c>
      <c r="V2637">
        <v>0</v>
      </c>
      <c r="W2637">
        <v>400013</v>
      </c>
      <c r="AE2637">
        <v>0</v>
      </c>
      <c r="AH2637">
        <v>82.5</v>
      </c>
      <c r="AP2637" t="s">
        <v>232</v>
      </c>
    </row>
    <row r="2638" spans="1:42" ht="15.6">
      <c r="A2638" s="1" t="s">
        <v>46</v>
      </c>
      <c r="B2638" s="1" t="s">
        <v>5261</v>
      </c>
      <c r="C2638" s="1" t="s">
        <v>5261</v>
      </c>
      <c r="E2638" s="13" t="s">
        <v>5262</v>
      </c>
      <c r="G2638" s="16"/>
      <c r="I2638">
        <v>82.5</v>
      </c>
      <c r="M2638">
        <v>1</v>
      </c>
      <c r="N2638">
        <v>6</v>
      </c>
      <c r="O2638">
        <v>0</v>
      </c>
      <c r="P2638">
        <v>31.44</v>
      </c>
      <c r="Q2638">
        <v>188.61</v>
      </c>
      <c r="R2638" t="s">
        <v>107</v>
      </c>
      <c r="S2638">
        <v>0</v>
      </c>
      <c r="T2638" t="s">
        <v>52</v>
      </c>
      <c r="U2638">
        <v>0</v>
      </c>
      <c r="V2638">
        <v>0</v>
      </c>
      <c r="W2638">
        <v>400013</v>
      </c>
      <c r="AE2638">
        <v>0</v>
      </c>
      <c r="AH2638">
        <v>82.5</v>
      </c>
      <c r="AP2638" t="s">
        <v>232</v>
      </c>
    </row>
    <row r="2639" spans="1:42" ht="15.6">
      <c r="A2639" s="1" t="s">
        <v>46</v>
      </c>
      <c r="B2639" s="1" t="s">
        <v>5263</v>
      </c>
      <c r="C2639" s="1" t="s">
        <v>5263</v>
      </c>
      <c r="E2639" s="13" t="s">
        <v>5264</v>
      </c>
      <c r="G2639" s="16"/>
      <c r="I2639">
        <v>82.5</v>
      </c>
      <c r="M2639">
        <v>1</v>
      </c>
      <c r="N2639">
        <v>2</v>
      </c>
      <c r="O2639">
        <v>0</v>
      </c>
      <c r="P2639">
        <v>31.44</v>
      </c>
      <c r="Q2639">
        <v>62.87</v>
      </c>
      <c r="R2639" t="s">
        <v>107</v>
      </c>
      <c r="S2639">
        <v>0</v>
      </c>
      <c r="T2639" t="s">
        <v>52</v>
      </c>
      <c r="U2639">
        <v>0</v>
      </c>
      <c r="V2639">
        <v>0</v>
      </c>
      <c r="W2639">
        <v>400013</v>
      </c>
      <c r="AE2639">
        <v>0</v>
      </c>
      <c r="AH2639">
        <v>82.5</v>
      </c>
      <c r="AP2639" t="s">
        <v>232</v>
      </c>
    </row>
    <row r="2640" spans="1:42" ht="15.6">
      <c r="A2640" s="1" t="s">
        <v>46</v>
      </c>
      <c r="B2640" s="1" t="s">
        <v>5265</v>
      </c>
      <c r="C2640" s="1" t="s">
        <v>5265</v>
      </c>
      <c r="E2640" s="13" t="s">
        <v>5266</v>
      </c>
      <c r="G2640" s="16"/>
      <c r="M2640">
        <v>1</v>
      </c>
      <c r="N2640">
        <v>1</v>
      </c>
      <c r="O2640">
        <v>0</v>
      </c>
      <c r="P2640">
        <v>44.29</v>
      </c>
      <c r="Q2640">
        <v>44.29</v>
      </c>
      <c r="R2640" t="s">
        <v>107</v>
      </c>
      <c r="S2640">
        <v>0</v>
      </c>
      <c r="T2640" t="s">
        <v>52</v>
      </c>
      <c r="W2640">
        <v>400022</v>
      </c>
      <c r="AE2640">
        <v>0</v>
      </c>
      <c r="AP2640" t="s">
        <v>3714</v>
      </c>
    </row>
    <row r="2641" spans="1:42" ht="15.6">
      <c r="A2641" s="1" t="s">
        <v>46</v>
      </c>
      <c r="B2641" s="1" t="s">
        <v>5267</v>
      </c>
      <c r="C2641" s="1" t="s">
        <v>5267</v>
      </c>
      <c r="E2641" s="13" t="s">
        <v>5268</v>
      </c>
      <c r="G2641" s="16"/>
      <c r="I2641">
        <v>82.5</v>
      </c>
      <c r="M2641">
        <v>1</v>
      </c>
      <c r="N2641">
        <v>29</v>
      </c>
      <c r="O2641">
        <v>0</v>
      </c>
      <c r="P2641">
        <v>31.44</v>
      </c>
      <c r="Q2641">
        <v>911.62</v>
      </c>
      <c r="R2641" t="s">
        <v>107</v>
      </c>
      <c r="S2641">
        <v>0</v>
      </c>
      <c r="T2641" t="s">
        <v>52</v>
      </c>
      <c r="U2641">
        <v>0</v>
      </c>
      <c r="V2641">
        <v>0</v>
      </c>
      <c r="W2641">
        <v>400013</v>
      </c>
      <c r="X2641" t="s">
        <v>56</v>
      </c>
      <c r="Y2641" t="s">
        <v>57</v>
      </c>
      <c r="AE2641">
        <v>0</v>
      </c>
      <c r="AH2641">
        <v>82.5</v>
      </c>
      <c r="AP2641" t="s">
        <v>232</v>
      </c>
    </row>
    <row r="2642" spans="1:42" ht="15.6">
      <c r="E2642" s="13" t="s">
        <v>5269</v>
      </c>
      <c r="G2642" s="16">
        <v>5</v>
      </c>
    </row>
    <row r="2643" spans="1:42" ht="15.6">
      <c r="A2643" s="1" t="s">
        <v>46</v>
      </c>
      <c r="B2643" s="1" t="s">
        <v>5270</v>
      </c>
      <c r="C2643" s="1" t="s">
        <v>5270</v>
      </c>
      <c r="E2643" s="13" t="s">
        <v>5271</v>
      </c>
      <c r="G2643" s="16"/>
      <c r="I2643">
        <v>99</v>
      </c>
      <c r="M2643">
        <v>1</v>
      </c>
      <c r="N2643">
        <v>2</v>
      </c>
      <c r="O2643">
        <v>0</v>
      </c>
      <c r="P2643">
        <v>76.92</v>
      </c>
      <c r="Q2643">
        <v>153.85</v>
      </c>
      <c r="R2643" t="s">
        <v>107</v>
      </c>
      <c r="S2643">
        <v>0</v>
      </c>
      <c r="T2643" t="s">
        <v>52</v>
      </c>
      <c r="U2643">
        <v>0</v>
      </c>
      <c r="V2643">
        <v>0</v>
      </c>
      <c r="W2643">
        <v>400013</v>
      </c>
      <c r="AE2643">
        <v>0</v>
      </c>
      <c r="AH2643">
        <v>99</v>
      </c>
      <c r="AP2643" t="s">
        <v>232</v>
      </c>
    </row>
    <row r="2644" spans="1:42" ht="15.6">
      <c r="E2644" s="13" t="s">
        <v>5272</v>
      </c>
      <c r="G2644" s="16"/>
    </row>
    <row r="2645" spans="1:42" ht="15.6">
      <c r="A2645" s="1" t="s">
        <v>46</v>
      </c>
      <c r="B2645" s="1" t="s">
        <v>5273</v>
      </c>
      <c r="C2645" s="1" t="s">
        <v>5273</v>
      </c>
      <c r="E2645" s="13" t="s">
        <v>5274</v>
      </c>
      <c r="G2645" s="16"/>
      <c r="I2645">
        <v>114.4</v>
      </c>
      <c r="M2645">
        <v>1</v>
      </c>
      <c r="N2645">
        <v>1</v>
      </c>
      <c r="O2645">
        <v>0</v>
      </c>
      <c r="P2645">
        <v>80.23</v>
      </c>
      <c r="Q2645">
        <v>80.23</v>
      </c>
      <c r="R2645" t="s">
        <v>107</v>
      </c>
      <c r="S2645">
        <v>0</v>
      </c>
      <c r="T2645" t="s">
        <v>52</v>
      </c>
      <c r="U2645">
        <v>0</v>
      </c>
      <c r="V2645">
        <v>0</v>
      </c>
      <c r="W2645">
        <v>400217</v>
      </c>
      <c r="AE2645">
        <v>0</v>
      </c>
      <c r="AH2645">
        <v>114.4</v>
      </c>
      <c r="AP2645" t="s">
        <v>2762</v>
      </c>
    </row>
    <row r="2646" spans="1:42" ht="15.6">
      <c r="A2646" s="1" t="s">
        <v>46</v>
      </c>
      <c r="B2646" s="1" t="s">
        <v>5275</v>
      </c>
      <c r="C2646" s="1" t="s">
        <v>5275</v>
      </c>
      <c r="E2646" s="13" t="s">
        <v>5276</v>
      </c>
      <c r="G2646" s="16"/>
      <c r="I2646">
        <v>114.4</v>
      </c>
      <c r="M2646">
        <v>1</v>
      </c>
      <c r="N2646">
        <v>1</v>
      </c>
      <c r="O2646">
        <v>0</v>
      </c>
      <c r="P2646">
        <v>76.92</v>
      </c>
      <c r="Q2646">
        <v>76.92</v>
      </c>
      <c r="R2646" t="s">
        <v>107</v>
      </c>
      <c r="S2646">
        <v>0</v>
      </c>
      <c r="T2646" t="s">
        <v>52</v>
      </c>
      <c r="U2646">
        <v>0</v>
      </c>
      <c r="V2646">
        <v>0</v>
      </c>
      <c r="W2646">
        <v>400013</v>
      </c>
      <c r="AE2646">
        <v>0</v>
      </c>
      <c r="AH2646">
        <v>114.4</v>
      </c>
      <c r="AP2646" t="s">
        <v>232</v>
      </c>
    </row>
    <row r="2647" spans="1:42" ht="15.6">
      <c r="A2647" s="1" t="s">
        <v>46</v>
      </c>
      <c r="B2647" s="1" t="s">
        <v>5277</v>
      </c>
      <c r="C2647" s="1" t="s">
        <v>5277</v>
      </c>
      <c r="E2647" s="13" t="s">
        <v>5278</v>
      </c>
      <c r="G2647" s="16">
        <v>1.5</v>
      </c>
      <c r="M2647">
        <v>1</v>
      </c>
      <c r="N2647">
        <v>6</v>
      </c>
      <c r="O2647">
        <v>0</v>
      </c>
      <c r="P2647">
        <v>29.47</v>
      </c>
      <c r="Q2647">
        <v>176.82</v>
      </c>
      <c r="R2647">
        <v>0</v>
      </c>
      <c r="S2647">
        <v>0</v>
      </c>
      <c r="T2647" t="s">
        <v>3335</v>
      </c>
      <c r="U2647">
        <v>0</v>
      </c>
      <c r="V2647">
        <v>0</v>
      </c>
      <c r="W2647">
        <v>400207</v>
      </c>
      <c r="AE2647">
        <v>0</v>
      </c>
      <c r="AP2647" t="s">
        <v>483</v>
      </c>
    </row>
    <row r="2648" spans="1:42" ht="15.6">
      <c r="A2648" s="1" t="s">
        <v>46</v>
      </c>
      <c r="B2648" s="1" t="s">
        <v>5279</v>
      </c>
      <c r="C2648" s="1" t="s">
        <v>5279</v>
      </c>
      <c r="E2648" s="13" t="s">
        <v>5280</v>
      </c>
      <c r="G2648" s="16">
        <v>2</v>
      </c>
      <c r="M2648">
        <v>1</v>
      </c>
      <c r="N2648">
        <v>5</v>
      </c>
      <c r="O2648">
        <v>0</v>
      </c>
      <c r="P2648">
        <v>65.709999999999994</v>
      </c>
      <c r="Q2648">
        <v>328.55</v>
      </c>
      <c r="R2648" t="s">
        <v>107</v>
      </c>
      <c r="S2648">
        <v>0</v>
      </c>
      <c r="T2648" t="s">
        <v>52</v>
      </c>
      <c r="U2648">
        <v>0</v>
      </c>
      <c r="V2648">
        <v>0</v>
      </c>
      <c r="W2648">
        <v>400010</v>
      </c>
      <c r="AE2648">
        <v>0</v>
      </c>
      <c r="AP2648" t="s">
        <v>66</v>
      </c>
    </row>
    <row r="2649" spans="1:42" ht="15.6">
      <c r="A2649" s="1" t="s">
        <v>46</v>
      </c>
      <c r="B2649" s="1" t="s">
        <v>5281</v>
      </c>
      <c r="C2649" s="1" t="s">
        <v>5281</v>
      </c>
      <c r="E2649" s="13" t="s">
        <v>5282</v>
      </c>
      <c r="G2649" s="16"/>
      <c r="I2649">
        <v>123.2</v>
      </c>
      <c r="M2649">
        <v>1</v>
      </c>
      <c r="N2649">
        <v>5</v>
      </c>
      <c r="O2649">
        <v>0</v>
      </c>
      <c r="P2649">
        <v>86.69</v>
      </c>
      <c r="Q2649">
        <v>433.46</v>
      </c>
      <c r="R2649" t="s">
        <v>107</v>
      </c>
      <c r="S2649">
        <v>0</v>
      </c>
      <c r="T2649" t="s">
        <v>52</v>
      </c>
      <c r="U2649">
        <v>0</v>
      </c>
      <c r="V2649">
        <v>0</v>
      </c>
      <c r="W2649">
        <v>400013</v>
      </c>
      <c r="AE2649">
        <v>0</v>
      </c>
      <c r="AH2649">
        <v>123.2</v>
      </c>
      <c r="AP2649" t="s">
        <v>232</v>
      </c>
    </row>
    <row r="2650" spans="1:42" ht="15.6">
      <c r="A2650" s="1" t="s">
        <v>46</v>
      </c>
      <c r="B2650" s="1" t="s">
        <v>5283</v>
      </c>
      <c r="C2650" s="1" t="s">
        <v>5283</v>
      </c>
      <c r="E2650" s="13" t="s">
        <v>5284</v>
      </c>
      <c r="G2650" s="16"/>
      <c r="I2650">
        <v>143</v>
      </c>
      <c r="M2650">
        <v>1</v>
      </c>
      <c r="N2650">
        <v>1</v>
      </c>
      <c r="O2650">
        <v>0</v>
      </c>
      <c r="P2650">
        <v>87.95</v>
      </c>
      <c r="Q2650">
        <v>87.95</v>
      </c>
      <c r="R2650" t="s">
        <v>107</v>
      </c>
      <c r="S2650">
        <v>0</v>
      </c>
      <c r="T2650" t="s">
        <v>52</v>
      </c>
      <c r="U2650">
        <v>0</v>
      </c>
      <c r="V2650">
        <v>0</v>
      </c>
      <c r="W2650">
        <v>400010</v>
      </c>
      <c r="AE2650">
        <v>0</v>
      </c>
      <c r="AH2650">
        <v>143</v>
      </c>
      <c r="AP2650" t="s">
        <v>66</v>
      </c>
    </row>
    <row r="2651" spans="1:42" ht="15.6">
      <c r="A2651" s="1" t="s">
        <v>46</v>
      </c>
      <c r="B2651" s="1" t="s">
        <v>5285</v>
      </c>
      <c r="C2651" s="1" t="s">
        <v>5285</v>
      </c>
      <c r="E2651" s="13" t="s">
        <v>5286</v>
      </c>
      <c r="G2651" s="16"/>
      <c r="M2651">
        <v>1</v>
      </c>
      <c r="N2651">
        <v>1</v>
      </c>
      <c r="O2651">
        <v>0</v>
      </c>
      <c r="P2651">
        <v>90.09</v>
      </c>
      <c r="Q2651">
        <v>90.09</v>
      </c>
      <c r="W2651">
        <v>400010</v>
      </c>
      <c r="AE2651">
        <v>0</v>
      </c>
      <c r="AP2651" t="s">
        <v>66</v>
      </c>
    </row>
    <row r="2652" spans="1:42" ht="15.6">
      <c r="A2652" s="1" t="s">
        <v>46</v>
      </c>
      <c r="B2652" s="1" t="s">
        <v>5287</v>
      </c>
      <c r="C2652" s="1" t="s">
        <v>5287</v>
      </c>
      <c r="E2652" s="13" t="s">
        <v>5288</v>
      </c>
      <c r="G2652" s="16"/>
      <c r="M2652">
        <v>1</v>
      </c>
      <c r="N2652">
        <v>1</v>
      </c>
      <c r="O2652">
        <v>0</v>
      </c>
      <c r="P2652">
        <v>44.92</v>
      </c>
      <c r="Q2652">
        <v>44.92</v>
      </c>
      <c r="R2652" t="s">
        <v>107</v>
      </c>
      <c r="S2652">
        <v>0</v>
      </c>
      <c r="T2652" t="s">
        <v>52</v>
      </c>
      <c r="W2652">
        <v>400022</v>
      </c>
      <c r="AE2652">
        <v>0</v>
      </c>
      <c r="AP2652" t="s">
        <v>3714</v>
      </c>
    </row>
    <row r="2653" spans="1:42" ht="15.6">
      <c r="A2653" s="1" t="s">
        <v>46</v>
      </c>
      <c r="B2653" s="1" t="s">
        <v>5289</v>
      </c>
      <c r="C2653" s="1" t="s">
        <v>5289</v>
      </c>
      <c r="E2653" s="13" t="s">
        <v>5290</v>
      </c>
      <c r="G2653" s="16"/>
      <c r="M2653">
        <v>1</v>
      </c>
      <c r="N2653">
        <v>5</v>
      </c>
      <c r="O2653">
        <v>0</v>
      </c>
      <c r="P2653">
        <v>23.48</v>
      </c>
      <c r="Q2653">
        <v>117.38</v>
      </c>
      <c r="R2653" t="s">
        <v>107</v>
      </c>
      <c r="S2653">
        <v>0</v>
      </c>
      <c r="T2653" t="s">
        <v>52</v>
      </c>
      <c r="W2653">
        <v>400207</v>
      </c>
      <c r="AE2653">
        <v>0</v>
      </c>
      <c r="AP2653" t="s">
        <v>483</v>
      </c>
    </row>
    <row r="2654" spans="1:42" ht="15.6">
      <c r="A2654" s="1" t="s">
        <v>46</v>
      </c>
      <c r="B2654" s="1" t="s">
        <v>5291</v>
      </c>
      <c r="C2654" s="1" t="s">
        <v>5291</v>
      </c>
      <c r="E2654" s="13" t="s">
        <v>5292</v>
      </c>
      <c r="G2654" s="16"/>
      <c r="M2654">
        <v>1</v>
      </c>
      <c r="N2654">
        <v>1</v>
      </c>
      <c r="O2654">
        <v>0</v>
      </c>
      <c r="P2654">
        <v>28.45</v>
      </c>
      <c r="Q2654">
        <v>28.45</v>
      </c>
      <c r="W2654">
        <v>400010</v>
      </c>
      <c r="AE2654">
        <v>0</v>
      </c>
      <c r="AP2654" t="s">
        <v>66</v>
      </c>
    </row>
    <row r="2655" spans="1:42" ht="15.6">
      <c r="A2655" s="1" t="s">
        <v>46</v>
      </c>
      <c r="B2655" s="1" t="s">
        <v>5293</v>
      </c>
      <c r="C2655" s="1" t="s">
        <v>5293</v>
      </c>
      <c r="E2655" s="13" t="s">
        <v>5294</v>
      </c>
      <c r="G2655" s="16"/>
      <c r="M2655">
        <v>1</v>
      </c>
      <c r="N2655">
        <v>1</v>
      </c>
      <c r="O2655">
        <v>0</v>
      </c>
      <c r="P2655">
        <v>28.44</v>
      </c>
      <c r="Q2655">
        <v>28.44</v>
      </c>
      <c r="W2655">
        <v>400010</v>
      </c>
      <c r="AE2655">
        <v>0</v>
      </c>
      <c r="AP2655" t="s">
        <v>66</v>
      </c>
    </row>
    <row r="2656" spans="1:42" ht="15.6">
      <c r="A2656" s="1" t="s">
        <v>46</v>
      </c>
      <c r="B2656" s="1" t="s">
        <v>5295</v>
      </c>
      <c r="C2656" s="1" t="s">
        <v>5295</v>
      </c>
      <c r="E2656" s="13" t="s">
        <v>5296</v>
      </c>
      <c r="G2656" s="16"/>
      <c r="I2656">
        <v>45</v>
      </c>
      <c r="M2656">
        <v>1</v>
      </c>
      <c r="N2656">
        <v>18</v>
      </c>
      <c r="O2656">
        <v>0</v>
      </c>
      <c r="P2656">
        <v>20</v>
      </c>
      <c r="Q2656">
        <v>360</v>
      </c>
      <c r="R2656" t="s">
        <v>4482</v>
      </c>
      <c r="S2656">
        <v>0</v>
      </c>
      <c r="T2656" t="s">
        <v>52</v>
      </c>
      <c r="W2656">
        <v>400098</v>
      </c>
      <c r="AE2656">
        <v>0</v>
      </c>
      <c r="AH2656">
        <v>45</v>
      </c>
      <c r="AP2656" t="s">
        <v>5297</v>
      </c>
    </row>
    <row r="2657" spans="1:42" ht="15.6">
      <c r="E2657" s="13" t="s">
        <v>5298</v>
      </c>
      <c r="G2657" s="16"/>
    </row>
    <row r="2658" spans="1:42" ht="15.6">
      <c r="A2658" s="1" t="s">
        <v>46</v>
      </c>
      <c r="B2658" s="1" t="s">
        <v>5299</v>
      </c>
      <c r="C2658" s="1" t="s">
        <v>5299</v>
      </c>
      <c r="E2658" s="13" t="s">
        <v>5300</v>
      </c>
      <c r="G2658" s="16"/>
      <c r="M2658">
        <v>1</v>
      </c>
      <c r="N2658">
        <v>1</v>
      </c>
      <c r="O2658">
        <v>0</v>
      </c>
      <c r="P2658">
        <v>25</v>
      </c>
      <c r="Q2658">
        <v>25</v>
      </c>
      <c r="R2658">
        <v>0</v>
      </c>
      <c r="S2658">
        <v>0</v>
      </c>
      <c r="T2658" t="s">
        <v>52</v>
      </c>
      <c r="U2658">
        <v>0</v>
      </c>
      <c r="V2658">
        <v>0</v>
      </c>
      <c r="W2658">
        <v>400130</v>
      </c>
      <c r="X2658" t="s">
        <v>56</v>
      </c>
      <c r="Y2658" t="s">
        <v>57</v>
      </c>
      <c r="AE2658">
        <v>0</v>
      </c>
      <c r="AP2658" t="s">
        <v>139</v>
      </c>
    </row>
    <row r="2659" spans="1:42" ht="15.6">
      <c r="A2659" s="1" t="s">
        <v>46</v>
      </c>
      <c r="B2659" s="1" t="s">
        <v>5301</v>
      </c>
      <c r="C2659" s="1" t="s">
        <v>5301</v>
      </c>
      <c r="E2659" s="13" t="s">
        <v>5302</v>
      </c>
      <c r="G2659" s="16"/>
      <c r="M2659">
        <v>1</v>
      </c>
      <c r="N2659">
        <v>434</v>
      </c>
      <c r="O2659">
        <v>0</v>
      </c>
      <c r="P2659">
        <v>0.3</v>
      </c>
      <c r="Q2659">
        <v>130.19999999999999</v>
      </c>
      <c r="R2659">
        <v>0</v>
      </c>
      <c r="S2659">
        <v>0</v>
      </c>
      <c r="T2659" t="s">
        <v>52</v>
      </c>
      <c r="U2659">
        <v>0</v>
      </c>
      <c r="V2659">
        <v>0</v>
      </c>
      <c r="W2659">
        <v>400158</v>
      </c>
      <c r="X2659" t="s">
        <v>56</v>
      </c>
      <c r="Y2659" t="s">
        <v>57</v>
      </c>
      <c r="AE2659">
        <v>0</v>
      </c>
      <c r="AP2659" t="s">
        <v>61</v>
      </c>
    </row>
    <row r="2660" spans="1:42" ht="15.6">
      <c r="A2660" s="1" t="s">
        <v>46</v>
      </c>
      <c r="B2660" s="1" t="s">
        <v>5303</v>
      </c>
      <c r="C2660" s="1" t="s">
        <v>5303</v>
      </c>
      <c r="E2660" s="13" t="s">
        <v>5304</v>
      </c>
      <c r="G2660" s="16">
        <v>1</v>
      </c>
      <c r="I2660">
        <v>10000</v>
      </c>
      <c r="M2660">
        <v>1</v>
      </c>
      <c r="N2660">
        <v>1315</v>
      </c>
      <c r="O2660">
        <v>0</v>
      </c>
      <c r="P2660">
        <v>26</v>
      </c>
      <c r="Q2660">
        <v>34190</v>
      </c>
      <c r="R2660">
        <v>0</v>
      </c>
      <c r="S2660">
        <v>0</v>
      </c>
      <c r="T2660" t="s">
        <v>17</v>
      </c>
      <c r="U2660">
        <v>0</v>
      </c>
      <c r="V2660">
        <v>0</v>
      </c>
      <c r="W2660">
        <v>400046</v>
      </c>
      <c r="X2660" t="s">
        <v>56</v>
      </c>
      <c r="Y2660" t="s">
        <v>57</v>
      </c>
      <c r="AE2660">
        <v>0</v>
      </c>
      <c r="AH2660">
        <v>10000</v>
      </c>
      <c r="AP2660" t="s">
        <v>407</v>
      </c>
    </row>
    <row r="2661" spans="1:42" ht="15.6">
      <c r="E2661" s="13" t="s">
        <v>5305</v>
      </c>
      <c r="G2661" s="16"/>
    </row>
    <row r="2662" spans="1:42" ht="15.6">
      <c r="E2662" s="13" t="s">
        <v>5306</v>
      </c>
      <c r="G2662" s="16">
        <v>1</v>
      </c>
    </row>
    <row r="2663" spans="1:42" ht="15.6">
      <c r="E2663" s="13" t="s">
        <v>5307</v>
      </c>
      <c r="G2663" s="16"/>
    </row>
    <row r="2664" spans="1:42" ht="15.6">
      <c r="A2664" s="1" t="s">
        <v>46</v>
      </c>
      <c r="B2664" s="1" t="s">
        <v>5308</v>
      </c>
      <c r="C2664" s="1" t="s">
        <v>5308</v>
      </c>
      <c r="E2664" s="13" t="s">
        <v>5309</v>
      </c>
      <c r="G2664" s="16"/>
      <c r="M2664">
        <v>1</v>
      </c>
      <c r="N2664">
        <v>-2</v>
      </c>
      <c r="O2664">
        <v>0</v>
      </c>
      <c r="P2664">
        <v>3.75</v>
      </c>
      <c r="Q2664">
        <v>-7.5</v>
      </c>
      <c r="R2664">
        <v>0</v>
      </c>
      <c r="S2664">
        <v>0</v>
      </c>
      <c r="T2664" t="s">
        <v>17</v>
      </c>
      <c r="W2664">
        <v>400121</v>
      </c>
      <c r="AE2664">
        <v>0</v>
      </c>
      <c r="AP2664" t="s">
        <v>123</v>
      </c>
    </row>
    <row r="2665" spans="1:42" ht="15.6">
      <c r="E2665" s="13" t="s">
        <v>5310</v>
      </c>
      <c r="G2665" s="16"/>
    </row>
    <row r="2666" spans="1:42" ht="15.6">
      <c r="A2666" s="1" t="s">
        <v>46</v>
      </c>
      <c r="B2666" s="1" t="s">
        <v>5311</v>
      </c>
      <c r="C2666" s="1" t="s">
        <v>5311</v>
      </c>
      <c r="E2666" s="13" t="s">
        <v>5312</v>
      </c>
      <c r="G2666" s="16"/>
      <c r="M2666">
        <v>1</v>
      </c>
      <c r="N2666">
        <v>1931</v>
      </c>
      <c r="O2666">
        <v>0</v>
      </c>
      <c r="P2666">
        <v>0.75</v>
      </c>
      <c r="Q2666">
        <v>1448.25</v>
      </c>
      <c r="R2666">
        <v>0</v>
      </c>
      <c r="S2666">
        <v>0</v>
      </c>
      <c r="T2666" t="s">
        <v>52</v>
      </c>
      <c r="U2666">
        <v>0</v>
      </c>
      <c r="V2666">
        <v>0</v>
      </c>
      <c r="W2666">
        <v>400190</v>
      </c>
      <c r="AE2666">
        <v>0</v>
      </c>
      <c r="AP2666" t="s">
        <v>286</v>
      </c>
    </row>
    <row r="2667" spans="1:42" ht="15.6">
      <c r="A2667" s="1" t="s">
        <v>46</v>
      </c>
      <c r="B2667" s="1" t="s">
        <v>5313</v>
      </c>
      <c r="C2667" s="1" t="s">
        <v>5313</v>
      </c>
      <c r="E2667" s="13" t="s">
        <v>5314</v>
      </c>
      <c r="G2667" s="16">
        <v>1</v>
      </c>
      <c r="M2667">
        <v>1</v>
      </c>
      <c r="N2667">
        <v>378</v>
      </c>
      <c r="O2667">
        <v>0</v>
      </c>
      <c r="P2667">
        <v>23.3</v>
      </c>
      <c r="Q2667">
        <v>8807.4</v>
      </c>
      <c r="R2667">
        <v>0</v>
      </c>
      <c r="S2667">
        <v>0</v>
      </c>
      <c r="T2667" t="s">
        <v>52</v>
      </c>
      <c r="U2667">
        <v>0</v>
      </c>
      <c r="V2667">
        <v>0</v>
      </c>
      <c r="W2667">
        <v>400120</v>
      </c>
      <c r="AE2667">
        <v>0</v>
      </c>
      <c r="AP2667" t="s">
        <v>468</v>
      </c>
    </row>
    <row r="2668" spans="1:42" ht="15.6">
      <c r="E2668" s="13" t="s">
        <v>5315</v>
      </c>
      <c r="G2668" s="16"/>
    </row>
    <row r="2669" spans="1:42" ht="15.6">
      <c r="A2669" s="1" t="s">
        <v>46</v>
      </c>
      <c r="B2669" s="1" t="s">
        <v>5316</v>
      </c>
      <c r="C2669" s="1" t="s">
        <v>5316</v>
      </c>
      <c r="E2669" s="13" t="s">
        <v>5317</v>
      </c>
      <c r="G2669" s="16">
        <v>2.5</v>
      </c>
      <c r="M2669">
        <v>1</v>
      </c>
      <c r="N2669">
        <v>-2</v>
      </c>
      <c r="O2669">
        <v>0</v>
      </c>
      <c r="P2669">
        <v>14.74</v>
      </c>
      <c r="Q2669">
        <v>-29.49</v>
      </c>
      <c r="R2669">
        <v>0</v>
      </c>
      <c r="S2669">
        <v>0</v>
      </c>
      <c r="T2669" t="s">
        <v>52</v>
      </c>
      <c r="W2669">
        <v>400184</v>
      </c>
      <c r="AE2669">
        <v>0</v>
      </c>
      <c r="AP2669" t="s">
        <v>136</v>
      </c>
    </row>
    <row r="2670" spans="1:42" ht="15.6">
      <c r="A2670" s="1" t="s">
        <v>46</v>
      </c>
      <c r="B2670" s="1" t="s">
        <v>5318</v>
      </c>
      <c r="C2670" s="1" t="s">
        <v>5318</v>
      </c>
      <c r="E2670" s="13" t="s">
        <v>5319</v>
      </c>
      <c r="G2670" s="16"/>
      <c r="M2670">
        <v>1</v>
      </c>
      <c r="N2670">
        <v>56</v>
      </c>
      <c r="O2670">
        <v>0</v>
      </c>
      <c r="P2670">
        <v>5.5</v>
      </c>
      <c r="Q2670">
        <v>308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400029</v>
      </c>
      <c r="AE2670">
        <v>0</v>
      </c>
      <c r="AP2670" t="s">
        <v>206</v>
      </c>
    </row>
    <row r="2671" spans="1:42" ht="15.6">
      <c r="A2671" s="1" t="s">
        <v>46</v>
      </c>
      <c r="B2671" s="1" t="s">
        <v>5320</v>
      </c>
      <c r="C2671" s="1" t="s">
        <v>5320</v>
      </c>
      <c r="E2671" s="13" t="s">
        <v>5321</v>
      </c>
      <c r="G2671" s="16"/>
      <c r="M2671">
        <v>1</v>
      </c>
      <c r="N2671">
        <v>-2</v>
      </c>
      <c r="O2671">
        <v>0</v>
      </c>
      <c r="AE2671">
        <v>0</v>
      </c>
    </row>
    <row r="2672" spans="1:42" ht="15.6">
      <c r="E2672" s="15" t="s">
        <v>5322</v>
      </c>
      <c r="G2672" s="16">
        <v>10</v>
      </c>
    </row>
    <row r="2673" spans="1:42" ht="15.6">
      <c r="A2673" s="1" t="s">
        <v>46</v>
      </c>
      <c r="B2673" s="1" t="s">
        <v>5323</v>
      </c>
      <c r="C2673" s="1" t="s">
        <v>5323</v>
      </c>
      <c r="E2673" s="15" t="s">
        <v>5324</v>
      </c>
      <c r="G2673" s="16"/>
      <c r="M2673">
        <v>1</v>
      </c>
      <c r="N2673">
        <v>-6</v>
      </c>
      <c r="O2673">
        <v>0</v>
      </c>
      <c r="W2673">
        <v>400120</v>
      </c>
      <c r="AE2673">
        <v>0</v>
      </c>
      <c r="AP2673" t="s">
        <v>468</v>
      </c>
    </row>
    <row r="2674" spans="1:42" ht="15.6">
      <c r="A2674" s="1" t="s">
        <v>46</v>
      </c>
      <c r="B2674" s="1" t="s">
        <v>5325</v>
      </c>
      <c r="C2674" s="1" t="s">
        <v>5325</v>
      </c>
      <c r="E2674" s="15" t="s">
        <v>5326</v>
      </c>
      <c r="G2674" s="16">
        <v>2</v>
      </c>
      <c r="M2674">
        <v>1</v>
      </c>
      <c r="N2674">
        <v>219</v>
      </c>
      <c r="O2674">
        <v>0</v>
      </c>
      <c r="P2674">
        <v>1.75</v>
      </c>
      <c r="Q2674">
        <v>383.25</v>
      </c>
      <c r="W2674">
        <v>400194</v>
      </c>
      <c r="AE2674">
        <v>0</v>
      </c>
      <c r="AP2674" t="s">
        <v>173</v>
      </c>
    </row>
    <row r="2675" spans="1:42" ht="15.6">
      <c r="A2675" s="1" t="s">
        <v>46</v>
      </c>
      <c r="B2675" s="1" t="s">
        <v>5327</v>
      </c>
      <c r="C2675" s="1" t="s">
        <v>5327</v>
      </c>
      <c r="E2675" s="15" t="s">
        <v>5328</v>
      </c>
      <c r="G2675" s="16"/>
      <c r="M2675">
        <v>1</v>
      </c>
      <c r="N2675">
        <v>122</v>
      </c>
      <c r="O2675">
        <v>0</v>
      </c>
      <c r="P2675">
        <v>0.75</v>
      </c>
      <c r="Q2675">
        <v>91.5</v>
      </c>
      <c r="R2675">
        <v>0</v>
      </c>
      <c r="S2675">
        <v>0</v>
      </c>
      <c r="T2675" t="s">
        <v>52</v>
      </c>
      <c r="U2675">
        <v>0</v>
      </c>
      <c r="V2675">
        <v>0</v>
      </c>
      <c r="W2675">
        <v>400017</v>
      </c>
      <c r="X2675" t="s">
        <v>56</v>
      </c>
      <c r="Y2675" t="s">
        <v>57</v>
      </c>
      <c r="AE2675">
        <v>0</v>
      </c>
      <c r="AP2675" t="s">
        <v>49</v>
      </c>
    </row>
    <row r="2676" spans="1:42" ht="15.6">
      <c r="A2676" s="1" t="s">
        <v>46</v>
      </c>
      <c r="B2676" s="1" t="s">
        <v>5329</v>
      </c>
      <c r="C2676" s="1" t="s">
        <v>5329</v>
      </c>
      <c r="E2676" s="15" t="s">
        <v>5330</v>
      </c>
      <c r="G2676" s="16"/>
      <c r="M2676">
        <v>1</v>
      </c>
      <c r="N2676">
        <v>7</v>
      </c>
      <c r="O2676">
        <v>0</v>
      </c>
      <c r="P2676">
        <v>4</v>
      </c>
      <c r="Q2676">
        <v>28</v>
      </c>
      <c r="R2676">
        <v>0</v>
      </c>
      <c r="S2676">
        <v>0</v>
      </c>
      <c r="T2676" t="s">
        <v>52</v>
      </c>
      <c r="U2676">
        <v>0</v>
      </c>
      <c r="V2676">
        <v>0</v>
      </c>
      <c r="W2676">
        <v>400045</v>
      </c>
      <c r="X2676" t="s">
        <v>56</v>
      </c>
      <c r="Y2676" t="s">
        <v>57</v>
      </c>
      <c r="AE2676">
        <v>0</v>
      </c>
      <c r="AP2676" t="s">
        <v>217</v>
      </c>
    </row>
    <row r="2677" spans="1:42" ht="15.6">
      <c r="E2677" s="15" t="s">
        <v>5331</v>
      </c>
      <c r="G2677" s="16"/>
    </row>
    <row r="2678" spans="1:42" ht="15.6">
      <c r="A2678" s="1" t="s">
        <v>46</v>
      </c>
      <c r="B2678" s="1" t="s">
        <v>5332</v>
      </c>
      <c r="C2678" s="1" t="s">
        <v>5332</v>
      </c>
      <c r="E2678" s="15" t="s">
        <v>5333</v>
      </c>
      <c r="G2678" s="16">
        <v>2</v>
      </c>
      <c r="M2678">
        <v>1</v>
      </c>
      <c r="N2678">
        <v>134</v>
      </c>
      <c r="O2678">
        <v>0</v>
      </c>
      <c r="P2678">
        <v>18</v>
      </c>
      <c r="Q2678">
        <v>2412</v>
      </c>
      <c r="R2678">
        <v>0</v>
      </c>
      <c r="S2678">
        <v>0</v>
      </c>
      <c r="T2678" t="s">
        <v>52</v>
      </c>
      <c r="U2678">
        <v>0</v>
      </c>
      <c r="V2678">
        <v>0</v>
      </c>
      <c r="W2678">
        <v>410120</v>
      </c>
      <c r="AE2678">
        <v>0</v>
      </c>
      <c r="AP2678" t="s">
        <v>112</v>
      </c>
    </row>
    <row r="2679" spans="1:42" ht="15.6">
      <c r="A2679" s="1" t="s">
        <v>46</v>
      </c>
      <c r="B2679" s="1" t="s">
        <v>5334</v>
      </c>
      <c r="C2679" s="1" t="s">
        <v>5334</v>
      </c>
      <c r="E2679" s="15" t="s">
        <v>5335</v>
      </c>
      <c r="G2679" s="16"/>
      <c r="M2679">
        <v>1</v>
      </c>
      <c r="N2679">
        <v>30</v>
      </c>
      <c r="O2679">
        <v>0</v>
      </c>
      <c r="P2679">
        <v>228.87</v>
      </c>
      <c r="Q2679">
        <v>6866.13</v>
      </c>
      <c r="R2679">
        <v>0</v>
      </c>
      <c r="S2679">
        <v>0</v>
      </c>
      <c r="T2679" t="s">
        <v>52</v>
      </c>
      <c r="W2679">
        <v>400130</v>
      </c>
      <c r="AE2679">
        <v>0</v>
      </c>
      <c r="AP2679" t="s">
        <v>139</v>
      </c>
    </row>
    <row r="2680" spans="1:42" ht="15.6">
      <c r="A2680" s="1" t="s">
        <v>46</v>
      </c>
      <c r="B2680" s="1" t="s">
        <v>5336</v>
      </c>
      <c r="C2680" s="1" t="s">
        <v>5336</v>
      </c>
      <c r="E2680" s="15" t="s">
        <v>5337</v>
      </c>
      <c r="G2680" s="16"/>
      <c r="M2680">
        <v>1</v>
      </c>
      <c r="N2680">
        <v>-10</v>
      </c>
      <c r="O2680">
        <v>0</v>
      </c>
      <c r="AE2680">
        <v>0</v>
      </c>
    </row>
    <row r="2681" spans="1:42" ht="15.6">
      <c r="A2681" s="1" t="s">
        <v>46</v>
      </c>
      <c r="B2681" s="1" t="s">
        <v>5338</v>
      </c>
      <c r="C2681" s="1" t="s">
        <v>5338</v>
      </c>
      <c r="E2681" s="15" t="s">
        <v>5339</v>
      </c>
      <c r="G2681" s="16"/>
      <c r="M2681">
        <v>1</v>
      </c>
      <c r="N2681">
        <v>63</v>
      </c>
      <c r="O2681">
        <v>0</v>
      </c>
      <c r="P2681">
        <v>0.09</v>
      </c>
      <c r="Q2681">
        <v>5.67</v>
      </c>
      <c r="R2681">
        <v>0</v>
      </c>
      <c r="S2681">
        <v>0</v>
      </c>
      <c r="T2681" t="s">
        <v>52</v>
      </c>
      <c r="W2681">
        <v>400017</v>
      </c>
      <c r="AE2681">
        <v>0</v>
      </c>
      <c r="AP2681" t="s">
        <v>49</v>
      </c>
    </row>
    <row r="2682" spans="1:42" ht="15.6">
      <c r="A2682" s="1" t="s">
        <v>46</v>
      </c>
      <c r="B2682" s="1" t="s">
        <v>5340</v>
      </c>
      <c r="C2682" s="1" t="s">
        <v>5340</v>
      </c>
      <c r="E2682" s="15" t="s">
        <v>5341</v>
      </c>
      <c r="G2682" s="16">
        <v>3.5</v>
      </c>
      <c r="M2682">
        <v>1</v>
      </c>
      <c r="N2682">
        <v>978</v>
      </c>
      <c r="O2682">
        <v>0</v>
      </c>
      <c r="P2682">
        <v>0.4</v>
      </c>
      <c r="Q2682">
        <v>391.2</v>
      </c>
      <c r="W2682">
        <v>400186</v>
      </c>
      <c r="AE2682">
        <v>0</v>
      </c>
      <c r="AP2682" t="s">
        <v>120</v>
      </c>
    </row>
    <row r="2683" spans="1:42" ht="15.6">
      <c r="A2683" s="1" t="s">
        <v>46</v>
      </c>
      <c r="B2683" s="1" t="s">
        <v>5342</v>
      </c>
      <c r="C2683" s="1" t="s">
        <v>5342</v>
      </c>
      <c r="E2683" s="15" t="s">
        <v>5343</v>
      </c>
      <c r="G2683" s="16"/>
      <c r="M2683">
        <v>1</v>
      </c>
      <c r="N2683">
        <v>28</v>
      </c>
      <c r="O2683">
        <v>0</v>
      </c>
      <c r="P2683">
        <v>0.5</v>
      </c>
      <c r="Q2683">
        <v>14</v>
      </c>
      <c r="W2683">
        <v>400017</v>
      </c>
      <c r="AE2683">
        <v>0</v>
      </c>
      <c r="AP2683" t="s">
        <v>49</v>
      </c>
    </row>
    <row r="2684" spans="1:42" ht="15.6">
      <c r="A2684" s="1" t="s">
        <v>46</v>
      </c>
      <c r="B2684" s="1" t="s">
        <v>5344</v>
      </c>
      <c r="C2684" s="1" t="s">
        <v>5344</v>
      </c>
      <c r="E2684" s="15" t="s">
        <v>5345</v>
      </c>
      <c r="G2684" s="16"/>
      <c r="M2684">
        <v>1</v>
      </c>
      <c r="N2684">
        <v>1</v>
      </c>
      <c r="O2684">
        <v>0</v>
      </c>
      <c r="P2684">
        <v>77.7</v>
      </c>
      <c r="Q2684">
        <v>77.7</v>
      </c>
      <c r="R2684">
        <v>0</v>
      </c>
      <c r="S2684">
        <v>0</v>
      </c>
      <c r="T2684">
        <v>0</v>
      </c>
      <c r="W2684">
        <v>400013</v>
      </c>
      <c r="AE2684">
        <v>0</v>
      </c>
      <c r="AF2684">
        <v>77.67</v>
      </c>
      <c r="AP2684" t="s">
        <v>232</v>
      </c>
    </row>
    <row r="2685" spans="1:42" ht="15.6">
      <c r="A2685" s="1" t="s">
        <v>46</v>
      </c>
      <c r="B2685" s="1" t="s">
        <v>5346</v>
      </c>
      <c r="C2685" s="1" t="s">
        <v>5346</v>
      </c>
      <c r="E2685" s="15" t="s">
        <v>5347</v>
      </c>
      <c r="G2685" s="16"/>
      <c r="M2685">
        <v>1</v>
      </c>
      <c r="N2685">
        <v>36</v>
      </c>
      <c r="O2685">
        <v>0</v>
      </c>
      <c r="P2685">
        <v>38.61</v>
      </c>
      <c r="Q2685">
        <v>1389.96</v>
      </c>
      <c r="R2685">
        <v>0</v>
      </c>
      <c r="S2685">
        <v>0</v>
      </c>
      <c r="T2685">
        <v>0</v>
      </c>
      <c r="W2685">
        <v>400164</v>
      </c>
      <c r="AE2685">
        <v>0</v>
      </c>
      <c r="AP2685" t="s">
        <v>5348</v>
      </c>
    </row>
    <row r="2686" spans="1:42" ht="15.6">
      <c r="E2686" s="15" t="s">
        <v>5349</v>
      </c>
      <c r="G2686" s="16">
        <v>2</v>
      </c>
    </row>
    <row r="2687" spans="1:42" ht="15.6">
      <c r="A2687" s="1" t="s">
        <v>46</v>
      </c>
      <c r="B2687" s="1" t="s">
        <v>5350</v>
      </c>
      <c r="C2687" s="1" t="s">
        <v>5350</v>
      </c>
      <c r="E2687" s="15" t="s">
        <v>5351</v>
      </c>
      <c r="G2687" s="16">
        <v>2</v>
      </c>
      <c r="M2687">
        <v>1</v>
      </c>
      <c r="N2687">
        <v>2190</v>
      </c>
      <c r="O2687">
        <v>0</v>
      </c>
      <c r="P2687">
        <v>34</v>
      </c>
      <c r="Q2687">
        <v>74460</v>
      </c>
      <c r="R2687">
        <v>0</v>
      </c>
      <c r="S2687">
        <v>0</v>
      </c>
      <c r="T2687" t="s">
        <v>52</v>
      </c>
      <c r="U2687">
        <v>0</v>
      </c>
      <c r="V2687">
        <v>0</v>
      </c>
      <c r="W2687">
        <v>400032</v>
      </c>
      <c r="X2687" t="s">
        <v>56</v>
      </c>
      <c r="Y2687" t="s">
        <v>57</v>
      </c>
      <c r="AE2687">
        <v>0</v>
      </c>
      <c r="AP2687" t="s">
        <v>404</v>
      </c>
    </row>
    <row r="2688" spans="1:42" ht="15.6">
      <c r="A2688" s="1" t="s">
        <v>46</v>
      </c>
      <c r="B2688" s="1" t="s">
        <v>5352</v>
      </c>
      <c r="C2688" s="1" t="s">
        <v>5352</v>
      </c>
      <c r="E2688" s="15" t="s">
        <v>5353</v>
      </c>
      <c r="G2688" s="16"/>
      <c r="M2688">
        <v>1</v>
      </c>
      <c r="N2688">
        <v>726</v>
      </c>
      <c r="O2688">
        <v>0</v>
      </c>
      <c r="P2688">
        <v>56</v>
      </c>
      <c r="Q2688">
        <v>40656</v>
      </c>
      <c r="R2688">
        <v>0</v>
      </c>
      <c r="S2688">
        <v>0</v>
      </c>
      <c r="T2688" t="s">
        <v>52</v>
      </c>
      <c r="U2688">
        <v>0</v>
      </c>
      <c r="V2688">
        <v>0</v>
      </c>
      <c r="W2688">
        <v>400032</v>
      </c>
      <c r="X2688" t="s">
        <v>56</v>
      </c>
      <c r="Y2688" t="s">
        <v>57</v>
      </c>
      <c r="AE2688">
        <v>0</v>
      </c>
      <c r="AP2688" t="s">
        <v>404</v>
      </c>
    </row>
    <row r="2689" spans="1:42" ht="15.6">
      <c r="A2689" s="1" t="s">
        <v>46</v>
      </c>
      <c r="B2689" s="1" t="s">
        <v>5354</v>
      </c>
      <c r="C2689" s="1" t="s">
        <v>5354</v>
      </c>
      <c r="E2689" s="15" t="s">
        <v>5355</v>
      </c>
      <c r="G2689" s="16">
        <v>2</v>
      </c>
      <c r="M2689">
        <v>1</v>
      </c>
      <c r="N2689">
        <v>92</v>
      </c>
      <c r="O2689">
        <v>0</v>
      </c>
      <c r="P2689">
        <v>26</v>
      </c>
      <c r="Q2689">
        <v>2392</v>
      </c>
      <c r="W2689">
        <v>400213</v>
      </c>
      <c r="AE2689">
        <v>0</v>
      </c>
      <c r="AP2689" t="s">
        <v>5356</v>
      </c>
    </row>
    <row r="2690" spans="1:42" ht="15.6">
      <c r="A2690" s="1" t="s">
        <v>46</v>
      </c>
      <c r="B2690" s="1" t="s">
        <v>5357</v>
      </c>
      <c r="C2690" s="1" t="s">
        <v>5357</v>
      </c>
      <c r="E2690" s="15" t="s">
        <v>5358</v>
      </c>
      <c r="G2690" s="16">
        <v>2</v>
      </c>
      <c r="M2690">
        <v>1</v>
      </c>
      <c r="N2690">
        <v>6</v>
      </c>
      <c r="O2690">
        <v>0</v>
      </c>
      <c r="P2690">
        <v>27</v>
      </c>
      <c r="Q2690">
        <v>162</v>
      </c>
      <c r="R2690">
        <v>0</v>
      </c>
      <c r="S2690">
        <v>0</v>
      </c>
      <c r="T2690" t="s">
        <v>52</v>
      </c>
      <c r="U2690">
        <v>0</v>
      </c>
      <c r="V2690">
        <v>0</v>
      </c>
      <c r="W2690">
        <v>400042</v>
      </c>
      <c r="X2690" t="s">
        <v>56</v>
      </c>
      <c r="Y2690" t="s">
        <v>57</v>
      </c>
      <c r="AE2690">
        <v>0</v>
      </c>
      <c r="AP2690" t="s">
        <v>154</v>
      </c>
    </row>
    <row r="2691" spans="1:42" ht="15.6">
      <c r="E2691" s="15" t="s">
        <v>5359</v>
      </c>
      <c r="G2691" s="16"/>
    </row>
    <row r="2692" spans="1:42" ht="15.6">
      <c r="A2692" s="1" t="s">
        <v>46</v>
      </c>
      <c r="B2692" s="1" t="s">
        <v>5360</v>
      </c>
      <c r="C2692" s="1" t="s">
        <v>5360</v>
      </c>
      <c r="E2692" s="15" t="s">
        <v>5361</v>
      </c>
      <c r="G2692" s="16"/>
      <c r="M2692">
        <v>1</v>
      </c>
      <c r="N2692">
        <v>-8</v>
      </c>
      <c r="O2692">
        <v>0</v>
      </c>
      <c r="P2692">
        <v>1.35</v>
      </c>
      <c r="Q2692">
        <v>-10.8</v>
      </c>
      <c r="R2692">
        <v>0</v>
      </c>
      <c r="S2692">
        <v>0</v>
      </c>
      <c r="T2692" t="s">
        <v>17</v>
      </c>
      <c r="W2692">
        <v>400066</v>
      </c>
      <c r="AE2692">
        <v>0</v>
      </c>
      <c r="AP2692" t="s">
        <v>680</v>
      </c>
    </row>
    <row r="2693" spans="1:42" ht="15.6">
      <c r="A2693" s="1" t="s">
        <v>46</v>
      </c>
      <c r="B2693" s="1" t="s">
        <v>5362</v>
      </c>
      <c r="C2693" s="1" t="s">
        <v>5362</v>
      </c>
      <c r="E2693" s="15" t="s">
        <v>5363</v>
      </c>
      <c r="G2693" s="16"/>
      <c r="I2693">
        <v>1</v>
      </c>
      <c r="M2693">
        <v>1</v>
      </c>
      <c r="N2693">
        <v>-51</v>
      </c>
      <c r="O2693">
        <v>0</v>
      </c>
      <c r="P2693">
        <v>0.3</v>
      </c>
      <c r="Q2693">
        <v>-15.3</v>
      </c>
      <c r="R2693">
        <v>0</v>
      </c>
      <c r="S2693">
        <v>0</v>
      </c>
      <c r="T2693" t="s">
        <v>17</v>
      </c>
      <c r="U2693">
        <v>0</v>
      </c>
      <c r="V2693">
        <v>0</v>
      </c>
      <c r="W2693">
        <v>410120</v>
      </c>
      <c r="AE2693">
        <v>0</v>
      </c>
      <c r="AH2693">
        <v>1</v>
      </c>
      <c r="AP2693" t="s">
        <v>112</v>
      </c>
    </row>
    <row r="2694" spans="1:42">
      <c r="A2694" s="1" t="s">
        <v>46</v>
      </c>
      <c r="B2694" s="1" t="s">
        <v>5364</v>
      </c>
      <c r="C2694" s="1" t="s">
        <v>5364</v>
      </c>
      <c r="E2694" s="12" t="s">
        <v>5365</v>
      </c>
      <c r="G2694" s="16">
        <v>0.1</v>
      </c>
      <c r="I2694">
        <v>1</v>
      </c>
      <c r="M2694">
        <v>1</v>
      </c>
      <c r="N2694">
        <v>1092</v>
      </c>
      <c r="O2694">
        <v>0</v>
      </c>
      <c r="P2694">
        <v>1</v>
      </c>
      <c r="Q2694">
        <v>1092</v>
      </c>
      <c r="R2694">
        <v>0</v>
      </c>
      <c r="S2694">
        <v>0</v>
      </c>
      <c r="T2694" t="s">
        <v>17</v>
      </c>
      <c r="U2694">
        <v>0</v>
      </c>
      <c r="V2694">
        <v>0</v>
      </c>
      <c r="W2694">
        <v>400186</v>
      </c>
      <c r="AE2694">
        <v>0</v>
      </c>
      <c r="AH2694">
        <v>1</v>
      </c>
      <c r="AP2694" t="s">
        <v>120</v>
      </c>
    </row>
    <row r="2695" spans="1:42">
      <c r="A2695" s="1" t="s">
        <v>46</v>
      </c>
      <c r="B2695" s="1" t="s">
        <v>5366</v>
      </c>
      <c r="C2695" s="1" t="s">
        <v>5366</v>
      </c>
      <c r="E2695" s="12" t="s">
        <v>5367</v>
      </c>
      <c r="G2695" s="16">
        <v>2</v>
      </c>
      <c r="I2695">
        <v>1</v>
      </c>
      <c r="M2695">
        <v>1</v>
      </c>
      <c r="N2695">
        <v>822</v>
      </c>
      <c r="O2695">
        <v>0</v>
      </c>
      <c r="P2695">
        <v>0.3</v>
      </c>
      <c r="Q2695">
        <v>246.6</v>
      </c>
      <c r="R2695">
        <v>0</v>
      </c>
      <c r="S2695">
        <v>0</v>
      </c>
      <c r="T2695" t="s">
        <v>17</v>
      </c>
      <c r="U2695">
        <v>0</v>
      </c>
      <c r="V2695">
        <v>0</v>
      </c>
      <c r="W2695">
        <v>410120</v>
      </c>
      <c r="X2695" t="s">
        <v>56</v>
      </c>
      <c r="Y2695" t="s">
        <v>57</v>
      </c>
      <c r="AE2695">
        <v>0</v>
      </c>
      <c r="AH2695">
        <v>1</v>
      </c>
      <c r="AP2695" t="s">
        <v>112</v>
      </c>
    </row>
    <row r="2696" spans="1:42">
      <c r="A2696" s="1" t="s">
        <v>46</v>
      </c>
      <c r="B2696" s="1" t="s">
        <v>5368</v>
      </c>
      <c r="C2696" s="1" t="s">
        <v>5368</v>
      </c>
      <c r="E2696" s="18" t="s">
        <v>5369</v>
      </c>
      <c r="G2696" s="16"/>
      <c r="I2696">
        <v>1</v>
      </c>
      <c r="M2696">
        <v>1</v>
      </c>
      <c r="N2696">
        <v>1281</v>
      </c>
      <c r="O2696">
        <v>0</v>
      </c>
      <c r="P2696">
        <v>0.5</v>
      </c>
      <c r="Q2696">
        <v>640.5</v>
      </c>
      <c r="R2696">
        <v>0</v>
      </c>
      <c r="S2696">
        <v>0</v>
      </c>
      <c r="T2696" t="s">
        <v>17</v>
      </c>
      <c r="U2696">
        <v>0</v>
      </c>
      <c r="V2696">
        <v>0</v>
      </c>
      <c r="W2696">
        <v>410120</v>
      </c>
      <c r="X2696" t="s">
        <v>56</v>
      </c>
      <c r="Y2696" t="s">
        <v>57</v>
      </c>
      <c r="AE2696">
        <v>0</v>
      </c>
      <c r="AH2696">
        <v>1</v>
      </c>
      <c r="AP2696" t="s">
        <v>112</v>
      </c>
    </row>
    <row r="2697" spans="1:42">
      <c r="A2697" s="1" t="s">
        <v>46</v>
      </c>
      <c r="B2697" s="1" t="s">
        <v>5370</v>
      </c>
      <c r="C2697" s="1" t="s">
        <v>5370</v>
      </c>
      <c r="E2697" s="18" t="s">
        <v>5371</v>
      </c>
      <c r="G2697" s="16"/>
      <c r="M2697">
        <v>1</v>
      </c>
      <c r="N2697">
        <v>0</v>
      </c>
      <c r="O2697">
        <v>0</v>
      </c>
      <c r="P2697">
        <v>120</v>
      </c>
      <c r="Q2697">
        <v>0</v>
      </c>
      <c r="R2697">
        <v>0</v>
      </c>
      <c r="S2697">
        <v>0</v>
      </c>
      <c r="T2697" t="s">
        <v>17</v>
      </c>
      <c r="U2697">
        <v>0</v>
      </c>
      <c r="V2697">
        <v>0</v>
      </c>
      <c r="W2697">
        <v>400017</v>
      </c>
      <c r="X2697" t="s">
        <v>56</v>
      </c>
      <c r="Y2697" t="s">
        <v>57</v>
      </c>
      <c r="AE2697">
        <v>0</v>
      </c>
      <c r="AP2697" t="s">
        <v>49</v>
      </c>
    </row>
    <row r="2698" spans="1:42">
      <c r="A2698" s="1" t="s">
        <v>46</v>
      </c>
      <c r="B2698" s="1" t="s">
        <v>5372</v>
      </c>
      <c r="C2698" s="1" t="s">
        <v>5372</v>
      </c>
      <c r="E2698" s="18" t="s">
        <v>5373</v>
      </c>
      <c r="G2698" s="16"/>
      <c r="M2698">
        <v>1</v>
      </c>
      <c r="N2698">
        <v>157</v>
      </c>
      <c r="O2698">
        <v>0</v>
      </c>
      <c r="P2698">
        <v>50</v>
      </c>
      <c r="Q2698">
        <v>7850</v>
      </c>
      <c r="R2698">
        <v>0</v>
      </c>
      <c r="S2698">
        <v>0</v>
      </c>
      <c r="T2698">
        <v>0</v>
      </c>
      <c r="W2698">
        <v>400186</v>
      </c>
      <c r="AE2698">
        <v>0</v>
      </c>
      <c r="AP2698" t="s">
        <v>120</v>
      </c>
    </row>
    <row r="2699" spans="1:42">
      <c r="A2699" s="1" t="s">
        <v>46</v>
      </c>
      <c r="B2699" s="1" t="s">
        <v>5374</v>
      </c>
      <c r="C2699" s="1" t="s">
        <v>5374</v>
      </c>
      <c r="E2699" s="18" t="s">
        <v>5375</v>
      </c>
      <c r="G2699" s="16"/>
      <c r="M2699">
        <v>1</v>
      </c>
      <c r="N2699">
        <v>45</v>
      </c>
      <c r="O2699">
        <v>0</v>
      </c>
      <c r="P2699">
        <v>35</v>
      </c>
      <c r="Q2699">
        <v>1575</v>
      </c>
      <c r="R2699">
        <v>0</v>
      </c>
      <c r="S2699">
        <v>0</v>
      </c>
      <c r="T2699" t="s">
        <v>52</v>
      </c>
      <c r="W2699">
        <v>410120</v>
      </c>
      <c r="AE2699">
        <v>0</v>
      </c>
      <c r="AP2699" t="s">
        <v>112</v>
      </c>
    </row>
    <row r="2700" spans="1:42">
      <c r="A2700" s="1" t="s">
        <v>46</v>
      </c>
      <c r="B2700" s="1" t="s">
        <v>5376</v>
      </c>
      <c r="C2700" s="1" t="s">
        <v>5376</v>
      </c>
      <c r="E2700" s="18" t="s">
        <v>5377</v>
      </c>
      <c r="G2700" s="16"/>
      <c r="M2700">
        <v>1</v>
      </c>
      <c r="N2700">
        <v>65</v>
      </c>
      <c r="O2700">
        <v>0</v>
      </c>
      <c r="P2700">
        <v>15</v>
      </c>
      <c r="Q2700">
        <v>975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410120</v>
      </c>
      <c r="AE2700">
        <v>0</v>
      </c>
      <c r="AP2700" t="s">
        <v>112</v>
      </c>
    </row>
    <row r="2701" spans="1:42">
      <c r="A2701" s="1" t="s">
        <v>46</v>
      </c>
      <c r="B2701" s="1" t="s">
        <v>5378</v>
      </c>
      <c r="C2701" s="1" t="s">
        <v>5378</v>
      </c>
      <c r="E2701" s="18" t="s">
        <v>5379</v>
      </c>
      <c r="G2701" s="16"/>
      <c r="M2701">
        <v>1</v>
      </c>
      <c r="N2701">
        <v>132</v>
      </c>
      <c r="O2701">
        <v>0</v>
      </c>
      <c r="P2701">
        <v>31</v>
      </c>
      <c r="Q2701">
        <v>4092</v>
      </c>
      <c r="R2701" t="s">
        <v>377</v>
      </c>
      <c r="S2701">
        <v>0</v>
      </c>
      <c r="T2701">
        <v>0</v>
      </c>
      <c r="U2701">
        <v>0</v>
      </c>
      <c r="V2701">
        <v>0</v>
      </c>
      <c r="W2701">
        <v>400033</v>
      </c>
      <c r="AE2701">
        <v>0</v>
      </c>
      <c r="AP2701" t="s">
        <v>126</v>
      </c>
    </row>
    <row r="2702" spans="1:42">
      <c r="A2702" s="1" t="s">
        <v>46</v>
      </c>
      <c r="B2702" s="1" t="s">
        <v>5380</v>
      </c>
      <c r="C2702" s="1" t="s">
        <v>5380</v>
      </c>
      <c r="E2702" s="18" t="s">
        <v>5381</v>
      </c>
      <c r="G2702" s="16"/>
      <c r="M2702">
        <v>1</v>
      </c>
      <c r="N2702">
        <v>396</v>
      </c>
      <c r="O2702">
        <v>0</v>
      </c>
      <c r="P2702">
        <v>23</v>
      </c>
      <c r="Q2702">
        <v>9108</v>
      </c>
      <c r="R2702">
        <v>0</v>
      </c>
      <c r="S2702">
        <v>0</v>
      </c>
      <c r="T2702" t="s">
        <v>52</v>
      </c>
      <c r="U2702">
        <v>0</v>
      </c>
      <c r="V2702">
        <v>0</v>
      </c>
      <c r="W2702">
        <v>400130</v>
      </c>
      <c r="X2702" t="s">
        <v>56</v>
      </c>
      <c r="Y2702" t="s">
        <v>57</v>
      </c>
      <c r="AE2702">
        <v>0</v>
      </c>
      <c r="AP2702" t="s">
        <v>139</v>
      </c>
    </row>
    <row r="2703" spans="1:42">
      <c r="A2703" s="1" t="s">
        <v>46</v>
      </c>
      <c r="B2703" s="1" t="s">
        <v>5382</v>
      </c>
      <c r="C2703" s="1" t="s">
        <v>5382</v>
      </c>
      <c r="E2703" s="18" t="s">
        <v>5383</v>
      </c>
      <c r="G2703" s="16"/>
      <c r="M2703">
        <v>1</v>
      </c>
      <c r="N2703">
        <v>267</v>
      </c>
      <c r="O2703">
        <v>0</v>
      </c>
      <c r="P2703">
        <v>23</v>
      </c>
      <c r="Q2703">
        <v>6141</v>
      </c>
      <c r="R2703" t="s">
        <v>115</v>
      </c>
      <c r="S2703">
        <v>0</v>
      </c>
      <c r="T2703" t="s">
        <v>17</v>
      </c>
      <c r="U2703">
        <v>0</v>
      </c>
      <c r="V2703">
        <v>0</v>
      </c>
      <c r="W2703">
        <v>400130</v>
      </c>
      <c r="X2703" t="s">
        <v>56</v>
      </c>
      <c r="Y2703" t="s">
        <v>57</v>
      </c>
      <c r="AE2703">
        <v>0</v>
      </c>
      <c r="AP2703" t="s">
        <v>139</v>
      </c>
    </row>
    <row r="2704" spans="1:42">
      <c r="A2704" s="1" t="s">
        <v>46</v>
      </c>
      <c r="B2704" s="1" t="s">
        <v>5384</v>
      </c>
      <c r="C2704" s="1" t="s">
        <v>5384</v>
      </c>
      <c r="E2704" s="18" t="s">
        <v>5385</v>
      </c>
      <c r="G2704" s="16"/>
      <c r="M2704">
        <v>1</v>
      </c>
      <c r="N2704">
        <v>1</v>
      </c>
      <c r="O2704">
        <v>0</v>
      </c>
      <c r="P2704">
        <v>2.5</v>
      </c>
      <c r="Q2704">
        <v>2.5</v>
      </c>
      <c r="R2704">
        <v>0</v>
      </c>
      <c r="S2704">
        <v>0</v>
      </c>
      <c r="T2704" t="s">
        <v>3335</v>
      </c>
      <c r="U2704">
        <v>0</v>
      </c>
      <c r="V2704">
        <v>0</v>
      </c>
      <c r="W2704">
        <v>400017</v>
      </c>
      <c r="X2704" t="s">
        <v>56</v>
      </c>
      <c r="Y2704" t="s">
        <v>57</v>
      </c>
      <c r="AE2704">
        <v>0</v>
      </c>
      <c r="AP2704" t="s">
        <v>49</v>
      </c>
    </row>
    <row r="2705" spans="1:42">
      <c r="A2705" s="1" t="s">
        <v>46</v>
      </c>
      <c r="B2705" s="1" t="s">
        <v>5386</v>
      </c>
      <c r="C2705" s="1" t="s">
        <v>5386</v>
      </c>
      <c r="E2705" s="18" t="s">
        <v>5387</v>
      </c>
      <c r="G2705" s="16"/>
      <c r="M2705">
        <v>1</v>
      </c>
      <c r="N2705">
        <v>50</v>
      </c>
      <c r="O2705">
        <v>0</v>
      </c>
      <c r="P2705">
        <v>2.35</v>
      </c>
      <c r="Q2705">
        <v>117.5</v>
      </c>
      <c r="W2705">
        <v>400028</v>
      </c>
      <c r="AE2705">
        <v>0</v>
      </c>
      <c r="AP2705" t="s">
        <v>246</v>
      </c>
    </row>
    <row r="2706" spans="1:42">
      <c r="A2706" s="1" t="s">
        <v>46</v>
      </c>
      <c r="B2706" s="1" t="s">
        <v>5388</v>
      </c>
      <c r="C2706" s="1" t="s">
        <v>5388</v>
      </c>
      <c r="E2706" s="18" t="s">
        <v>5389</v>
      </c>
      <c r="G2706" s="16"/>
      <c r="M2706">
        <v>1</v>
      </c>
      <c r="N2706">
        <v>16</v>
      </c>
      <c r="O2706">
        <v>0</v>
      </c>
      <c r="P2706">
        <v>6.85</v>
      </c>
      <c r="Q2706">
        <v>109.67</v>
      </c>
      <c r="W2706">
        <v>400160</v>
      </c>
      <c r="AE2706">
        <v>0</v>
      </c>
      <c r="AP2706" t="s">
        <v>201</v>
      </c>
    </row>
    <row r="2707" spans="1:42">
      <c r="A2707" s="1" t="s">
        <v>46</v>
      </c>
      <c r="B2707" s="1" t="s">
        <v>5390</v>
      </c>
      <c r="C2707" s="1" t="s">
        <v>5390</v>
      </c>
      <c r="E2707" s="18" t="s">
        <v>5391</v>
      </c>
      <c r="G2707" s="16"/>
      <c r="M2707">
        <v>1</v>
      </c>
      <c r="N2707">
        <v>4</v>
      </c>
      <c r="O2707">
        <v>0</v>
      </c>
      <c r="P2707">
        <v>21</v>
      </c>
      <c r="Q2707">
        <v>84</v>
      </c>
      <c r="R2707">
        <v>0</v>
      </c>
      <c r="S2707">
        <v>0</v>
      </c>
      <c r="T2707" t="s">
        <v>52</v>
      </c>
      <c r="U2707">
        <v>0</v>
      </c>
      <c r="V2707">
        <v>0</v>
      </c>
      <c r="W2707">
        <v>400045</v>
      </c>
      <c r="AE2707">
        <v>0</v>
      </c>
      <c r="AP2707" t="s">
        <v>217</v>
      </c>
    </row>
    <row r="2708" spans="1:42">
      <c r="A2708" s="1" t="s">
        <v>46</v>
      </c>
      <c r="B2708" s="1" t="s">
        <v>5392</v>
      </c>
      <c r="C2708" s="1" t="s">
        <v>5392</v>
      </c>
      <c r="E2708" s="18" t="s">
        <v>5393</v>
      </c>
      <c r="G2708" s="16"/>
      <c r="M2708">
        <v>1</v>
      </c>
      <c r="N2708">
        <v>4</v>
      </c>
      <c r="O2708">
        <v>0</v>
      </c>
      <c r="P2708">
        <v>10</v>
      </c>
      <c r="Q2708">
        <v>40</v>
      </c>
      <c r="R2708">
        <v>0</v>
      </c>
      <c r="S2708">
        <v>0</v>
      </c>
      <c r="T2708" t="s">
        <v>209</v>
      </c>
      <c r="U2708">
        <v>0</v>
      </c>
      <c r="V2708">
        <v>0</v>
      </c>
      <c r="W2708">
        <v>400017</v>
      </c>
      <c r="X2708" t="s">
        <v>56</v>
      </c>
      <c r="Y2708" t="s">
        <v>57</v>
      </c>
      <c r="AE2708">
        <v>0</v>
      </c>
      <c r="AP2708" t="s">
        <v>49</v>
      </c>
    </row>
    <row r="2709" spans="1:42">
      <c r="A2709" s="1" t="s">
        <v>46</v>
      </c>
      <c r="B2709" s="1" t="s">
        <v>5394</v>
      </c>
      <c r="C2709" s="1" t="s">
        <v>5394</v>
      </c>
      <c r="E2709" s="18" t="s">
        <v>5395</v>
      </c>
      <c r="G2709" s="16"/>
      <c r="M2709">
        <v>1</v>
      </c>
      <c r="N2709">
        <v>2</v>
      </c>
      <c r="O2709">
        <v>0</v>
      </c>
      <c r="P2709">
        <v>2</v>
      </c>
      <c r="Q2709">
        <v>4</v>
      </c>
      <c r="W2709">
        <v>400010</v>
      </c>
      <c r="AE2709">
        <v>0</v>
      </c>
      <c r="AP2709" t="s">
        <v>66</v>
      </c>
    </row>
    <row r="2710" spans="1:42">
      <c r="A2710" s="1" t="s">
        <v>46</v>
      </c>
      <c r="B2710" s="1" t="s">
        <v>5396</v>
      </c>
      <c r="C2710" s="1" t="s">
        <v>5396</v>
      </c>
      <c r="E2710" s="18" t="s">
        <v>5397</v>
      </c>
      <c r="G2710" s="16"/>
      <c r="M2710">
        <v>1</v>
      </c>
      <c r="N2710">
        <v>173</v>
      </c>
      <c r="O2710">
        <v>0</v>
      </c>
      <c r="P2710">
        <v>53</v>
      </c>
      <c r="Q2710">
        <v>9169</v>
      </c>
      <c r="R2710">
        <v>0</v>
      </c>
      <c r="S2710">
        <v>0</v>
      </c>
      <c r="T2710" t="s">
        <v>52</v>
      </c>
      <c r="U2710">
        <v>0</v>
      </c>
      <c r="V2710">
        <v>0</v>
      </c>
      <c r="W2710">
        <v>400002</v>
      </c>
      <c r="AE2710">
        <v>0</v>
      </c>
      <c r="AP2710" t="s">
        <v>116</v>
      </c>
    </row>
    <row r="2711" spans="1:42">
      <c r="A2711" s="1" t="s">
        <v>46</v>
      </c>
      <c r="B2711" s="1" t="s">
        <v>5398</v>
      </c>
      <c r="C2711" s="1" t="s">
        <v>5398</v>
      </c>
      <c r="E2711" s="18" t="s">
        <v>5399</v>
      </c>
      <c r="G2711" s="16"/>
      <c r="M2711">
        <v>1</v>
      </c>
      <c r="N2711">
        <v>76</v>
      </c>
      <c r="O2711">
        <v>0</v>
      </c>
      <c r="P2711">
        <v>2.5</v>
      </c>
      <c r="Q2711">
        <v>190</v>
      </c>
      <c r="R2711">
        <v>0</v>
      </c>
      <c r="S2711">
        <v>0</v>
      </c>
      <c r="T2711">
        <v>0</v>
      </c>
      <c r="W2711">
        <v>400042</v>
      </c>
      <c r="AE2711">
        <v>0</v>
      </c>
      <c r="AP2711" t="s">
        <v>154</v>
      </c>
    </row>
    <row r="2712" spans="1:42">
      <c r="A2712" s="1" t="s">
        <v>46</v>
      </c>
      <c r="B2712" s="1" t="s">
        <v>5400</v>
      </c>
      <c r="C2712" s="1" t="s">
        <v>5400</v>
      </c>
      <c r="E2712" s="18" t="s">
        <v>5401</v>
      </c>
      <c r="G2712" s="16"/>
      <c r="M2712">
        <v>1</v>
      </c>
      <c r="N2712">
        <v>1</v>
      </c>
      <c r="O2712">
        <v>0</v>
      </c>
      <c r="W2712">
        <v>400111</v>
      </c>
      <c r="AE2712">
        <v>0</v>
      </c>
      <c r="AP2712" t="s">
        <v>646</v>
      </c>
    </row>
    <row r="2713" spans="1:42">
      <c r="A2713" s="1" t="s">
        <v>46</v>
      </c>
      <c r="B2713" s="1" t="s">
        <v>5402</v>
      </c>
      <c r="C2713" s="1" t="s">
        <v>5402</v>
      </c>
      <c r="E2713" s="18" t="s">
        <v>5403</v>
      </c>
      <c r="G2713" s="16"/>
      <c r="M2713">
        <v>1</v>
      </c>
      <c r="N2713">
        <v>99</v>
      </c>
      <c r="O2713">
        <v>0</v>
      </c>
      <c r="P2713">
        <v>3</v>
      </c>
      <c r="Q2713">
        <v>297</v>
      </c>
      <c r="R2713">
        <v>0</v>
      </c>
      <c r="S2713">
        <v>0</v>
      </c>
      <c r="T2713" t="s">
        <v>17</v>
      </c>
      <c r="U2713">
        <v>0</v>
      </c>
      <c r="V2713">
        <v>0</v>
      </c>
      <c r="W2713">
        <v>400017</v>
      </c>
      <c r="X2713" t="s">
        <v>56</v>
      </c>
      <c r="Y2713" t="s">
        <v>57</v>
      </c>
      <c r="AE2713">
        <v>0</v>
      </c>
      <c r="AP2713" t="s">
        <v>49</v>
      </c>
    </row>
    <row r="2714" spans="1:42">
      <c r="A2714" s="1" t="s">
        <v>46</v>
      </c>
      <c r="B2714" s="1" t="s">
        <v>5404</v>
      </c>
      <c r="C2714" s="1" t="s">
        <v>5404</v>
      </c>
      <c r="E2714" s="18" t="s">
        <v>5405</v>
      </c>
      <c r="G2714" s="16">
        <v>45</v>
      </c>
      <c r="M2714">
        <v>1</v>
      </c>
      <c r="N2714">
        <v>0</v>
      </c>
      <c r="O2714">
        <v>0</v>
      </c>
      <c r="P2714">
        <v>2.25</v>
      </c>
      <c r="Q2714">
        <v>0</v>
      </c>
      <c r="R2714">
        <v>0</v>
      </c>
      <c r="S2714">
        <v>0</v>
      </c>
      <c r="T2714" t="s">
        <v>17</v>
      </c>
      <c r="U2714">
        <v>0</v>
      </c>
      <c r="V2714">
        <v>0</v>
      </c>
      <c r="W2714">
        <v>400017</v>
      </c>
      <c r="X2714" t="s">
        <v>56</v>
      </c>
      <c r="Y2714" t="s">
        <v>57</v>
      </c>
      <c r="AE2714">
        <v>0</v>
      </c>
      <c r="AP2714" t="s">
        <v>49</v>
      </c>
    </row>
    <row r="2715" spans="1:42">
      <c r="A2715" s="1" t="s">
        <v>46</v>
      </c>
      <c r="B2715" s="1" t="s">
        <v>5406</v>
      </c>
      <c r="C2715" s="1" t="s">
        <v>5406</v>
      </c>
      <c r="E2715" s="18" t="s">
        <v>5407</v>
      </c>
      <c r="G2715" s="16"/>
      <c r="M2715">
        <v>1</v>
      </c>
      <c r="N2715">
        <v>42</v>
      </c>
      <c r="O2715">
        <v>0</v>
      </c>
      <c r="P2715">
        <v>22</v>
      </c>
      <c r="Q2715">
        <v>924</v>
      </c>
      <c r="R2715">
        <v>0</v>
      </c>
      <c r="S2715">
        <v>0</v>
      </c>
      <c r="T2715" t="s">
        <v>17</v>
      </c>
      <c r="U2715">
        <v>0</v>
      </c>
      <c r="V2715">
        <v>0</v>
      </c>
      <c r="W2715">
        <v>400017</v>
      </c>
      <c r="AE2715">
        <v>0</v>
      </c>
      <c r="AP2715" t="s">
        <v>49</v>
      </c>
    </row>
    <row r="2716" spans="1:42">
      <c r="A2716" s="1" t="s">
        <v>46</v>
      </c>
      <c r="B2716" s="1" t="s">
        <v>5408</v>
      </c>
      <c r="C2716" s="1" t="s">
        <v>5408</v>
      </c>
      <c r="E2716" s="18" t="s">
        <v>5409</v>
      </c>
      <c r="G2716" s="16"/>
      <c r="M2716">
        <v>1</v>
      </c>
      <c r="N2716">
        <v>6</v>
      </c>
      <c r="O2716">
        <v>0</v>
      </c>
      <c r="P2716">
        <v>33</v>
      </c>
      <c r="Q2716">
        <v>198</v>
      </c>
      <c r="R2716" t="s">
        <v>241</v>
      </c>
      <c r="S2716">
        <v>0</v>
      </c>
      <c r="T2716" t="s">
        <v>209</v>
      </c>
      <c r="U2716">
        <v>0</v>
      </c>
      <c r="V2716">
        <v>0</v>
      </c>
      <c r="W2716">
        <v>410302</v>
      </c>
      <c r="AE2716">
        <v>0</v>
      </c>
      <c r="AP2716" t="s">
        <v>177</v>
      </c>
    </row>
    <row r="2717" spans="1:42">
      <c r="A2717" s="1" t="s">
        <v>46</v>
      </c>
      <c r="B2717" s="1" t="s">
        <v>5410</v>
      </c>
      <c r="C2717" s="1" t="s">
        <v>5410</v>
      </c>
      <c r="E2717" s="18" t="s">
        <v>5411</v>
      </c>
      <c r="G2717" s="16"/>
      <c r="M2717">
        <v>1</v>
      </c>
      <c r="N2717">
        <v>8</v>
      </c>
      <c r="O2717">
        <v>0</v>
      </c>
      <c r="P2717">
        <v>27</v>
      </c>
      <c r="Q2717">
        <v>216</v>
      </c>
      <c r="W2717">
        <v>410302</v>
      </c>
      <c r="AE2717">
        <v>0</v>
      </c>
      <c r="AP2717" t="s">
        <v>177</v>
      </c>
    </row>
    <row r="2718" spans="1:42">
      <c r="A2718" s="1" t="s">
        <v>46</v>
      </c>
      <c r="B2718" s="1" t="s">
        <v>5412</v>
      </c>
      <c r="C2718" s="1" t="s">
        <v>5412</v>
      </c>
      <c r="E2718" s="18" t="s">
        <v>5413</v>
      </c>
      <c r="G2718" s="16"/>
      <c r="M2718">
        <v>1</v>
      </c>
      <c r="N2718">
        <v>8</v>
      </c>
      <c r="O2718">
        <v>0</v>
      </c>
      <c r="P2718">
        <v>21</v>
      </c>
      <c r="Q2718">
        <v>168</v>
      </c>
      <c r="R2718" t="s">
        <v>241</v>
      </c>
      <c r="S2718">
        <v>0</v>
      </c>
      <c r="T2718" t="s">
        <v>209</v>
      </c>
      <c r="U2718">
        <v>0</v>
      </c>
      <c r="V2718">
        <v>0</v>
      </c>
      <c r="W2718">
        <v>410302</v>
      </c>
      <c r="AE2718">
        <v>0</v>
      </c>
      <c r="AP2718" t="s">
        <v>177</v>
      </c>
    </row>
    <row r="2719" spans="1:42">
      <c r="E2719" s="18" t="s">
        <v>5414</v>
      </c>
      <c r="G2719" s="16"/>
    </row>
    <row r="2720" spans="1:42">
      <c r="E2720" s="18" t="s">
        <v>5415</v>
      </c>
      <c r="G2720" s="16"/>
    </row>
    <row r="2721" spans="1:42">
      <c r="E2721" s="18" t="s">
        <v>5416</v>
      </c>
      <c r="G2721" s="16"/>
    </row>
    <row r="2722" spans="1:42">
      <c r="E2722" s="18" t="s">
        <v>5417</v>
      </c>
      <c r="G2722" s="16"/>
    </row>
    <row r="2723" spans="1:42">
      <c r="A2723" s="1" t="s">
        <v>46</v>
      </c>
      <c r="B2723" s="1" t="s">
        <v>5418</v>
      </c>
      <c r="C2723" s="1" t="s">
        <v>5418</v>
      </c>
      <c r="E2723" s="18" t="s">
        <v>5419</v>
      </c>
      <c r="G2723" s="16"/>
      <c r="M2723">
        <v>1</v>
      </c>
      <c r="N2723">
        <v>206</v>
      </c>
      <c r="O2723">
        <v>0</v>
      </c>
      <c r="P2723">
        <v>45</v>
      </c>
      <c r="Q2723">
        <v>9270</v>
      </c>
      <c r="R2723">
        <v>0</v>
      </c>
      <c r="S2723">
        <v>0</v>
      </c>
      <c r="T2723" t="s">
        <v>52</v>
      </c>
      <c r="U2723">
        <v>0</v>
      </c>
      <c r="V2723">
        <v>0</v>
      </c>
      <c r="W2723">
        <v>400032</v>
      </c>
      <c r="X2723" t="s">
        <v>56</v>
      </c>
      <c r="Y2723" t="s">
        <v>57</v>
      </c>
      <c r="AE2723">
        <v>0</v>
      </c>
      <c r="AP2723" t="s">
        <v>404</v>
      </c>
    </row>
    <row r="2724" spans="1:42">
      <c r="E2724" s="18" t="s">
        <v>5420</v>
      </c>
      <c r="G2724" s="16"/>
    </row>
    <row r="2725" spans="1:42">
      <c r="E2725" s="18" t="s">
        <v>5421</v>
      </c>
      <c r="G2725" s="16"/>
    </row>
    <row r="2726" spans="1:42">
      <c r="E2726" s="18" t="s">
        <v>5422</v>
      </c>
      <c r="G2726" s="16"/>
    </row>
    <row r="2727" spans="1:42">
      <c r="E2727" s="18" t="s">
        <v>5423</v>
      </c>
      <c r="G2727" s="16"/>
    </row>
    <row r="2728" spans="1:42">
      <c r="A2728" s="1" t="s">
        <v>46</v>
      </c>
      <c r="B2728" s="1" t="s">
        <v>5424</v>
      </c>
      <c r="C2728" s="1" t="s">
        <v>5424</v>
      </c>
      <c r="E2728" s="18" t="s">
        <v>5425</v>
      </c>
      <c r="G2728" s="16"/>
      <c r="M2728">
        <v>1</v>
      </c>
      <c r="N2728">
        <v>5</v>
      </c>
      <c r="O2728">
        <v>0</v>
      </c>
      <c r="P2728">
        <v>3.8</v>
      </c>
      <c r="Q2728">
        <v>19</v>
      </c>
      <c r="R2728">
        <v>0</v>
      </c>
      <c r="S2728">
        <v>0</v>
      </c>
      <c r="T2728" t="s">
        <v>52</v>
      </c>
      <c r="W2728">
        <v>410120</v>
      </c>
      <c r="AE2728">
        <v>0</v>
      </c>
      <c r="AP2728" t="s">
        <v>112</v>
      </c>
    </row>
    <row r="2729" spans="1:42">
      <c r="A2729" s="1" t="s">
        <v>46</v>
      </c>
      <c r="B2729" s="1" t="s">
        <v>5426</v>
      </c>
      <c r="C2729" s="1" t="s">
        <v>5426</v>
      </c>
      <c r="E2729" s="18" t="s">
        <v>5427</v>
      </c>
      <c r="G2729" s="16"/>
      <c r="M2729">
        <v>1</v>
      </c>
      <c r="N2729">
        <v>-2</v>
      </c>
      <c r="O2729">
        <v>0</v>
      </c>
      <c r="P2729">
        <v>2.75</v>
      </c>
      <c r="Q2729">
        <v>-5.5</v>
      </c>
      <c r="R2729">
        <v>0</v>
      </c>
      <c r="S2729">
        <v>0</v>
      </c>
      <c r="T2729" t="s">
        <v>52</v>
      </c>
      <c r="W2729">
        <v>410260</v>
      </c>
      <c r="AE2729">
        <v>0</v>
      </c>
      <c r="AP2729" t="s">
        <v>198</v>
      </c>
    </row>
    <row r="2730" spans="1:42">
      <c r="E2730" s="18" t="s">
        <v>5428</v>
      </c>
      <c r="G2730" s="16"/>
    </row>
    <row r="2731" spans="1:42">
      <c r="A2731" s="1" t="s">
        <v>46</v>
      </c>
      <c r="B2731" s="1" t="s">
        <v>5429</v>
      </c>
      <c r="C2731" s="1" t="s">
        <v>5429</v>
      </c>
      <c r="E2731" s="18" t="s">
        <v>5430</v>
      </c>
      <c r="G2731" s="16"/>
      <c r="M2731">
        <v>1</v>
      </c>
      <c r="N2731">
        <v>30</v>
      </c>
      <c r="O2731">
        <v>0</v>
      </c>
      <c r="P2731">
        <v>7</v>
      </c>
      <c r="Q2731">
        <v>210</v>
      </c>
      <c r="R2731" t="s">
        <v>107</v>
      </c>
      <c r="S2731">
        <v>0</v>
      </c>
      <c r="T2731" t="s">
        <v>52</v>
      </c>
      <c r="W2731">
        <v>400033</v>
      </c>
      <c r="AE2731">
        <v>0</v>
      </c>
      <c r="AP2731" t="s">
        <v>126</v>
      </c>
    </row>
    <row r="2732" spans="1:42">
      <c r="E2732" s="18" t="s">
        <v>5431</v>
      </c>
      <c r="G2732" s="16"/>
    </row>
    <row r="2733" spans="1:42">
      <c r="E2733" s="18" t="s">
        <v>5432</v>
      </c>
      <c r="G2733" s="16"/>
    </row>
    <row r="2734" spans="1:42">
      <c r="E2734" s="18" t="s">
        <v>5433</v>
      </c>
      <c r="G2734" s="16"/>
    </row>
    <row r="2735" spans="1:42">
      <c r="E2735" s="18" t="s">
        <v>5434</v>
      </c>
      <c r="G2735" s="16"/>
    </row>
    <row r="2736" spans="1:42">
      <c r="E2736" s="18" t="s">
        <v>5435</v>
      </c>
      <c r="G2736" s="16"/>
    </row>
    <row r="2737" spans="1:42">
      <c r="A2737" s="1" t="s">
        <v>46</v>
      </c>
      <c r="B2737" s="1" t="s">
        <v>5436</v>
      </c>
      <c r="C2737" s="1" t="s">
        <v>5436</v>
      </c>
      <c r="E2737" s="18" t="s">
        <v>5437</v>
      </c>
      <c r="G2737" s="16"/>
      <c r="I2737">
        <v>81.400000000000006</v>
      </c>
      <c r="M2737">
        <v>1</v>
      </c>
      <c r="N2737">
        <v>3</v>
      </c>
      <c r="O2737">
        <v>0</v>
      </c>
      <c r="P2737">
        <v>43.35</v>
      </c>
      <c r="Q2737">
        <v>130.04</v>
      </c>
      <c r="R2737" t="s">
        <v>107</v>
      </c>
      <c r="S2737">
        <v>0</v>
      </c>
      <c r="T2737" t="s">
        <v>52</v>
      </c>
      <c r="U2737">
        <v>0</v>
      </c>
      <c r="V2737">
        <v>0</v>
      </c>
      <c r="W2737">
        <v>400013</v>
      </c>
      <c r="AE2737">
        <v>0</v>
      </c>
      <c r="AH2737">
        <v>81.400000000000006</v>
      </c>
      <c r="AP2737" t="s">
        <v>232</v>
      </c>
    </row>
    <row r="2738" spans="1:42">
      <c r="E2738" s="18" t="s">
        <v>5438</v>
      </c>
      <c r="G2738" s="16"/>
    </row>
    <row r="2739" spans="1:42">
      <c r="A2739" s="1" t="s">
        <v>46</v>
      </c>
      <c r="B2739" s="1" t="s">
        <v>5439</v>
      </c>
      <c r="C2739" s="1" t="s">
        <v>5439</v>
      </c>
      <c r="E2739" s="18" t="s">
        <v>5440</v>
      </c>
      <c r="G2739" s="16"/>
      <c r="I2739">
        <v>95.7</v>
      </c>
      <c r="M2739">
        <v>1</v>
      </c>
      <c r="N2739">
        <v>1</v>
      </c>
      <c r="O2739">
        <v>0</v>
      </c>
      <c r="P2739">
        <v>48.48</v>
      </c>
      <c r="Q2739">
        <v>48.48</v>
      </c>
      <c r="R2739" t="s">
        <v>107</v>
      </c>
      <c r="S2739">
        <v>0</v>
      </c>
      <c r="T2739" t="s">
        <v>52</v>
      </c>
      <c r="U2739">
        <v>0</v>
      </c>
      <c r="V2739">
        <v>0</v>
      </c>
      <c r="W2739">
        <v>400022</v>
      </c>
      <c r="AE2739">
        <v>0</v>
      </c>
      <c r="AH2739">
        <v>95.7</v>
      </c>
      <c r="AP2739" t="s">
        <v>3714</v>
      </c>
    </row>
    <row r="2740" spans="1:42">
      <c r="A2740" s="1" t="s">
        <v>46</v>
      </c>
      <c r="B2740" s="1" t="s">
        <v>5441</v>
      </c>
      <c r="C2740" s="1" t="s">
        <v>5441</v>
      </c>
      <c r="E2740" s="18" t="s">
        <v>5442</v>
      </c>
      <c r="G2740" s="16"/>
      <c r="M2740">
        <v>1</v>
      </c>
      <c r="N2740">
        <v>-7</v>
      </c>
      <c r="O2740">
        <v>0</v>
      </c>
      <c r="P2740">
        <v>22</v>
      </c>
      <c r="Q2740">
        <v>-154</v>
      </c>
      <c r="R2740" t="s">
        <v>4272</v>
      </c>
      <c r="S2740">
        <v>0</v>
      </c>
      <c r="T2740" t="s">
        <v>52</v>
      </c>
      <c r="W2740">
        <v>400116</v>
      </c>
      <c r="AE2740">
        <v>0</v>
      </c>
      <c r="AP2740" t="s">
        <v>513</v>
      </c>
    </row>
    <row r="2741" spans="1:42">
      <c r="A2741" s="1" t="s">
        <v>46</v>
      </c>
      <c r="B2741" s="1" t="s">
        <v>5443</v>
      </c>
      <c r="C2741" s="1" t="s">
        <v>5443</v>
      </c>
      <c r="E2741" s="18" t="s">
        <v>5444</v>
      </c>
      <c r="G2741" s="16"/>
      <c r="I2741">
        <v>45</v>
      </c>
      <c r="M2741">
        <v>1</v>
      </c>
      <c r="N2741">
        <v>24</v>
      </c>
      <c r="O2741">
        <v>0</v>
      </c>
      <c r="P2741">
        <v>18.87</v>
      </c>
      <c r="Q2741">
        <v>452.88</v>
      </c>
      <c r="R2741" t="s">
        <v>107</v>
      </c>
      <c r="S2741">
        <v>0</v>
      </c>
      <c r="T2741" t="s">
        <v>52</v>
      </c>
      <c r="U2741">
        <v>0</v>
      </c>
      <c r="V2741">
        <v>0</v>
      </c>
      <c r="W2741">
        <v>400013</v>
      </c>
      <c r="X2741" t="s">
        <v>56</v>
      </c>
      <c r="Y2741" t="s">
        <v>57</v>
      </c>
      <c r="AE2741">
        <v>0</v>
      </c>
      <c r="AH2741">
        <v>45</v>
      </c>
      <c r="AP2741" t="s">
        <v>232</v>
      </c>
    </row>
    <row r="2742" spans="1:42">
      <c r="A2742" s="1" t="s">
        <v>46</v>
      </c>
      <c r="B2742" s="1" t="s">
        <v>5445</v>
      </c>
      <c r="C2742" s="1" t="s">
        <v>5445</v>
      </c>
      <c r="E2742" s="18" t="s">
        <v>5446</v>
      </c>
      <c r="G2742" s="16"/>
      <c r="I2742">
        <v>58.3</v>
      </c>
      <c r="M2742">
        <v>1</v>
      </c>
      <c r="N2742">
        <v>3</v>
      </c>
      <c r="O2742">
        <v>0</v>
      </c>
      <c r="P2742">
        <v>18.12</v>
      </c>
      <c r="Q2742">
        <v>54.35</v>
      </c>
      <c r="R2742" t="s">
        <v>107</v>
      </c>
      <c r="S2742">
        <v>0</v>
      </c>
      <c r="T2742" t="s">
        <v>52</v>
      </c>
      <c r="U2742">
        <v>0</v>
      </c>
      <c r="V2742">
        <v>0</v>
      </c>
      <c r="W2742">
        <v>400013</v>
      </c>
      <c r="AE2742">
        <v>0</v>
      </c>
      <c r="AH2742">
        <v>58.3</v>
      </c>
      <c r="AP2742" t="s">
        <v>232</v>
      </c>
    </row>
    <row r="2743" spans="1:42">
      <c r="A2743" s="1" t="s">
        <v>46</v>
      </c>
      <c r="B2743" s="1" t="s">
        <v>5447</v>
      </c>
      <c r="C2743" s="1" t="s">
        <v>5447</v>
      </c>
      <c r="E2743" s="18" t="s">
        <v>5448</v>
      </c>
      <c r="G2743" s="16"/>
      <c r="I2743">
        <v>113.3</v>
      </c>
      <c r="M2743">
        <v>1</v>
      </c>
      <c r="N2743">
        <v>1</v>
      </c>
      <c r="O2743">
        <v>0</v>
      </c>
      <c r="P2743">
        <v>69.599999999999994</v>
      </c>
      <c r="Q2743">
        <v>69.599999999999994</v>
      </c>
      <c r="R2743" t="s">
        <v>107</v>
      </c>
      <c r="S2743">
        <v>0</v>
      </c>
      <c r="T2743" t="s">
        <v>52</v>
      </c>
      <c r="U2743">
        <v>0</v>
      </c>
      <c r="V2743">
        <v>0</v>
      </c>
      <c r="W2743">
        <v>400022</v>
      </c>
      <c r="AE2743">
        <v>0</v>
      </c>
      <c r="AH2743">
        <v>113.3</v>
      </c>
      <c r="AP2743" t="s">
        <v>3714</v>
      </c>
    </row>
    <row r="2744" spans="1:42">
      <c r="E2744" s="18" t="s">
        <v>5449</v>
      </c>
      <c r="G2744" s="16"/>
    </row>
    <row r="2745" spans="1:42">
      <c r="A2745" s="1" t="s">
        <v>46</v>
      </c>
      <c r="B2745" s="1" t="s">
        <v>5450</v>
      </c>
      <c r="C2745" s="1" t="s">
        <v>5450</v>
      </c>
      <c r="E2745" s="18" t="s">
        <v>5451</v>
      </c>
      <c r="G2745" s="16"/>
      <c r="M2745">
        <v>1</v>
      </c>
      <c r="N2745">
        <v>331</v>
      </c>
      <c r="O2745">
        <v>0</v>
      </c>
      <c r="P2745">
        <v>26</v>
      </c>
      <c r="Q2745">
        <v>8606</v>
      </c>
      <c r="R2745">
        <v>0</v>
      </c>
      <c r="S2745">
        <v>0</v>
      </c>
      <c r="T2745" t="s">
        <v>52</v>
      </c>
      <c r="U2745">
        <v>0</v>
      </c>
      <c r="V2745">
        <v>0</v>
      </c>
      <c r="W2745">
        <v>400028</v>
      </c>
      <c r="AE2745">
        <v>0</v>
      </c>
      <c r="AP2745" t="s">
        <v>246</v>
      </c>
    </row>
    <row r="2746" spans="1:42">
      <c r="A2746" s="1" t="s">
        <v>46</v>
      </c>
      <c r="B2746" s="1" t="s">
        <v>5452</v>
      </c>
      <c r="C2746" s="1" t="s">
        <v>5452</v>
      </c>
      <c r="E2746" s="18" t="s">
        <v>5453</v>
      </c>
      <c r="G2746" s="16"/>
      <c r="M2746">
        <v>1</v>
      </c>
      <c r="N2746">
        <v>-1</v>
      </c>
      <c r="O2746">
        <v>0</v>
      </c>
      <c r="AE2746">
        <v>0</v>
      </c>
    </row>
    <row r="2747" spans="1:42">
      <c r="A2747" s="1" t="s">
        <v>46</v>
      </c>
      <c r="B2747" s="1" t="s">
        <v>5454</v>
      </c>
      <c r="C2747" s="1" t="s">
        <v>5454</v>
      </c>
      <c r="E2747" s="18" t="s">
        <v>5455</v>
      </c>
      <c r="G2747" s="16"/>
      <c r="M2747">
        <v>1</v>
      </c>
      <c r="N2747">
        <v>-2381</v>
      </c>
      <c r="O2747">
        <v>0</v>
      </c>
      <c r="P2747">
        <v>7</v>
      </c>
      <c r="Q2747">
        <v>-16667</v>
      </c>
      <c r="R2747">
        <v>0</v>
      </c>
      <c r="S2747">
        <v>0</v>
      </c>
      <c r="T2747" t="s">
        <v>17</v>
      </c>
      <c r="U2747">
        <v>0</v>
      </c>
      <c r="V2747">
        <v>0</v>
      </c>
      <c r="W2747">
        <v>410120</v>
      </c>
      <c r="AE2747">
        <v>0</v>
      </c>
      <c r="AP2747" t="s">
        <v>112</v>
      </c>
    </row>
    <row r="2748" spans="1:42">
      <c r="A2748" s="1" t="s">
        <v>46</v>
      </c>
      <c r="B2748" s="1" t="s">
        <v>5456</v>
      </c>
      <c r="C2748" s="1" t="s">
        <v>5456</v>
      </c>
      <c r="E2748" s="18" t="s">
        <v>5457</v>
      </c>
      <c r="G2748" s="16"/>
      <c r="M2748">
        <v>1</v>
      </c>
      <c r="N2748">
        <v>136</v>
      </c>
      <c r="O2748">
        <v>0</v>
      </c>
      <c r="P2748">
        <v>2.4700000000000002</v>
      </c>
      <c r="Q2748">
        <v>335.58</v>
      </c>
      <c r="R2748">
        <v>0</v>
      </c>
      <c r="S2748">
        <v>0</v>
      </c>
      <c r="T2748" t="s">
        <v>17</v>
      </c>
      <c r="W2748">
        <v>400184</v>
      </c>
      <c r="AE2748">
        <v>0</v>
      </c>
      <c r="AP2748" t="s">
        <v>136</v>
      </c>
    </row>
    <row r="2749" spans="1:42">
      <c r="A2749" s="1" t="s">
        <v>46</v>
      </c>
      <c r="B2749" s="1" t="s">
        <v>5458</v>
      </c>
      <c r="C2749" s="1" t="s">
        <v>5458</v>
      </c>
      <c r="E2749" s="18" t="s">
        <v>5459</v>
      </c>
      <c r="G2749" s="16"/>
      <c r="M2749">
        <v>1</v>
      </c>
      <c r="N2749">
        <v>-388</v>
      </c>
      <c r="O2749">
        <v>0</v>
      </c>
      <c r="P2749">
        <v>16</v>
      </c>
      <c r="Q2749">
        <v>-6208</v>
      </c>
      <c r="R2749">
        <v>0</v>
      </c>
      <c r="S2749">
        <v>0</v>
      </c>
      <c r="T2749" t="s">
        <v>17</v>
      </c>
      <c r="U2749">
        <v>0</v>
      </c>
      <c r="V2749">
        <v>0</v>
      </c>
      <c r="W2749">
        <v>400196</v>
      </c>
      <c r="AE2749">
        <v>0</v>
      </c>
      <c r="AP2749" t="s">
        <v>5101</v>
      </c>
    </row>
    <row r="2750" spans="1:42">
      <c r="A2750" s="1" t="s">
        <v>46</v>
      </c>
      <c r="B2750" s="1" t="s">
        <v>5460</v>
      </c>
      <c r="C2750" s="1" t="s">
        <v>5460</v>
      </c>
      <c r="E2750" s="18" t="s">
        <v>5461</v>
      </c>
      <c r="G2750" s="16"/>
      <c r="M2750">
        <v>1</v>
      </c>
      <c r="N2750">
        <v>663</v>
      </c>
      <c r="O2750">
        <v>0</v>
      </c>
      <c r="P2750">
        <v>8.3000000000000007</v>
      </c>
      <c r="Q2750">
        <v>5502.9</v>
      </c>
      <c r="R2750">
        <v>0</v>
      </c>
      <c r="S2750">
        <v>0</v>
      </c>
      <c r="T2750" t="s">
        <v>17</v>
      </c>
      <c r="U2750">
        <v>0</v>
      </c>
      <c r="V2750">
        <v>0</v>
      </c>
      <c r="W2750">
        <v>400190</v>
      </c>
      <c r="AE2750">
        <v>0</v>
      </c>
      <c r="AP2750" t="s">
        <v>286</v>
      </c>
    </row>
    <row r="2751" spans="1:42">
      <c r="A2751" s="1" t="s">
        <v>46</v>
      </c>
      <c r="B2751" s="1" t="s">
        <v>5462</v>
      </c>
      <c r="C2751" s="1" t="s">
        <v>5462</v>
      </c>
      <c r="E2751" s="18" t="s">
        <v>5463</v>
      </c>
      <c r="G2751" s="16"/>
      <c r="M2751">
        <v>1</v>
      </c>
      <c r="N2751">
        <v>-394</v>
      </c>
      <c r="O2751">
        <v>0</v>
      </c>
      <c r="P2751">
        <v>10.25</v>
      </c>
      <c r="Q2751">
        <v>-4038.5</v>
      </c>
      <c r="R2751">
        <v>0</v>
      </c>
      <c r="S2751">
        <v>0</v>
      </c>
      <c r="T2751" t="s">
        <v>17</v>
      </c>
      <c r="U2751">
        <v>0</v>
      </c>
      <c r="V2751">
        <v>0</v>
      </c>
      <c r="W2751">
        <v>400190</v>
      </c>
      <c r="AE2751">
        <v>0</v>
      </c>
      <c r="AP2751" t="s">
        <v>286</v>
      </c>
    </row>
    <row r="2752" spans="1:42">
      <c r="A2752" s="1" t="s">
        <v>46</v>
      </c>
      <c r="B2752" s="1" t="s">
        <v>5464</v>
      </c>
      <c r="C2752" s="1" t="s">
        <v>5464</v>
      </c>
      <c r="E2752" s="18" t="s">
        <v>5465</v>
      </c>
      <c r="G2752" s="16"/>
      <c r="M2752">
        <v>1</v>
      </c>
      <c r="N2752">
        <v>-8</v>
      </c>
      <c r="O2752">
        <v>0</v>
      </c>
      <c r="P2752">
        <v>49.95</v>
      </c>
      <c r="Q2752">
        <v>-399.6</v>
      </c>
      <c r="R2752" t="s">
        <v>4475</v>
      </c>
      <c r="S2752">
        <v>0</v>
      </c>
      <c r="T2752" t="s">
        <v>17</v>
      </c>
      <c r="U2752">
        <v>0</v>
      </c>
      <c r="V2752">
        <v>0</v>
      </c>
      <c r="W2752">
        <v>400120</v>
      </c>
      <c r="AE2752">
        <v>0</v>
      </c>
      <c r="AP2752" t="s">
        <v>468</v>
      </c>
    </row>
    <row r="2753" spans="1:42">
      <c r="E2753" s="18" t="s">
        <v>5466</v>
      </c>
      <c r="G2753" s="16"/>
    </row>
    <row r="2754" spans="1:42">
      <c r="E2754" s="18" t="s">
        <v>5467</v>
      </c>
      <c r="G2754" s="16"/>
    </row>
    <row r="2755" spans="1:42">
      <c r="A2755" s="1" t="s">
        <v>46</v>
      </c>
      <c r="B2755" s="1" t="s">
        <v>5468</v>
      </c>
      <c r="C2755" s="1" t="s">
        <v>5468</v>
      </c>
      <c r="E2755" s="18" t="s">
        <v>5469</v>
      </c>
      <c r="G2755" s="16"/>
      <c r="M2755">
        <v>1</v>
      </c>
      <c r="N2755">
        <v>267</v>
      </c>
      <c r="O2755">
        <v>0</v>
      </c>
      <c r="P2755">
        <v>9.43</v>
      </c>
      <c r="Q2755">
        <v>2517.81</v>
      </c>
      <c r="R2755">
        <v>0</v>
      </c>
      <c r="S2755">
        <v>0</v>
      </c>
      <c r="T2755" t="s">
        <v>17</v>
      </c>
      <c r="U2755">
        <v>0</v>
      </c>
      <c r="V2755">
        <v>0</v>
      </c>
      <c r="W2755">
        <v>400207</v>
      </c>
      <c r="AE2755">
        <v>0</v>
      </c>
      <c r="AP2755" t="s">
        <v>483</v>
      </c>
    </row>
    <row r="2756" spans="1:42">
      <c r="A2756" s="1" t="s">
        <v>46</v>
      </c>
      <c r="B2756" s="1" t="s">
        <v>5470</v>
      </c>
      <c r="C2756" s="1" t="s">
        <v>5470</v>
      </c>
      <c r="E2756" s="18" t="s">
        <v>5471</v>
      </c>
      <c r="G2756" s="16"/>
      <c r="M2756">
        <v>1</v>
      </c>
      <c r="N2756">
        <v>1</v>
      </c>
      <c r="O2756">
        <v>0</v>
      </c>
      <c r="P2756">
        <v>10.58</v>
      </c>
      <c r="Q2756">
        <v>10.58</v>
      </c>
      <c r="R2756">
        <v>0</v>
      </c>
      <c r="S2756">
        <v>0</v>
      </c>
      <c r="T2756" t="s">
        <v>17</v>
      </c>
      <c r="U2756">
        <v>0</v>
      </c>
      <c r="V2756">
        <v>0</v>
      </c>
      <c r="W2756">
        <v>400013</v>
      </c>
      <c r="AE2756">
        <v>0</v>
      </c>
      <c r="AP2756" t="s">
        <v>232</v>
      </c>
    </row>
    <row r="2757" spans="1:42">
      <c r="E2757" s="18" t="s">
        <v>5472</v>
      </c>
      <c r="G2757" s="16"/>
    </row>
    <row r="2758" spans="1:42">
      <c r="A2758" s="1" t="s">
        <v>46</v>
      </c>
      <c r="B2758" s="1" t="s">
        <v>5473</v>
      </c>
      <c r="C2758" s="1" t="s">
        <v>5473</v>
      </c>
      <c r="E2758" s="18" t="s">
        <v>5474</v>
      </c>
      <c r="G2758" s="16"/>
      <c r="H2758">
        <v>17</v>
      </c>
      <c r="I2758">
        <v>20</v>
      </c>
      <c r="M2758">
        <v>1</v>
      </c>
      <c r="N2758">
        <v>131</v>
      </c>
      <c r="O2758">
        <v>0</v>
      </c>
      <c r="P2758">
        <v>15</v>
      </c>
      <c r="Q2758">
        <v>1965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410120</v>
      </c>
      <c r="X2758" t="s">
        <v>56</v>
      </c>
      <c r="Y2758" t="s">
        <v>57</v>
      </c>
      <c r="AE2758">
        <v>0</v>
      </c>
      <c r="AG2758">
        <v>17</v>
      </c>
      <c r="AH2758">
        <v>20</v>
      </c>
      <c r="AP2758" t="s">
        <v>112</v>
      </c>
    </row>
    <row r="2759" spans="1:42">
      <c r="A2759" s="1" t="s">
        <v>46</v>
      </c>
      <c r="B2759" s="1" t="s">
        <v>5475</v>
      </c>
      <c r="C2759" s="1" t="s">
        <v>5475</v>
      </c>
      <c r="E2759" s="18" t="s">
        <v>5476</v>
      </c>
      <c r="G2759" s="16"/>
      <c r="M2759">
        <v>1</v>
      </c>
      <c r="N2759">
        <v>2</v>
      </c>
      <c r="O2759">
        <v>0</v>
      </c>
      <c r="P2759">
        <v>36</v>
      </c>
      <c r="Q2759">
        <v>72</v>
      </c>
      <c r="R2759">
        <v>0</v>
      </c>
      <c r="S2759">
        <v>0</v>
      </c>
      <c r="T2759">
        <v>0</v>
      </c>
      <c r="W2759">
        <v>400210</v>
      </c>
      <c r="AE2759">
        <v>0</v>
      </c>
      <c r="AP2759" t="s">
        <v>5477</v>
      </c>
    </row>
    <row r="2760" spans="1:42">
      <c r="E2760" s="18" t="s">
        <v>5478</v>
      </c>
      <c r="G2760" s="16"/>
    </row>
    <row r="2761" spans="1:42">
      <c r="A2761" s="1" t="s">
        <v>46</v>
      </c>
      <c r="B2761" s="1" t="s">
        <v>5479</v>
      </c>
      <c r="C2761" s="1" t="s">
        <v>5479</v>
      </c>
      <c r="E2761" s="18" t="s">
        <v>5480</v>
      </c>
      <c r="G2761" s="16"/>
      <c r="M2761">
        <v>1</v>
      </c>
      <c r="N2761">
        <v>1325</v>
      </c>
      <c r="O2761">
        <v>0</v>
      </c>
      <c r="P2761">
        <v>0.02</v>
      </c>
      <c r="Q2761">
        <v>33.119999999999997</v>
      </c>
      <c r="R2761">
        <v>0</v>
      </c>
      <c r="S2761">
        <v>0</v>
      </c>
      <c r="T2761" t="s">
        <v>52</v>
      </c>
      <c r="U2761">
        <v>0</v>
      </c>
      <c r="V2761">
        <v>0</v>
      </c>
      <c r="W2761">
        <v>400017</v>
      </c>
      <c r="AE2761">
        <v>0</v>
      </c>
      <c r="AP2761" t="s">
        <v>49</v>
      </c>
    </row>
    <row r="2762" spans="1:42">
      <c r="A2762" s="1" t="s">
        <v>46</v>
      </c>
      <c r="B2762" s="1" t="s">
        <v>5481</v>
      </c>
      <c r="C2762" s="1" t="s">
        <v>5481</v>
      </c>
      <c r="E2762" s="18" t="s">
        <v>5482</v>
      </c>
      <c r="G2762" s="16"/>
      <c r="M2762">
        <v>1</v>
      </c>
      <c r="N2762">
        <v>-18</v>
      </c>
      <c r="O2762">
        <v>0</v>
      </c>
      <c r="P2762">
        <v>0.04</v>
      </c>
      <c r="Q2762">
        <v>-0.63</v>
      </c>
      <c r="R2762">
        <v>0</v>
      </c>
      <c r="S2762">
        <v>0</v>
      </c>
      <c r="T2762" t="s">
        <v>52</v>
      </c>
      <c r="W2762">
        <v>400017</v>
      </c>
      <c r="AE2762">
        <v>0</v>
      </c>
      <c r="AP2762" t="s">
        <v>49</v>
      </c>
    </row>
    <row r="2763" spans="1:42">
      <c r="A2763" s="1" t="s">
        <v>46</v>
      </c>
      <c r="B2763" s="1" t="s">
        <v>5483</v>
      </c>
      <c r="C2763" s="1" t="s">
        <v>5483</v>
      </c>
      <c r="E2763" s="18" t="s">
        <v>5484</v>
      </c>
      <c r="G2763" s="16"/>
      <c r="M2763">
        <v>1</v>
      </c>
      <c r="N2763">
        <v>-47</v>
      </c>
      <c r="O2763">
        <v>0</v>
      </c>
      <c r="P2763" s="2">
        <v>4.4999999999999997E-3</v>
      </c>
      <c r="Q2763">
        <v>-0.21</v>
      </c>
      <c r="R2763">
        <v>0</v>
      </c>
      <c r="S2763">
        <v>0</v>
      </c>
      <c r="T2763" t="s">
        <v>52</v>
      </c>
      <c r="W2763">
        <v>400017</v>
      </c>
      <c r="AE2763">
        <v>0</v>
      </c>
      <c r="AP2763" t="s">
        <v>49</v>
      </c>
    </row>
    <row r="2764" spans="1:42">
      <c r="A2764" s="1" t="s">
        <v>46</v>
      </c>
      <c r="B2764" s="1" t="s">
        <v>5485</v>
      </c>
      <c r="C2764" s="1" t="s">
        <v>5485</v>
      </c>
      <c r="E2764" s="18" t="s">
        <v>5486</v>
      </c>
      <c r="G2764" s="16"/>
      <c r="M2764">
        <v>1</v>
      </c>
      <c r="N2764">
        <v>8875</v>
      </c>
      <c r="O2764">
        <v>0</v>
      </c>
      <c r="P2764">
        <v>0.01</v>
      </c>
      <c r="Q2764">
        <v>79.88</v>
      </c>
      <c r="R2764">
        <v>0</v>
      </c>
      <c r="S2764">
        <v>0</v>
      </c>
      <c r="T2764" t="s">
        <v>52</v>
      </c>
      <c r="U2764">
        <v>0</v>
      </c>
      <c r="V2764">
        <v>0</v>
      </c>
      <c r="W2764">
        <v>400017</v>
      </c>
      <c r="X2764" t="s">
        <v>56</v>
      </c>
      <c r="Y2764" t="s">
        <v>57</v>
      </c>
      <c r="AE2764">
        <v>0</v>
      </c>
      <c r="AP2764" t="s">
        <v>49</v>
      </c>
    </row>
    <row r="2765" spans="1:42">
      <c r="A2765" s="1" t="s">
        <v>46</v>
      </c>
      <c r="B2765" s="1" t="s">
        <v>5487</v>
      </c>
      <c r="C2765" s="1" t="s">
        <v>5487</v>
      </c>
      <c r="E2765" s="18" t="s">
        <v>5488</v>
      </c>
      <c r="G2765" s="16"/>
      <c r="M2765">
        <v>1</v>
      </c>
      <c r="N2765">
        <v>-5</v>
      </c>
      <c r="O2765">
        <v>0</v>
      </c>
      <c r="P2765">
        <v>1</v>
      </c>
      <c r="Q2765">
        <v>-5</v>
      </c>
      <c r="R2765">
        <v>0</v>
      </c>
      <c r="S2765">
        <v>0</v>
      </c>
      <c r="T2765" t="s">
        <v>52</v>
      </c>
      <c r="W2765">
        <v>400017</v>
      </c>
      <c r="AE2765">
        <v>0</v>
      </c>
      <c r="AP2765" t="s">
        <v>49</v>
      </c>
    </row>
    <row r="2766" spans="1:42">
      <c r="A2766" s="1" t="s">
        <v>46</v>
      </c>
      <c r="B2766" s="1" t="s">
        <v>5489</v>
      </c>
      <c r="C2766" s="1" t="s">
        <v>5489</v>
      </c>
      <c r="E2766" s="18" t="s">
        <v>5490</v>
      </c>
      <c r="G2766" s="16"/>
      <c r="M2766">
        <v>1</v>
      </c>
      <c r="N2766">
        <v>-2</v>
      </c>
      <c r="O2766">
        <v>0</v>
      </c>
      <c r="P2766">
        <v>0.15</v>
      </c>
      <c r="Q2766">
        <v>-0.3</v>
      </c>
      <c r="R2766">
        <v>0</v>
      </c>
      <c r="S2766">
        <v>0</v>
      </c>
      <c r="T2766" t="s">
        <v>52</v>
      </c>
      <c r="W2766">
        <v>400036</v>
      </c>
      <c r="AE2766">
        <v>0</v>
      </c>
      <c r="AP2766" t="s">
        <v>315</v>
      </c>
    </row>
    <row r="2767" spans="1:42">
      <c r="A2767" s="1" t="s">
        <v>46</v>
      </c>
      <c r="B2767" s="1" t="s">
        <v>5491</v>
      </c>
      <c r="C2767" s="1" t="s">
        <v>5491</v>
      </c>
      <c r="E2767" s="18" t="s">
        <v>5492</v>
      </c>
      <c r="G2767" s="16"/>
      <c r="M2767">
        <v>1</v>
      </c>
      <c r="N2767">
        <v>-26</v>
      </c>
      <c r="O2767">
        <v>0</v>
      </c>
      <c r="P2767">
        <v>1.8</v>
      </c>
      <c r="Q2767">
        <v>-46.8</v>
      </c>
      <c r="R2767">
        <v>0</v>
      </c>
      <c r="S2767">
        <v>0</v>
      </c>
      <c r="T2767" t="s">
        <v>52</v>
      </c>
      <c r="W2767">
        <v>400086</v>
      </c>
      <c r="AE2767">
        <v>0</v>
      </c>
      <c r="AP2767" t="s">
        <v>1491</v>
      </c>
    </row>
    <row r="2768" spans="1:42">
      <c r="A2768" s="1" t="s">
        <v>46</v>
      </c>
      <c r="B2768" s="1" t="s">
        <v>5493</v>
      </c>
      <c r="C2768" s="1" t="s">
        <v>5493</v>
      </c>
      <c r="E2768" s="18" t="s">
        <v>5494</v>
      </c>
      <c r="G2768" s="16"/>
      <c r="M2768">
        <v>1</v>
      </c>
      <c r="N2768">
        <v>-1</v>
      </c>
      <c r="O2768">
        <v>0</v>
      </c>
      <c r="AE2768">
        <v>0</v>
      </c>
    </row>
    <row r="2769" spans="1:42">
      <c r="A2769" s="1" t="s">
        <v>46</v>
      </c>
      <c r="B2769" s="1" t="s">
        <v>5495</v>
      </c>
      <c r="C2769" s="1" t="s">
        <v>5495</v>
      </c>
      <c r="E2769" s="18" t="s">
        <v>5496</v>
      </c>
      <c r="G2769" s="16"/>
      <c r="M2769">
        <v>1</v>
      </c>
      <c r="N2769">
        <v>10</v>
      </c>
      <c r="O2769">
        <v>0</v>
      </c>
      <c r="P2769">
        <v>0.9</v>
      </c>
      <c r="Q2769">
        <v>9</v>
      </c>
      <c r="R2769">
        <v>0</v>
      </c>
      <c r="S2769">
        <v>0</v>
      </c>
      <c r="T2769" t="s">
        <v>52</v>
      </c>
      <c r="W2769">
        <v>400042</v>
      </c>
      <c r="AE2769">
        <v>0</v>
      </c>
      <c r="AP2769" t="s">
        <v>154</v>
      </c>
    </row>
    <row r="2770" spans="1:42">
      <c r="A2770" s="1" t="s">
        <v>46</v>
      </c>
      <c r="B2770" s="1" t="s">
        <v>5497</v>
      </c>
      <c r="C2770" s="1" t="s">
        <v>5497</v>
      </c>
      <c r="E2770" s="18" t="s">
        <v>5498</v>
      </c>
      <c r="G2770" s="16"/>
      <c r="M2770">
        <v>1</v>
      </c>
      <c r="N2770">
        <v>-16</v>
      </c>
      <c r="O2770">
        <v>0</v>
      </c>
      <c r="P2770">
        <v>5.04</v>
      </c>
      <c r="Q2770">
        <v>-80.56</v>
      </c>
      <c r="W2770">
        <v>400017</v>
      </c>
      <c r="AE2770">
        <v>0</v>
      </c>
      <c r="AP2770" t="s">
        <v>49</v>
      </c>
    </row>
    <row r="2771" spans="1:42">
      <c r="A2771" s="1" t="s">
        <v>46</v>
      </c>
      <c r="B2771" s="1" t="s">
        <v>5499</v>
      </c>
      <c r="C2771" s="1" t="s">
        <v>5499</v>
      </c>
      <c r="E2771" s="18" t="s">
        <v>5500</v>
      </c>
      <c r="G2771" s="16"/>
      <c r="M2771">
        <v>1</v>
      </c>
      <c r="N2771">
        <v>-16</v>
      </c>
      <c r="O2771">
        <v>0</v>
      </c>
      <c r="P2771">
        <v>5.54</v>
      </c>
      <c r="Q2771">
        <v>-88.72</v>
      </c>
      <c r="W2771">
        <v>400026</v>
      </c>
      <c r="AE2771">
        <v>0</v>
      </c>
      <c r="AP2771" t="s">
        <v>187</v>
      </c>
    </row>
    <row r="2772" spans="1:42">
      <c r="A2772" s="1" t="s">
        <v>46</v>
      </c>
      <c r="B2772" s="1" t="s">
        <v>5501</v>
      </c>
      <c r="C2772" s="1" t="s">
        <v>5501</v>
      </c>
      <c r="E2772" s="18" t="s">
        <v>5502</v>
      </c>
      <c r="G2772" s="16"/>
      <c r="M2772">
        <v>1</v>
      </c>
      <c r="N2772">
        <v>18</v>
      </c>
      <c r="O2772">
        <v>0</v>
      </c>
      <c r="P2772">
        <v>0.65</v>
      </c>
      <c r="Q2772">
        <v>11.7</v>
      </c>
      <c r="W2772">
        <v>400017</v>
      </c>
      <c r="AE2772">
        <v>0</v>
      </c>
      <c r="AP2772" t="s">
        <v>49</v>
      </c>
    </row>
    <row r="2773" spans="1:42">
      <c r="A2773" s="1" t="s">
        <v>46</v>
      </c>
      <c r="B2773" s="1" t="s">
        <v>5503</v>
      </c>
      <c r="C2773" s="1" t="s">
        <v>5503</v>
      </c>
      <c r="E2773" s="18" t="s">
        <v>5504</v>
      </c>
      <c r="G2773" s="16"/>
      <c r="M2773">
        <v>1</v>
      </c>
      <c r="N2773">
        <v>614</v>
      </c>
      <c r="O2773">
        <v>0</v>
      </c>
      <c r="P2773">
        <v>2</v>
      </c>
      <c r="Q2773">
        <v>1228</v>
      </c>
      <c r="R2773">
        <v>0</v>
      </c>
      <c r="S2773">
        <v>0</v>
      </c>
      <c r="T2773" t="s">
        <v>52</v>
      </c>
      <c r="U2773">
        <v>0</v>
      </c>
      <c r="V2773">
        <v>0</v>
      </c>
      <c r="W2773">
        <v>400017</v>
      </c>
      <c r="X2773" t="s">
        <v>56</v>
      </c>
      <c r="Y2773" t="s">
        <v>57</v>
      </c>
      <c r="AE2773">
        <v>0</v>
      </c>
      <c r="AP2773" t="s">
        <v>49</v>
      </c>
    </row>
    <row r="2774" spans="1:42">
      <c r="A2774" s="1" t="s">
        <v>46</v>
      </c>
      <c r="B2774" s="1" t="s">
        <v>5505</v>
      </c>
      <c r="C2774" s="1" t="s">
        <v>5505</v>
      </c>
      <c r="E2774" s="18" t="s">
        <v>5506</v>
      </c>
      <c r="G2774" s="16"/>
      <c r="M2774">
        <v>1</v>
      </c>
      <c r="N2774">
        <v>99</v>
      </c>
      <c r="O2774">
        <v>0</v>
      </c>
      <c r="P2774">
        <v>2.66</v>
      </c>
      <c r="Q2774">
        <v>263.33999999999997</v>
      </c>
      <c r="R2774">
        <v>0</v>
      </c>
      <c r="S2774">
        <v>0</v>
      </c>
      <c r="T2774">
        <v>0</v>
      </c>
      <c r="W2774">
        <v>400193</v>
      </c>
      <c r="AE2774">
        <v>0</v>
      </c>
      <c r="AP2774" t="s">
        <v>2741</v>
      </c>
    </row>
    <row r="2775" spans="1:42">
      <c r="A2775" s="1" t="s">
        <v>46</v>
      </c>
      <c r="B2775" s="1" t="s">
        <v>5507</v>
      </c>
      <c r="C2775" s="1" t="s">
        <v>5507</v>
      </c>
      <c r="E2775" s="18" t="s">
        <v>5508</v>
      </c>
      <c r="G2775" s="16"/>
      <c r="M2775">
        <v>1</v>
      </c>
      <c r="N2775">
        <v>-109</v>
      </c>
      <c r="O2775">
        <v>0</v>
      </c>
      <c r="AE2775">
        <v>0</v>
      </c>
    </row>
    <row r="2776" spans="1:42">
      <c r="A2776" s="1" t="s">
        <v>46</v>
      </c>
      <c r="B2776" s="1" t="s">
        <v>5509</v>
      </c>
      <c r="C2776" s="1" t="s">
        <v>5509</v>
      </c>
      <c r="E2776" s="18" t="s">
        <v>5510</v>
      </c>
      <c r="G2776" s="16"/>
      <c r="M2776">
        <v>1</v>
      </c>
      <c r="N2776">
        <v>1</v>
      </c>
      <c r="O2776">
        <v>0</v>
      </c>
      <c r="P2776">
        <v>33</v>
      </c>
      <c r="Q2776">
        <v>33</v>
      </c>
      <c r="T2776" t="s">
        <v>52</v>
      </c>
      <c r="W2776">
        <v>400017</v>
      </c>
      <c r="AE2776">
        <v>0</v>
      </c>
      <c r="AP2776" t="s">
        <v>49</v>
      </c>
    </row>
    <row r="2777" spans="1:42">
      <c r="A2777" s="1" t="s">
        <v>46</v>
      </c>
      <c r="B2777" s="1" t="s">
        <v>5511</v>
      </c>
      <c r="C2777" s="1" t="s">
        <v>5511</v>
      </c>
      <c r="E2777" s="18" t="s">
        <v>5512</v>
      </c>
      <c r="G2777" s="16"/>
      <c r="M2777">
        <v>1</v>
      </c>
      <c r="N2777">
        <v>860</v>
      </c>
      <c r="O2777">
        <v>0</v>
      </c>
      <c r="P2777">
        <v>0.08</v>
      </c>
      <c r="Q2777">
        <v>68.8</v>
      </c>
      <c r="R2777">
        <v>0</v>
      </c>
      <c r="S2777">
        <v>0</v>
      </c>
      <c r="T2777" t="s">
        <v>52</v>
      </c>
      <c r="W2777">
        <v>400203</v>
      </c>
      <c r="AE2777">
        <v>0</v>
      </c>
      <c r="AP2777" t="s">
        <v>837</v>
      </c>
    </row>
    <row r="2778" spans="1:42">
      <c r="A2778" s="1" t="s">
        <v>46</v>
      </c>
      <c r="B2778" s="1" t="s">
        <v>5513</v>
      </c>
      <c r="C2778" s="1" t="s">
        <v>5513</v>
      </c>
      <c r="E2778" s="18" t="s">
        <v>5514</v>
      </c>
      <c r="G2778" s="16"/>
      <c r="M2778">
        <v>1</v>
      </c>
      <c r="N2778">
        <v>12</v>
      </c>
      <c r="O2778">
        <v>0</v>
      </c>
      <c r="P2778">
        <v>5.75</v>
      </c>
      <c r="Q2778">
        <v>69</v>
      </c>
      <c r="R2778">
        <v>0</v>
      </c>
      <c r="S2778">
        <v>0</v>
      </c>
      <c r="T2778">
        <v>0</v>
      </c>
      <c r="W2778">
        <v>400111</v>
      </c>
      <c r="AE2778">
        <v>0</v>
      </c>
      <c r="AP2778" t="s">
        <v>646</v>
      </c>
    </row>
    <row r="2779" spans="1:42">
      <c r="A2779" s="1" t="s">
        <v>46</v>
      </c>
      <c r="B2779" s="1" t="s">
        <v>5515</v>
      </c>
      <c r="C2779" s="1" t="s">
        <v>5515</v>
      </c>
      <c r="E2779" s="18" t="s">
        <v>5516</v>
      </c>
      <c r="G2779" s="16"/>
      <c r="M2779">
        <v>1</v>
      </c>
      <c r="N2779">
        <v>600</v>
      </c>
      <c r="O2779">
        <v>0</v>
      </c>
      <c r="P2779">
        <v>0.12</v>
      </c>
      <c r="Q2779">
        <v>75</v>
      </c>
      <c r="R2779">
        <v>0</v>
      </c>
      <c r="S2779">
        <v>0</v>
      </c>
      <c r="T2779" t="s">
        <v>52</v>
      </c>
      <c r="U2779" t="s">
        <v>52</v>
      </c>
      <c r="V2779">
        <v>0</v>
      </c>
      <c r="W2779">
        <v>400203</v>
      </c>
      <c r="X2779" t="s">
        <v>56</v>
      </c>
      <c r="Y2779" t="s">
        <v>57</v>
      </c>
      <c r="AE2779">
        <v>0</v>
      </c>
      <c r="AP2779" t="s">
        <v>837</v>
      </c>
    </row>
    <row r="2780" spans="1:42">
      <c r="A2780" s="1" t="s">
        <v>46</v>
      </c>
      <c r="B2780" s="1" t="s">
        <v>5517</v>
      </c>
      <c r="C2780" s="1" t="s">
        <v>5517</v>
      </c>
      <c r="E2780" s="18" t="s">
        <v>5518</v>
      </c>
      <c r="G2780" s="16"/>
      <c r="M2780">
        <v>1</v>
      </c>
      <c r="N2780">
        <v>-9</v>
      </c>
      <c r="O2780">
        <v>0</v>
      </c>
      <c r="AE2780">
        <v>0</v>
      </c>
    </row>
    <row r="2781" spans="1:42">
      <c r="A2781" s="1" t="s">
        <v>46</v>
      </c>
      <c r="B2781" s="1" t="s">
        <v>5519</v>
      </c>
      <c r="C2781" s="1" t="s">
        <v>5519</v>
      </c>
      <c r="E2781" s="18" t="s">
        <v>5520</v>
      </c>
      <c r="G2781" s="16"/>
      <c r="M2781">
        <v>1</v>
      </c>
      <c r="N2781">
        <v>1</v>
      </c>
      <c r="O2781">
        <v>0</v>
      </c>
      <c r="P2781">
        <v>47.69</v>
      </c>
      <c r="Q2781">
        <v>47.69</v>
      </c>
      <c r="W2781">
        <v>400120</v>
      </c>
      <c r="AE2781">
        <v>0</v>
      </c>
      <c r="AP2781" t="s">
        <v>468</v>
      </c>
    </row>
    <row r="2782" spans="1:42">
      <c r="A2782" s="1" t="s">
        <v>46</v>
      </c>
      <c r="B2782" s="1" t="s">
        <v>5521</v>
      </c>
      <c r="C2782" s="1" t="s">
        <v>5521</v>
      </c>
      <c r="E2782" s="18" t="s">
        <v>5522</v>
      </c>
      <c r="G2782" s="16"/>
      <c r="M2782">
        <v>1</v>
      </c>
      <c r="N2782">
        <v>1769</v>
      </c>
      <c r="O2782">
        <v>0</v>
      </c>
      <c r="P2782">
        <v>1.75</v>
      </c>
      <c r="Q2782">
        <v>3095.75</v>
      </c>
      <c r="R2782">
        <v>0</v>
      </c>
      <c r="S2782">
        <v>0</v>
      </c>
      <c r="T2782" t="s">
        <v>52</v>
      </c>
      <c r="U2782">
        <v>0</v>
      </c>
      <c r="V2782">
        <v>0</v>
      </c>
      <c r="W2782">
        <v>410120</v>
      </c>
      <c r="AE2782">
        <v>0</v>
      </c>
      <c r="AP2782" t="s">
        <v>112</v>
      </c>
    </row>
    <row r="2783" spans="1:42">
      <c r="E2783" s="18" t="s">
        <v>5523</v>
      </c>
      <c r="G2783" s="16"/>
    </row>
    <row r="2784" spans="1:42">
      <c r="A2784" s="1" t="s">
        <v>46</v>
      </c>
      <c r="B2784" s="1" t="s">
        <v>5524</v>
      </c>
      <c r="C2784" s="1" t="s">
        <v>5524</v>
      </c>
      <c r="E2784" s="18" t="s">
        <v>5525</v>
      </c>
      <c r="G2784" s="16"/>
      <c r="M2784">
        <v>1</v>
      </c>
      <c r="N2784">
        <v>650</v>
      </c>
      <c r="O2784">
        <v>0</v>
      </c>
      <c r="P2784">
        <v>4.5</v>
      </c>
      <c r="Q2784">
        <v>2925</v>
      </c>
      <c r="R2784">
        <v>0</v>
      </c>
      <c r="S2784">
        <v>0</v>
      </c>
      <c r="T2784" t="s">
        <v>52</v>
      </c>
      <c r="U2784">
        <v>0</v>
      </c>
      <c r="V2784">
        <v>0</v>
      </c>
      <c r="W2784">
        <v>400080</v>
      </c>
      <c r="AE2784">
        <v>0</v>
      </c>
      <c r="AP2784" t="s">
        <v>696</v>
      </c>
    </row>
    <row r="2785" spans="1:42">
      <c r="E2785" s="18" t="s">
        <v>5526</v>
      </c>
      <c r="G2785" s="16"/>
    </row>
    <row r="2786" spans="1:42">
      <c r="A2786" s="1" t="s">
        <v>46</v>
      </c>
      <c r="B2786" s="1" t="s">
        <v>5527</v>
      </c>
      <c r="C2786" s="1" t="s">
        <v>5527</v>
      </c>
      <c r="E2786" s="18" t="s">
        <v>5528</v>
      </c>
      <c r="G2786" s="16"/>
      <c r="M2786">
        <v>1</v>
      </c>
      <c r="N2786">
        <v>21</v>
      </c>
      <c r="O2786">
        <v>0</v>
      </c>
      <c r="P2786">
        <v>0.75</v>
      </c>
      <c r="Q2786">
        <v>15.75</v>
      </c>
      <c r="R2786">
        <v>0</v>
      </c>
      <c r="S2786">
        <v>0</v>
      </c>
      <c r="T2786" t="s">
        <v>52</v>
      </c>
      <c r="W2786">
        <v>400017</v>
      </c>
      <c r="AE2786">
        <v>0</v>
      </c>
      <c r="AP2786" t="s">
        <v>49</v>
      </c>
    </row>
    <row r="2787" spans="1:42">
      <c r="A2787" s="1" t="s">
        <v>46</v>
      </c>
      <c r="B2787" s="1" t="s">
        <v>5529</v>
      </c>
      <c r="C2787" s="1" t="s">
        <v>5529</v>
      </c>
      <c r="E2787" s="18" t="s">
        <v>5530</v>
      </c>
      <c r="G2787" s="16"/>
      <c r="M2787">
        <v>1</v>
      </c>
      <c r="N2787">
        <v>19</v>
      </c>
      <c r="O2787">
        <v>0</v>
      </c>
      <c r="P2787">
        <v>8.3000000000000007</v>
      </c>
      <c r="Q2787">
        <v>157.69999999999999</v>
      </c>
      <c r="R2787">
        <v>0</v>
      </c>
      <c r="S2787">
        <v>0</v>
      </c>
      <c r="T2787" t="s">
        <v>52</v>
      </c>
      <c r="U2787">
        <v>0</v>
      </c>
      <c r="V2787">
        <v>0</v>
      </c>
      <c r="W2787">
        <v>400029</v>
      </c>
      <c r="AE2787">
        <v>0</v>
      </c>
      <c r="AP2787" t="s">
        <v>206</v>
      </c>
    </row>
    <row r="2788" spans="1:42">
      <c r="A2788" s="1" t="s">
        <v>46</v>
      </c>
      <c r="B2788" s="1" t="s">
        <v>5531</v>
      </c>
      <c r="C2788" s="1" t="s">
        <v>5531</v>
      </c>
      <c r="E2788" s="18" t="s">
        <v>5532</v>
      </c>
      <c r="G2788" s="16"/>
      <c r="M2788">
        <v>1</v>
      </c>
      <c r="N2788">
        <v>-3</v>
      </c>
      <c r="O2788">
        <v>0</v>
      </c>
      <c r="P2788">
        <v>36.630000000000003</v>
      </c>
      <c r="Q2788">
        <v>-109.89</v>
      </c>
      <c r="R2788">
        <v>0</v>
      </c>
      <c r="S2788">
        <v>0</v>
      </c>
      <c r="T2788" t="s">
        <v>52</v>
      </c>
      <c r="W2788">
        <v>400046</v>
      </c>
      <c r="AE2788">
        <v>0</v>
      </c>
      <c r="AP2788" t="s">
        <v>407</v>
      </c>
    </row>
    <row r="2789" spans="1:42">
      <c r="A2789" s="1" t="s">
        <v>46</v>
      </c>
      <c r="B2789" s="1" t="s">
        <v>5533</v>
      </c>
      <c r="C2789" s="1" t="s">
        <v>5533</v>
      </c>
      <c r="E2789" s="18" t="s">
        <v>5534</v>
      </c>
      <c r="G2789" s="16"/>
      <c r="M2789">
        <v>1</v>
      </c>
      <c r="N2789">
        <v>2</v>
      </c>
      <c r="O2789">
        <v>0</v>
      </c>
      <c r="P2789">
        <v>23</v>
      </c>
      <c r="Q2789">
        <v>46</v>
      </c>
      <c r="W2789">
        <v>400017</v>
      </c>
      <c r="AE2789">
        <v>0</v>
      </c>
      <c r="AP2789" t="s">
        <v>49</v>
      </c>
    </row>
    <row r="2790" spans="1:42">
      <c r="A2790" s="1" t="s">
        <v>46</v>
      </c>
      <c r="B2790" s="1" t="s">
        <v>5535</v>
      </c>
      <c r="C2790" s="1" t="s">
        <v>5535</v>
      </c>
      <c r="E2790" s="18" t="s">
        <v>5536</v>
      </c>
      <c r="G2790" s="16"/>
      <c r="M2790">
        <v>1</v>
      </c>
      <c r="N2790">
        <v>8</v>
      </c>
      <c r="O2790">
        <v>0</v>
      </c>
      <c r="P2790">
        <v>12.5</v>
      </c>
      <c r="Q2790">
        <v>100</v>
      </c>
      <c r="W2790">
        <v>400017</v>
      </c>
      <c r="AE2790">
        <v>0</v>
      </c>
      <c r="AP2790" t="s">
        <v>49</v>
      </c>
    </row>
    <row r="2791" spans="1:42">
      <c r="A2791" s="1" t="s">
        <v>46</v>
      </c>
      <c r="B2791" s="1" t="s">
        <v>5537</v>
      </c>
      <c r="C2791" s="1" t="s">
        <v>5537</v>
      </c>
      <c r="E2791" s="18" t="s">
        <v>5538</v>
      </c>
      <c r="G2791" s="16"/>
      <c r="M2791">
        <v>1</v>
      </c>
      <c r="N2791">
        <v>10</v>
      </c>
      <c r="O2791">
        <v>0</v>
      </c>
      <c r="P2791">
        <v>13.5</v>
      </c>
      <c r="Q2791">
        <v>135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400017</v>
      </c>
      <c r="X2791" t="s">
        <v>56</v>
      </c>
      <c r="Y2791" t="s">
        <v>57</v>
      </c>
      <c r="AE2791">
        <v>0</v>
      </c>
      <c r="AP2791" t="s">
        <v>49</v>
      </c>
    </row>
    <row r="2792" spans="1:42">
      <c r="A2792" s="1" t="s">
        <v>46</v>
      </c>
      <c r="B2792" s="1" t="s">
        <v>5539</v>
      </c>
      <c r="C2792" s="1" t="s">
        <v>5539</v>
      </c>
      <c r="E2792" s="18" t="s">
        <v>5540</v>
      </c>
      <c r="G2792" s="16"/>
      <c r="M2792">
        <v>1</v>
      </c>
      <c r="N2792">
        <v>214</v>
      </c>
      <c r="O2792">
        <v>0</v>
      </c>
      <c r="P2792">
        <v>4</v>
      </c>
      <c r="Q2792">
        <v>856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400158</v>
      </c>
      <c r="X2792" t="s">
        <v>56</v>
      </c>
      <c r="Y2792" t="s">
        <v>57</v>
      </c>
      <c r="AE2792">
        <v>0</v>
      </c>
      <c r="AP2792" t="s">
        <v>61</v>
      </c>
    </row>
    <row r="2793" spans="1:42">
      <c r="A2793" s="1" t="s">
        <v>46</v>
      </c>
      <c r="B2793" s="1" t="s">
        <v>5541</v>
      </c>
      <c r="C2793" s="1" t="s">
        <v>5541</v>
      </c>
      <c r="E2793" s="18" t="s">
        <v>5542</v>
      </c>
      <c r="G2793" s="16"/>
      <c r="M2793">
        <v>1</v>
      </c>
      <c r="N2793">
        <v>-6</v>
      </c>
      <c r="O2793">
        <v>0</v>
      </c>
      <c r="P2793">
        <v>0.45</v>
      </c>
      <c r="Q2793">
        <v>-2.7</v>
      </c>
      <c r="R2793">
        <v>0</v>
      </c>
      <c r="S2793">
        <v>0</v>
      </c>
      <c r="T2793" t="s">
        <v>52</v>
      </c>
      <c r="AE2793">
        <v>0</v>
      </c>
    </row>
    <row r="2794" spans="1:42">
      <c r="E2794" s="18" t="s">
        <v>5543</v>
      </c>
      <c r="G2794" s="16"/>
    </row>
    <row r="2795" spans="1:42">
      <c r="A2795" s="1" t="s">
        <v>46</v>
      </c>
      <c r="B2795" s="1" t="s">
        <v>5544</v>
      </c>
      <c r="C2795" s="1" t="s">
        <v>5544</v>
      </c>
      <c r="E2795" s="18" t="s">
        <v>5545</v>
      </c>
      <c r="G2795" s="16"/>
      <c r="M2795">
        <v>1</v>
      </c>
      <c r="N2795">
        <v>450</v>
      </c>
      <c r="O2795">
        <v>0</v>
      </c>
      <c r="P2795">
        <v>1.25</v>
      </c>
      <c r="Q2795">
        <v>562.5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400017</v>
      </c>
      <c r="X2795" t="s">
        <v>56</v>
      </c>
      <c r="Y2795" t="s">
        <v>57</v>
      </c>
      <c r="AE2795">
        <v>0</v>
      </c>
      <c r="AP2795" t="s">
        <v>49</v>
      </c>
    </row>
    <row r="2796" spans="1:42">
      <c r="A2796" s="1" t="s">
        <v>46</v>
      </c>
      <c r="B2796" s="1" t="s">
        <v>5546</v>
      </c>
      <c r="C2796" s="1" t="s">
        <v>5546</v>
      </c>
      <c r="E2796" s="18" t="s">
        <v>5547</v>
      </c>
      <c r="G2796" s="16"/>
      <c r="M2796">
        <v>1</v>
      </c>
      <c r="N2796">
        <v>28</v>
      </c>
      <c r="O2796">
        <v>0</v>
      </c>
      <c r="P2796">
        <v>13.51</v>
      </c>
      <c r="Q2796">
        <v>378.18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400032</v>
      </c>
      <c r="X2796" t="s">
        <v>56</v>
      </c>
      <c r="Y2796" t="s">
        <v>57</v>
      </c>
      <c r="AE2796">
        <v>0</v>
      </c>
      <c r="AP2796" t="s">
        <v>404</v>
      </c>
    </row>
    <row r="2797" spans="1:42">
      <c r="A2797" s="1" t="s">
        <v>46</v>
      </c>
      <c r="B2797" s="1" t="s">
        <v>5548</v>
      </c>
      <c r="C2797" s="1" t="s">
        <v>5548</v>
      </c>
      <c r="E2797" s="18" t="s">
        <v>5549</v>
      </c>
      <c r="G2797" s="16"/>
      <c r="M2797">
        <v>1</v>
      </c>
      <c r="N2797">
        <v>162</v>
      </c>
      <c r="O2797">
        <v>0</v>
      </c>
      <c r="P2797">
        <v>2.5</v>
      </c>
      <c r="Q2797">
        <v>405</v>
      </c>
      <c r="R2797">
        <v>0</v>
      </c>
      <c r="S2797">
        <v>0</v>
      </c>
      <c r="T2797" t="s">
        <v>52</v>
      </c>
      <c r="U2797">
        <v>0</v>
      </c>
      <c r="V2797">
        <v>0</v>
      </c>
      <c r="W2797">
        <v>400017</v>
      </c>
      <c r="X2797" t="s">
        <v>56</v>
      </c>
      <c r="Y2797" t="s">
        <v>57</v>
      </c>
      <c r="AE2797">
        <v>0</v>
      </c>
      <c r="AP2797" t="s">
        <v>49</v>
      </c>
    </row>
    <row r="2798" spans="1:42">
      <c r="A2798" s="1" t="s">
        <v>46</v>
      </c>
      <c r="B2798" s="1" t="s">
        <v>5550</v>
      </c>
      <c r="C2798" s="1" t="s">
        <v>5550</v>
      </c>
      <c r="E2798" s="18" t="s">
        <v>5551</v>
      </c>
      <c r="G2798" s="16"/>
      <c r="M2798">
        <v>1</v>
      </c>
      <c r="N2798">
        <v>16</v>
      </c>
      <c r="O2798">
        <v>0</v>
      </c>
      <c r="P2798">
        <v>61.04</v>
      </c>
      <c r="Q2798">
        <v>976.68</v>
      </c>
      <c r="R2798">
        <v>0</v>
      </c>
      <c r="S2798" t="s">
        <v>17</v>
      </c>
      <c r="T2798">
        <v>0</v>
      </c>
      <c r="U2798">
        <v>0</v>
      </c>
      <c r="V2798">
        <v>0</v>
      </c>
      <c r="W2798">
        <v>400056</v>
      </c>
      <c r="AE2798">
        <v>0</v>
      </c>
      <c r="AP2798" t="s">
        <v>1797</v>
      </c>
    </row>
    <row r="2799" spans="1:42">
      <c r="A2799" s="1" t="s">
        <v>46</v>
      </c>
      <c r="B2799" s="1" t="s">
        <v>5552</v>
      </c>
      <c r="C2799" s="1" t="s">
        <v>5552</v>
      </c>
      <c r="E2799" s="18" t="s">
        <v>5553</v>
      </c>
      <c r="G2799" s="16"/>
      <c r="M2799">
        <v>1</v>
      </c>
      <c r="N2799">
        <v>39</v>
      </c>
      <c r="O2799">
        <v>0</v>
      </c>
      <c r="P2799">
        <v>66</v>
      </c>
      <c r="Q2799">
        <v>2574</v>
      </c>
      <c r="R2799" t="s">
        <v>115</v>
      </c>
      <c r="S2799">
        <v>0</v>
      </c>
      <c r="T2799" t="s">
        <v>17</v>
      </c>
      <c r="U2799">
        <v>0</v>
      </c>
      <c r="V2799">
        <v>0</v>
      </c>
      <c r="W2799">
        <v>400056</v>
      </c>
      <c r="AE2799">
        <v>0</v>
      </c>
      <c r="AP2799" t="s">
        <v>1797</v>
      </c>
    </row>
    <row r="2800" spans="1:42">
      <c r="A2800" s="1" t="s">
        <v>46</v>
      </c>
      <c r="B2800" s="1" t="s">
        <v>5554</v>
      </c>
      <c r="C2800" s="1" t="s">
        <v>5554</v>
      </c>
      <c r="E2800" s="18" t="s">
        <v>5555</v>
      </c>
      <c r="G2800" s="16"/>
      <c r="M2800">
        <v>1</v>
      </c>
      <c r="N2800">
        <v>5</v>
      </c>
      <c r="O2800">
        <v>0</v>
      </c>
      <c r="P2800">
        <v>68</v>
      </c>
      <c r="Q2800">
        <v>340</v>
      </c>
      <c r="R2800">
        <v>0</v>
      </c>
      <c r="S2800" t="s">
        <v>17</v>
      </c>
      <c r="T2800">
        <v>0</v>
      </c>
      <c r="U2800">
        <v>0</v>
      </c>
      <c r="V2800">
        <v>0</v>
      </c>
      <c r="W2800">
        <v>400056</v>
      </c>
      <c r="AE2800">
        <v>0</v>
      </c>
      <c r="AP2800" t="s">
        <v>1797</v>
      </c>
    </row>
    <row r="2801" spans="1:42">
      <c r="A2801" s="1" t="s">
        <v>46</v>
      </c>
      <c r="B2801" s="1" t="s">
        <v>5556</v>
      </c>
      <c r="C2801" s="1" t="s">
        <v>5556</v>
      </c>
      <c r="E2801" s="18" t="s">
        <v>5557</v>
      </c>
      <c r="G2801" s="16"/>
      <c r="M2801">
        <v>1</v>
      </c>
      <c r="N2801">
        <v>1036</v>
      </c>
      <c r="O2801">
        <v>0</v>
      </c>
      <c r="P2801">
        <v>3.37</v>
      </c>
      <c r="Q2801">
        <v>3495.88</v>
      </c>
      <c r="R2801">
        <v>0</v>
      </c>
      <c r="S2801">
        <v>0</v>
      </c>
      <c r="T2801" t="s">
        <v>52</v>
      </c>
      <c r="U2801">
        <v>0</v>
      </c>
      <c r="V2801">
        <v>0</v>
      </c>
      <c r="W2801">
        <v>400013</v>
      </c>
      <c r="X2801" t="s">
        <v>56</v>
      </c>
      <c r="Y2801" t="s">
        <v>57</v>
      </c>
      <c r="AE2801">
        <v>0</v>
      </c>
      <c r="AP2801" t="s">
        <v>232</v>
      </c>
    </row>
    <row r="2802" spans="1:42">
      <c r="A2802" s="1" t="s">
        <v>46</v>
      </c>
      <c r="B2802" s="1" t="s">
        <v>5558</v>
      </c>
      <c r="C2802" s="1" t="s">
        <v>5558</v>
      </c>
      <c r="E2802" s="18" t="s">
        <v>5559</v>
      </c>
      <c r="G2802" s="16"/>
      <c r="M2802">
        <v>1</v>
      </c>
      <c r="N2802">
        <v>9</v>
      </c>
      <c r="O2802">
        <v>0</v>
      </c>
      <c r="P2802">
        <v>11</v>
      </c>
      <c r="Q2802">
        <v>99</v>
      </c>
      <c r="W2802">
        <v>400190</v>
      </c>
      <c r="AE2802">
        <v>0</v>
      </c>
      <c r="AP2802" t="s">
        <v>286</v>
      </c>
    </row>
    <row r="2803" spans="1:42">
      <c r="A2803" s="1" t="s">
        <v>46</v>
      </c>
      <c r="B2803" s="1" t="s">
        <v>5560</v>
      </c>
      <c r="C2803" s="1" t="s">
        <v>5560</v>
      </c>
      <c r="E2803" s="18" t="s">
        <v>5561</v>
      </c>
      <c r="G2803" s="16"/>
      <c r="M2803">
        <v>1</v>
      </c>
      <c r="N2803">
        <v>2</v>
      </c>
      <c r="O2803">
        <v>0</v>
      </c>
      <c r="P2803">
        <v>10</v>
      </c>
      <c r="Q2803">
        <v>20</v>
      </c>
      <c r="R2803">
        <v>0</v>
      </c>
      <c r="S2803">
        <v>0</v>
      </c>
      <c r="T2803" t="s">
        <v>52</v>
      </c>
      <c r="U2803">
        <v>0</v>
      </c>
      <c r="V2803">
        <v>0</v>
      </c>
      <c r="W2803">
        <v>400190</v>
      </c>
      <c r="AE2803">
        <v>0</v>
      </c>
      <c r="AP2803" t="s">
        <v>286</v>
      </c>
    </row>
    <row r="2804" spans="1:42">
      <c r="A2804" s="1" t="s">
        <v>46</v>
      </c>
      <c r="B2804" s="1" t="s">
        <v>5562</v>
      </c>
      <c r="C2804" s="1" t="s">
        <v>5562</v>
      </c>
      <c r="E2804" s="18" t="s">
        <v>5563</v>
      </c>
      <c r="G2804" s="16"/>
      <c r="M2804">
        <v>1</v>
      </c>
      <c r="N2804">
        <v>1</v>
      </c>
      <c r="O2804">
        <v>0</v>
      </c>
      <c r="P2804">
        <v>12</v>
      </c>
      <c r="Q2804">
        <v>12</v>
      </c>
      <c r="R2804">
        <v>0</v>
      </c>
      <c r="S2804">
        <v>0</v>
      </c>
      <c r="T2804" t="s">
        <v>52</v>
      </c>
      <c r="U2804">
        <v>0</v>
      </c>
      <c r="V2804">
        <v>0</v>
      </c>
      <c r="W2804">
        <v>400190</v>
      </c>
      <c r="AE2804">
        <v>0</v>
      </c>
      <c r="AP2804" t="s">
        <v>286</v>
      </c>
    </row>
    <row r="2805" spans="1:42">
      <c r="E2805" s="18" t="s">
        <v>5564</v>
      </c>
      <c r="G2805" s="16"/>
    </row>
    <row r="2806" spans="1:42">
      <c r="E2806" s="18" t="s">
        <v>5565</v>
      </c>
      <c r="G2806" s="16"/>
    </row>
    <row r="2807" spans="1:42">
      <c r="E2807" s="18" t="s">
        <v>5566</v>
      </c>
      <c r="G2807" s="16"/>
    </row>
    <row r="2808" spans="1:42">
      <c r="A2808" s="1" t="s">
        <v>46</v>
      </c>
      <c r="B2808" s="1" t="s">
        <v>5567</v>
      </c>
      <c r="C2808" s="1" t="s">
        <v>5567</v>
      </c>
      <c r="E2808" s="12" t="s">
        <v>5568</v>
      </c>
      <c r="G2808" s="16">
        <v>30</v>
      </c>
      <c r="M2808">
        <v>1</v>
      </c>
      <c r="N2808">
        <v>449</v>
      </c>
      <c r="O2808">
        <v>0</v>
      </c>
      <c r="P2808">
        <v>7.21</v>
      </c>
      <c r="Q2808">
        <v>3237.29</v>
      </c>
      <c r="R2808" t="s">
        <v>5569</v>
      </c>
      <c r="S2808">
        <v>0</v>
      </c>
      <c r="T2808" t="s">
        <v>17</v>
      </c>
      <c r="U2808">
        <v>0</v>
      </c>
      <c r="V2808">
        <v>0</v>
      </c>
      <c r="W2808">
        <v>400211</v>
      </c>
      <c r="X2808" t="s">
        <v>56</v>
      </c>
      <c r="Y2808" t="s">
        <v>57</v>
      </c>
      <c r="AE2808">
        <v>0</v>
      </c>
      <c r="AP2808" t="s">
        <v>5570</v>
      </c>
    </row>
    <row r="2809" spans="1:42">
      <c r="E2809" s="12" t="s">
        <v>5571</v>
      </c>
      <c r="G2809" s="16">
        <v>35</v>
      </c>
    </row>
    <row r="2810" spans="1:42">
      <c r="A2810" s="1" t="s">
        <v>46</v>
      </c>
      <c r="B2810" s="1" t="s">
        <v>5572</v>
      </c>
      <c r="C2810" s="1" t="s">
        <v>5572</v>
      </c>
      <c r="E2810" s="12" t="s">
        <v>5573</v>
      </c>
      <c r="G2810" s="16">
        <v>12</v>
      </c>
      <c r="M2810">
        <v>1</v>
      </c>
      <c r="N2810">
        <v>21</v>
      </c>
      <c r="O2810">
        <v>0</v>
      </c>
      <c r="P2810">
        <v>8</v>
      </c>
      <c r="Q2810">
        <v>168</v>
      </c>
      <c r="R2810" t="s">
        <v>5569</v>
      </c>
      <c r="S2810">
        <v>0</v>
      </c>
      <c r="T2810" t="s">
        <v>17</v>
      </c>
      <c r="U2810">
        <v>0</v>
      </c>
      <c r="V2810">
        <v>0</v>
      </c>
      <c r="W2810">
        <v>400033</v>
      </c>
      <c r="X2810" t="s">
        <v>56</v>
      </c>
      <c r="Y2810" t="s">
        <v>57</v>
      </c>
      <c r="AE2810">
        <v>0</v>
      </c>
      <c r="AP2810" t="s">
        <v>126</v>
      </c>
    </row>
    <row r="2811" spans="1:42">
      <c r="E2811" s="12" t="s">
        <v>5574</v>
      </c>
      <c r="G2811" s="16">
        <v>5</v>
      </c>
    </row>
    <row r="2812" spans="1:42">
      <c r="A2812" s="1" t="s">
        <v>46</v>
      </c>
      <c r="B2812" s="1" t="s">
        <v>5575</v>
      </c>
      <c r="C2812" s="1" t="s">
        <v>5575</v>
      </c>
      <c r="E2812" s="12" t="s">
        <v>5576</v>
      </c>
      <c r="G2812" s="16">
        <v>9</v>
      </c>
      <c r="M2812">
        <v>1</v>
      </c>
      <c r="N2812">
        <v>29</v>
      </c>
      <c r="O2812">
        <v>0</v>
      </c>
      <c r="P2812">
        <v>8</v>
      </c>
      <c r="Q2812">
        <v>232</v>
      </c>
      <c r="R2812" t="s">
        <v>5569</v>
      </c>
      <c r="S2812">
        <v>0</v>
      </c>
      <c r="T2812" t="s">
        <v>17</v>
      </c>
      <c r="U2812">
        <v>0</v>
      </c>
      <c r="V2812">
        <v>0</v>
      </c>
      <c r="W2812">
        <v>400033</v>
      </c>
      <c r="X2812" t="s">
        <v>56</v>
      </c>
      <c r="Y2812" t="s">
        <v>57</v>
      </c>
      <c r="AE2812">
        <v>0</v>
      </c>
      <c r="AP2812" t="s">
        <v>126</v>
      </c>
    </row>
    <row r="2813" spans="1:42">
      <c r="E2813" s="12" t="s">
        <v>5577</v>
      </c>
      <c r="G2813" s="16">
        <v>140</v>
      </c>
    </row>
    <row r="2814" spans="1:42">
      <c r="A2814" s="1" t="s">
        <v>46</v>
      </c>
      <c r="B2814" s="1" t="s">
        <v>5578</v>
      </c>
      <c r="C2814" s="1" t="s">
        <v>5578</v>
      </c>
      <c r="E2814" s="12" t="s">
        <v>5579</v>
      </c>
      <c r="G2814" s="16">
        <v>25</v>
      </c>
      <c r="M2814">
        <v>1</v>
      </c>
      <c r="N2814">
        <v>10</v>
      </c>
      <c r="O2814">
        <v>0</v>
      </c>
      <c r="P2814">
        <v>5.9</v>
      </c>
      <c r="Q2814">
        <v>59</v>
      </c>
      <c r="R2814" t="s">
        <v>5569</v>
      </c>
      <c r="S2814">
        <v>0</v>
      </c>
      <c r="T2814" t="s">
        <v>17</v>
      </c>
      <c r="U2814">
        <v>0</v>
      </c>
      <c r="V2814">
        <v>0</v>
      </c>
      <c r="W2814">
        <v>400033</v>
      </c>
      <c r="AE2814">
        <v>0</v>
      </c>
      <c r="AP2814" t="s">
        <v>126</v>
      </c>
    </row>
    <row r="2815" spans="1:42">
      <c r="A2815" s="1" t="s">
        <v>46</v>
      </c>
      <c r="B2815" s="1" t="s">
        <v>5580</v>
      </c>
      <c r="C2815" s="1" t="s">
        <v>5580</v>
      </c>
      <c r="G2815" s="16"/>
      <c r="M2815">
        <v>1</v>
      </c>
      <c r="N2815">
        <v>22</v>
      </c>
      <c r="O2815">
        <v>0</v>
      </c>
      <c r="P2815">
        <v>7.49</v>
      </c>
      <c r="Q2815">
        <v>164.78</v>
      </c>
      <c r="R2815" t="s">
        <v>5569</v>
      </c>
      <c r="S2815">
        <v>0</v>
      </c>
      <c r="T2815" t="s">
        <v>17</v>
      </c>
      <c r="U2815">
        <v>0</v>
      </c>
      <c r="V2815">
        <v>0</v>
      </c>
      <c r="W2815">
        <v>400211</v>
      </c>
      <c r="X2815" t="s">
        <v>56</v>
      </c>
      <c r="Y2815" t="s">
        <v>57</v>
      </c>
      <c r="AE2815">
        <v>0</v>
      </c>
      <c r="AP2815" t="s">
        <v>5570</v>
      </c>
    </row>
    <row r="2816" spans="1:42">
      <c r="A2816" s="1" t="s">
        <v>46</v>
      </c>
      <c r="B2816" s="1" t="s">
        <v>5581</v>
      </c>
      <c r="C2816" s="1" t="s">
        <v>5581</v>
      </c>
      <c r="G2816" s="16"/>
      <c r="M2816">
        <v>1</v>
      </c>
      <c r="N2816">
        <v>30</v>
      </c>
      <c r="O2816">
        <v>0</v>
      </c>
      <c r="P2816">
        <v>8</v>
      </c>
      <c r="Q2816">
        <v>240</v>
      </c>
      <c r="R2816" t="s">
        <v>5569</v>
      </c>
      <c r="S2816">
        <v>0</v>
      </c>
      <c r="T2816" t="s">
        <v>17</v>
      </c>
      <c r="U2816">
        <v>0</v>
      </c>
      <c r="V2816">
        <v>0</v>
      </c>
      <c r="W2816">
        <v>400033</v>
      </c>
      <c r="X2816" t="s">
        <v>56</v>
      </c>
      <c r="Y2816" t="s">
        <v>57</v>
      </c>
      <c r="AE2816">
        <v>0</v>
      </c>
      <c r="AP2816" t="s">
        <v>126</v>
      </c>
    </row>
    <row r="2817" spans="1:42">
      <c r="A2817" s="1" t="s">
        <v>46</v>
      </c>
      <c r="B2817" s="1" t="s">
        <v>5582</v>
      </c>
      <c r="C2817" s="1" t="s">
        <v>5582</v>
      </c>
      <c r="G2817" s="16"/>
      <c r="M2817">
        <v>1</v>
      </c>
      <c r="N2817">
        <v>11</v>
      </c>
      <c r="O2817">
        <v>0</v>
      </c>
      <c r="P2817">
        <v>7.25</v>
      </c>
      <c r="Q2817">
        <v>79.75</v>
      </c>
      <c r="R2817" t="s">
        <v>5569</v>
      </c>
      <c r="S2817">
        <v>0</v>
      </c>
      <c r="T2817" t="s">
        <v>17</v>
      </c>
      <c r="U2817">
        <v>0</v>
      </c>
      <c r="V2817">
        <v>0</v>
      </c>
      <c r="W2817">
        <v>400033</v>
      </c>
      <c r="AE2817">
        <v>0</v>
      </c>
      <c r="AP2817" t="s">
        <v>126</v>
      </c>
    </row>
    <row r="2818" spans="1:42">
      <c r="G2818" s="16"/>
    </row>
    <row r="2819" spans="1:42">
      <c r="A2819" s="1" t="s">
        <v>46</v>
      </c>
      <c r="B2819" s="1" t="s">
        <v>5583</v>
      </c>
      <c r="C2819" s="1" t="s">
        <v>5583</v>
      </c>
      <c r="G2819" s="16"/>
      <c r="M2819">
        <v>1</v>
      </c>
      <c r="N2819">
        <v>46</v>
      </c>
      <c r="O2819">
        <v>0</v>
      </c>
      <c r="P2819">
        <v>7.49</v>
      </c>
      <c r="Q2819">
        <v>344.54</v>
      </c>
      <c r="R2819" t="s">
        <v>5569</v>
      </c>
      <c r="S2819">
        <v>0</v>
      </c>
      <c r="T2819" t="s">
        <v>17</v>
      </c>
      <c r="U2819">
        <v>0</v>
      </c>
      <c r="V2819">
        <v>0</v>
      </c>
      <c r="W2819">
        <v>400211</v>
      </c>
      <c r="X2819" t="s">
        <v>56</v>
      </c>
      <c r="Y2819" t="s">
        <v>57</v>
      </c>
      <c r="AE2819">
        <v>0</v>
      </c>
      <c r="AP2819" t="s">
        <v>5570</v>
      </c>
    </row>
    <row r="2820" spans="1:42">
      <c r="G2820" s="16"/>
    </row>
    <row r="2821" spans="1:42">
      <c r="A2821" s="1" t="s">
        <v>46</v>
      </c>
      <c r="B2821" s="1" t="s">
        <v>5584</v>
      </c>
      <c r="C2821" s="1" t="s">
        <v>5584</v>
      </c>
      <c r="G2821" s="16"/>
      <c r="M2821">
        <v>1</v>
      </c>
      <c r="N2821">
        <v>110</v>
      </c>
      <c r="O2821">
        <v>0</v>
      </c>
      <c r="P2821">
        <v>7.49</v>
      </c>
      <c r="Q2821">
        <v>823.9</v>
      </c>
      <c r="R2821" t="s">
        <v>5569</v>
      </c>
      <c r="S2821">
        <v>0</v>
      </c>
      <c r="T2821" t="s">
        <v>17</v>
      </c>
      <c r="U2821">
        <v>0</v>
      </c>
      <c r="V2821">
        <v>0</v>
      </c>
      <c r="W2821">
        <v>400211</v>
      </c>
      <c r="X2821" t="s">
        <v>56</v>
      </c>
      <c r="Y2821" t="s">
        <v>57</v>
      </c>
      <c r="AE2821">
        <v>0</v>
      </c>
      <c r="AP2821" t="s">
        <v>5570</v>
      </c>
    </row>
    <row r="2822" spans="1:42">
      <c r="A2822" s="1" t="s">
        <v>46</v>
      </c>
      <c r="B2822" s="1" t="s">
        <v>5585</v>
      </c>
      <c r="C2822" s="1" t="s">
        <v>5585</v>
      </c>
      <c r="G2822" s="16"/>
      <c r="M2822">
        <v>1</v>
      </c>
      <c r="N2822">
        <v>21</v>
      </c>
      <c r="O2822">
        <v>0</v>
      </c>
      <c r="P2822">
        <v>8.8800000000000008</v>
      </c>
      <c r="Q2822">
        <v>186.48</v>
      </c>
      <c r="R2822">
        <v>0</v>
      </c>
      <c r="S2822">
        <v>0</v>
      </c>
      <c r="T2822" t="s">
        <v>52</v>
      </c>
      <c r="U2822">
        <v>0</v>
      </c>
      <c r="V2822">
        <v>0</v>
      </c>
      <c r="W2822">
        <v>400010</v>
      </c>
      <c r="AE2822">
        <v>0</v>
      </c>
      <c r="AP2822" t="s">
        <v>66</v>
      </c>
    </row>
    <row r="2823" spans="1:42">
      <c r="A2823" s="1" t="s">
        <v>46</v>
      </c>
      <c r="B2823" s="1" t="s">
        <v>5586</v>
      </c>
      <c r="C2823" s="1" t="s">
        <v>5586</v>
      </c>
      <c r="G2823" s="16"/>
      <c r="M2823">
        <v>1</v>
      </c>
      <c r="N2823">
        <v>1665</v>
      </c>
      <c r="O2823">
        <v>0</v>
      </c>
      <c r="P2823">
        <v>6.66</v>
      </c>
      <c r="Q2823">
        <v>11088.9</v>
      </c>
      <c r="R2823" t="s">
        <v>5569</v>
      </c>
      <c r="S2823">
        <v>0</v>
      </c>
      <c r="T2823" t="s">
        <v>17</v>
      </c>
      <c r="U2823">
        <v>0</v>
      </c>
      <c r="V2823">
        <v>0</v>
      </c>
      <c r="W2823">
        <v>400211</v>
      </c>
      <c r="X2823" t="s">
        <v>56</v>
      </c>
      <c r="Y2823" t="s">
        <v>57</v>
      </c>
      <c r="AE2823">
        <v>0</v>
      </c>
      <c r="AP2823" t="s">
        <v>5570</v>
      </c>
    </row>
    <row r="2824" spans="1:42">
      <c r="A2824" s="1" t="s">
        <v>46</v>
      </c>
      <c r="B2824" s="1" t="s">
        <v>5587</v>
      </c>
      <c r="C2824" s="1" t="s">
        <v>5587</v>
      </c>
      <c r="G2824" s="16"/>
      <c r="M2824">
        <v>1</v>
      </c>
      <c r="N2824">
        <v>55</v>
      </c>
      <c r="O2824">
        <v>0</v>
      </c>
      <c r="P2824">
        <v>6.94</v>
      </c>
      <c r="Q2824">
        <v>381.7</v>
      </c>
      <c r="R2824" t="s">
        <v>5569</v>
      </c>
      <c r="S2824">
        <v>0</v>
      </c>
      <c r="T2824" t="s">
        <v>17</v>
      </c>
      <c r="U2824">
        <v>0</v>
      </c>
      <c r="V2824">
        <v>0</v>
      </c>
      <c r="W2824">
        <v>400211</v>
      </c>
      <c r="X2824" t="s">
        <v>56</v>
      </c>
      <c r="Y2824" t="s">
        <v>57</v>
      </c>
      <c r="AE2824">
        <v>0</v>
      </c>
      <c r="AP2824" t="s">
        <v>5570</v>
      </c>
    </row>
    <row r="2825" spans="1:42">
      <c r="A2825" s="1" t="s">
        <v>46</v>
      </c>
      <c r="B2825" s="1" t="s">
        <v>5588</v>
      </c>
      <c r="C2825" s="1" t="s">
        <v>5588</v>
      </c>
      <c r="G2825" s="16"/>
      <c r="M2825">
        <v>1</v>
      </c>
      <c r="N2825">
        <v>52</v>
      </c>
      <c r="O2825">
        <v>0</v>
      </c>
      <c r="P2825">
        <v>6.94</v>
      </c>
      <c r="Q2825">
        <v>360.88</v>
      </c>
      <c r="R2825" t="s">
        <v>5569</v>
      </c>
      <c r="S2825">
        <v>0</v>
      </c>
      <c r="T2825" t="s">
        <v>17</v>
      </c>
      <c r="U2825">
        <v>0</v>
      </c>
      <c r="V2825">
        <v>0</v>
      </c>
      <c r="W2825">
        <v>400211</v>
      </c>
      <c r="X2825" t="s">
        <v>56</v>
      </c>
      <c r="Y2825" t="s">
        <v>57</v>
      </c>
      <c r="AE2825">
        <v>0</v>
      </c>
      <c r="AP2825" t="s">
        <v>5570</v>
      </c>
    </row>
    <row r="2826" spans="1:42">
      <c r="A2826" s="1" t="s">
        <v>46</v>
      </c>
      <c r="B2826" s="1" t="s">
        <v>5589</v>
      </c>
      <c r="C2826" s="1" t="s">
        <v>5589</v>
      </c>
      <c r="G2826" s="16"/>
      <c r="M2826">
        <v>1</v>
      </c>
      <c r="N2826">
        <v>50</v>
      </c>
      <c r="O2826">
        <v>0</v>
      </c>
      <c r="P2826">
        <v>8</v>
      </c>
      <c r="Q2826">
        <v>400</v>
      </c>
      <c r="R2826" t="s">
        <v>5569</v>
      </c>
      <c r="S2826">
        <v>0</v>
      </c>
      <c r="T2826" t="s">
        <v>17</v>
      </c>
      <c r="W2826">
        <v>400147</v>
      </c>
      <c r="AE2826">
        <v>0</v>
      </c>
      <c r="AP2826" t="s">
        <v>5590</v>
      </c>
    </row>
    <row r="2827" spans="1:42">
      <c r="A2827" s="1" t="s">
        <v>46</v>
      </c>
      <c r="B2827" s="1" t="s">
        <v>5591</v>
      </c>
      <c r="C2827" s="1" t="s">
        <v>5591</v>
      </c>
      <c r="G2827" s="16"/>
      <c r="M2827">
        <v>1</v>
      </c>
      <c r="N2827">
        <v>59</v>
      </c>
      <c r="O2827">
        <v>0</v>
      </c>
      <c r="P2827">
        <v>6.94</v>
      </c>
      <c r="Q2827">
        <v>409.46</v>
      </c>
      <c r="R2827" t="s">
        <v>5569</v>
      </c>
      <c r="S2827">
        <v>0</v>
      </c>
      <c r="T2827" t="s">
        <v>17</v>
      </c>
      <c r="U2827">
        <v>0</v>
      </c>
      <c r="V2827">
        <v>0</v>
      </c>
      <c r="W2827">
        <v>400211</v>
      </c>
      <c r="X2827" t="s">
        <v>56</v>
      </c>
      <c r="Y2827" t="s">
        <v>57</v>
      </c>
      <c r="AE2827">
        <v>0</v>
      </c>
      <c r="AP2827" t="s">
        <v>5570</v>
      </c>
    </row>
    <row r="2828" spans="1:42">
      <c r="A2828" s="1" t="s">
        <v>46</v>
      </c>
      <c r="B2828" s="1" t="s">
        <v>5592</v>
      </c>
      <c r="C2828" s="1" t="s">
        <v>5592</v>
      </c>
      <c r="G2828" s="16"/>
      <c r="M2828">
        <v>1</v>
      </c>
      <c r="N2828">
        <v>54</v>
      </c>
      <c r="O2828">
        <v>0</v>
      </c>
      <c r="P2828">
        <v>6.94</v>
      </c>
      <c r="Q2828">
        <v>374.76</v>
      </c>
      <c r="R2828" t="s">
        <v>5569</v>
      </c>
      <c r="S2828">
        <v>0</v>
      </c>
      <c r="T2828" t="s">
        <v>17</v>
      </c>
      <c r="U2828">
        <v>0</v>
      </c>
      <c r="V2828">
        <v>0</v>
      </c>
      <c r="W2828">
        <v>400211</v>
      </c>
      <c r="X2828" t="s">
        <v>56</v>
      </c>
      <c r="Y2828" t="s">
        <v>57</v>
      </c>
      <c r="AE2828">
        <v>0</v>
      </c>
      <c r="AP2828" t="s">
        <v>5570</v>
      </c>
    </row>
    <row r="2829" spans="1:42">
      <c r="A2829" s="1" t="s">
        <v>46</v>
      </c>
      <c r="B2829" s="1" t="s">
        <v>5593</v>
      </c>
      <c r="C2829" s="1" t="s">
        <v>5593</v>
      </c>
      <c r="G2829" s="16"/>
      <c r="M2829">
        <v>1</v>
      </c>
      <c r="N2829">
        <v>8</v>
      </c>
      <c r="O2829">
        <v>0</v>
      </c>
      <c r="P2829">
        <v>6.75</v>
      </c>
      <c r="Q2829">
        <v>54</v>
      </c>
      <c r="R2829" t="s">
        <v>5569</v>
      </c>
      <c r="S2829">
        <v>0</v>
      </c>
      <c r="T2829" t="s">
        <v>17</v>
      </c>
      <c r="W2829">
        <v>400033</v>
      </c>
      <c r="AE2829">
        <v>0</v>
      </c>
      <c r="AP2829" t="s">
        <v>126</v>
      </c>
    </row>
    <row r="2830" spans="1:42">
      <c r="A2830" s="1" t="s">
        <v>46</v>
      </c>
      <c r="B2830" s="1" t="s">
        <v>5594</v>
      </c>
      <c r="C2830" s="1" t="s">
        <v>5594</v>
      </c>
      <c r="G2830" s="16"/>
      <c r="M2830">
        <v>1</v>
      </c>
      <c r="N2830">
        <v>169</v>
      </c>
      <c r="O2830">
        <v>0</v>
      </c>
      <c r="P2830">
        <v>6.94</v>
      </c>
      <c r="Q2830">
        <v>1172.8599999999999</v>
      </c>
      <c r="R2830" t="s">
        <v>5569</v>
      </c>
      <c r="S2830">
        <v>0</v>
      </c>
      <c r="T2830" t="s">
        <v>17</v>
      </c>
      <c r="U2830">
        <v>0</v>
      </c>
      <c r="V2830">
        <v>0</v>
      </c>
      <c r="W2830">
        <v>400211</v>
      </c>
      <c r="X2830" t="s">
        <v>56</v>
      </c>
      <c r="Y2830" t="s">
        <v>57</v>
      </c>
      <c r="AE2830">
        <v>0</v>
      </c>
      <c r="AP2830" t="s">
        <v>5570</v>
      </c>
    </row>
    <row r="2831" spans="1:42">
      <c r="A2831" s="1" t="s">
        <v>46</v>
      </c>
      <c r="B2831" s="1" t="s">
        <v>5595</v>
      </c>
      <c r="C2831" s="1" t="s">
        <v>5595</v>
      </c>
      <c r="G2831" s="16"/>
      <c r="M2831">
        <v>1</v>
      </c>
      <c r="N2831">
        <v>130</v>
      </c>
      <c r="O2831">
        <v>0</v>
      </c>
      <c r="P2831">
        <v>6.93</v>
      </c>
      <c r="Q2831">
        <v>900.9</v>
      </c>
      <c r="R2831" t="s">
        <v>5569</v>
      </c>
      <c r="S2831">
        <v>0</v>
      </c>
      <c r="T2831" t="s">
        <v>17</v>
      </c>
      <c r="U2831">
        <v>0</v>
      </c>
      <c r="V2831">
        <v>0</v>
      </c>
      <c r="W2831">
        <v>400211</v>
      </c>
      <c r="X2831" t="s">
        <v>56</v>
      </c>
      <c r="Y2831" t="s">
        <v>57</v>
      </c>
      <c r="AE2831">
        <v>0</v>
      </c>
      <c r="AP2831" t="s">
        <v>5570</v>
      </c>
    </row>
    <row r="2832" spans="1:42">
      <c r="A2832" s="1" t="s">
        <v>46</v>
      </c>
      <c r="B2832" s="1" t="s">
        <v>5596</v>
      </c>
      <c r="C2832" s="1" t="s">
        <v>5596</v>
      </c>
      <c r="G2832" s="16"/>
      <c r="M2832">
        <v>1</v>
      </c>
      <c r="N2832">
        <v>65</v>
      </c>
      <c r="O2832">
        <v>0</v>
      </c>
      <c r="P2832">
        <v>8.8800000000000008</v>
      </c>
      <c r="Q2832">
        <v>577.20000000000005</v>
      </c>
      <c r="R2832">
        <v>0</v>
      </c>
      <c r="S2832">
        <v>0</v>
      </c>
      <c r="T2832" t="s">
        <v>52</v>
      </c>
      <c r="U2832">
        <v>0</v>
      </c>
      <c r="V2832">
        <v>0</v>
      </c>
      <c r="W2832">
        <v>400211</v>
      </c>
      <c r="X2832" t="s">
        <v>56</v>
      </c>
      <c r="Y2832" t="s">
        <v>57</v>
      </c>
      <c r="AE2832">
        <v>0</v>
      </c>
      <c r="AP2832" t="s">
        <v>5570</v>
      </c>
    </row>
    <row r="2833" spans="1:42">
      <c r="G2833" s="16"/>
    </row>
    <row r="2834" spans="1:42">
      <c r="A2834" s="1" t="s">
        <v>46</v>
      </c>
      <c r="B2834" s="1" t="s">
        <v>5597</v>
      </c>
      <c r="C2834" s="1" t="s">
        <v>5597</v>
      </c>
      <c r="G2834" s="16"/>
      <c r="M2834">
        <v>1</v>
      </c>
      <c r="N2834">
        <v>10</v>
      </c>
      <c r="O2834">
        <v>0</v>
      </c>
      <c r="P2834">
        <v>8.8800000000000008</v>
      </c>
      <c r="Q2834">
        <v>88.8</v>
      </c>
      <c r="R2834">
        <v>0</v>
      </c>
      <c r="S2834">
        <v>0</v>
      </c>
      <c r="T2834" t="s">
        <v>52</v>
      </c>
      <c r="W2834">
        <v>400211</v>
      </c>
      <c r="AE2834">
        <v>0</v>
      </c>
      <c r="AP2834" t="s">
        <v>5570</v>
      </c>
    </row>
    <row r="2835" spans="1:42">
      <c r="G2835" s="16"/>
    </row>
    <row r="2836" spans="1:42">
      <c r="G2836" s="16"/>
    </row>
    <row r="2837" spans="1:42">
      <c r="A2837" s="1" t="s">
        <v>46</v>
      </c>
      <c r="B2837" s="1" t="s">
        <v>5598</v>
      </c>
      <c r="C2837" s="1" t="s">
        <v>5598</v>
      </c>
      <c r="G2837" s="16"/>
      <c r="M2837">
        <v>1</v>
      </c>
      <c r="N2837">
        <v>-12</v>
      </c>
      <c r="O2837">
        <v>0</v>
      </c>
      <c r="P2837">
        <v>5</v>
      </c>
      <c r="Q2837">
        <v>-60</v>
      </c>
      <c r="R2837">
        <v>0</v>
      </c>
      <c r="S2837">
        <v>0</v>
      </c>
      <c r="T2837" t="s">
        <v>17</v>
      </c>
      <c r="U2837">
        <v>0</v>
      </c>
      <c r="V2837">
        <v>0</v>
      </c>
      <c r="W2837">
        <v>410120</v>
      </c>
      <c r="X2837" t="s">
        <v>56</v>
      </c>
      <c r="Y2837" t="s">
        <v>57</v>
      </c>
      <c r="AE2837">
        <v>0</v>
      </c>
      <c r="AP2837" t="s">
        <v>112</v>
      </c>
    </row>
    <row r="2838" spans="1:42">
      <c r="G2838" s="16"/>
    </row>
    <row r="2839" spans="1:42">
      <c r="G2839" s="16"/>
    </row>
    <row r="2840" spans="1:42">
      <c r="A2840" s="1" t="s">
        <v>46</v>
      </c>
      <c r="B2840" s="1" t="s">
        <v>5599</v>
      </c>
      <c r="C2840" s="1" t="s">
        <v>5599</v>
      </c>
      <c r="G2840" s="16"/>
      <c r="M2840">
        <v>1</v>
      </c>
      <c r="N2840">
        <v>107</v>
      </c>
      <c r="O2840">
        <v>0</v>
      </c>
      <c r="P2840">
        <v>0.3</v>
      </c>
      <c r="Q2840">
        <v>32.1</v>
      </c>
      <c r="R2840">
        <v>0</v>
      </c>
      <c r="S2840">
        <v>0</v>
      </c>
      <c r="T2840" t="s">
        <v>52</v>
      </c>
      <c r="W2840">
        <v>400140</v>
      </c>
      <c r="AE2840">
        <v>0</v>
      </c>
      <c r="AP2840" t="s">
        <v>4033</v>
      </c>
    </row>
    <row r="2841" spans="1:42">
      <c r="G2841" s="16"/>
    </row>
    <row r="2842" spans="1:42">
      <c r="G2842" s="16"/>
    </row>
    <row r="2843" spans="1:42">
      <c r="G2843" s="16"/>
    </row>
    <row r="2844" spans="1:42">
      <c r="G2844" s="16"/>
    </row>
    <row r="2845" spans="1:42">
      <c r="G2845" s="16"/>
    </row>
    <row r="2846" spans="1:42">
      <c r="G2846" s="16"/>
    </row>
    <row r="2847" spans="1:42">
      <c r="G2847" s="16"/>
    </row>
    <row r="2848" spans="1:42">
      <c r="G2848" s="16"/>
    </row>
    <row r="2849" spans="1:42">
      <c r="A2849" s="1" t="s">
        <v>46</v>
      </c>
      <c r="B2849" s="1" t="s">
        <v>5600</v>
      </c>
      <c r="C2849" s="1" t="s">
        <v>5600</v>
      </c>
      <c r="G2849" s="16"/>
      <c r="M2849">
        <v>1</v>
      </c>
      <c r="N2849">
        <v>453</v>
      </c>
      <c r="O2849">
        <v>0</v>
      </c>
      <c r="P2849">
        <v>20</v>
      </c>
      <c r="Q2849">
        <v>9060</v>
      </c>
      <c r="R2849">
        <v>0</v>
      </c>
      <c r="S2849">
        <v>0</v>
      </c>
      <c r="T2849">
        <v>0</v>
      </c>
      <c r="W2849">
        <v>400045</v>
      </c>
      <c r="AE2849">
        <v>0</v>
      </c>
      <c r="AP2849" t="s">
        <v>217</v>
      </c>
    </row>
    <row r="2850" spans="1:42">
      <c r="A2850" s="1" t="s">
        <v>46</v>
      </c>
      <c r="B2850" s="1" t="s">
        <v>5601</v>
      </c>
      <c r="C2850" s="1" t="s">
        <v>5601</v>
      </c>
      <c r="G2850" s="16"/>
      <c r="M2850">
        <v>1</v>
      </c>
      <c r="N2850">
        <v>258</v>
      </c>
      <c r="O2850">
        <v>0</v>
      </c>
      <c r="P2850">
        <v>3.3</v>
      </c>
      <c r="Q2850">
        <v>851.4</v>
      </c>
      <c r="R2850">
        <v>0</v>
      </c>
      <c r="S2850">
        <v>0</v>
      </c>
      <c r="T2850" t="s">
        <v>52</v>
      </c>
      <c r="W2850">
        <v>400111</v>
      </c>
      <c r="AE2850">
        <v>0</v>
      </c>
      <c r="AP2850" t="s">
        <v>646</v>
      </c>
    </row>
    <row r="2851" spans="1:42">
      <c r="A2851" s="1" t="s">
        <v>46</v>
      </c>
      <c r="B2851" s="1" t="s">
        <v>5602</v>
      </c>
      <c r="C2851" s="1" t="s">
        <v>5602</v>
      </c>
      <c r="G2851" s="16"/>
      <c r="M2851">
        <v>1</v>
      </c>
      <c r="N2851">
        <v>17</v>
      </c>
      <c r="O2851">
        <v>0</v>
      </c>
      <c r="P2851">
        <v>3.75</v>
      </c>
      <c r="Q2851">
        <v>63.75</v>
      </c>
      <c r="R2851">
        <v>0</v>
      </c>
      <c r="S2851">
        <v>0</v>
      </c>
      <c r="T2851" t="s">
        <v>52</v>
      </c>
      <c r="W2851">
        <v>400017</v>
      </c>
      <c r="AE2851">
        <v>0</v>
      </c>
      <c r="AP2851" t="s">
        <v>49</v>
      </c>
    </row>
    <row r="2852" spans="1:42">
      <c r="A2852" s="1" t="s">
        <v>46</v>
      </c>
      <c r="B2852" s="1" t="s">
        <v>5603</v>
      </c>
      <c r="C2852" s="1" t="s">
        <v>5603</v>
      </c>
      <c r="G2852" s="16"/>
      <c r="M2852">
        <v>1</v>
      </c>
      <c r="N2852">
        <v>5</v>
      </c>
      <c r="O2852">
        <v>0</v>
      </c>
      <c r="P2852">
        <v>2</v>
      </c>
      <c r="Q2852">
        <v>10</v>
      </c>
      <c r="R2852">
        <v>0</v>
      </c>
      <c r="S2852">
        <v>0</v>
      </c>
      <c r="T2852" t="s">
        <v>52</v>
      </c>
      <c r="W2852">
        <v>400017</v>
      </c>
      <c r="AE2852">
        <v>0</v>
      </c>
      <c r="AP2852" t="s">
        <v>49</v>
      </c>
    </row>
    <row r="2853" spans="1:42">
      <c r="A2853" s="1" t="s">
        <v>46</v>
      </c>
      <c r="B2853" s="1" t="s">
        <v>5604</v>
      </c>
      <c r="C2853" s="1" t="s">
        <v>5604</v>
      </c>
      <c r="G2853" s="16"/>
      <c r="M2853">
        <v>1</v>
      </c>
      <c r="N2853">
        <v>204</v>
      </c>
      <c r="O2853">
        <v>0</v>
      </c>
      <c r="P2853">
        <v>2.11</v>
      </c>
      <c r="Q2853">
        <v>430.24</v>
      </c>
      <c r="R2853">
        <v>0</v>
      </c>
      <c r="S2853">
        <v>0</v>
      </c>
      <c r="T2853" t="s">
        <v>52</v>
      </c>
      <c r="U2853">
        <v>0</v>
      </c>
      <c r="V2853">
        <v>0</v>
      </c>
      <c r="W2853">
        <v>400046</v>
      </c>
      <c r="AE2853">
        <v>0</v>
      </c>
      <c r="AP2853" t="s">
        <v>407</v>
      </c>
    </row>
    <row r="2854" spans="1:42">
      <c r="A2854" s="1" t="s">
        <v>46</v>
      </c>
      <c r="B2854" s="1" t="s">
        <v>5605</v>
      </c>
      <c r="C2854" s="1" t="s">
        <v>5605</v>
      </c>
      <c r="G2854" s="16"/>
      <c r="M2854">
        <v>1</v>
      </c>
      <c r="N2854">
        <v>55</v>
      </c>
      <c r="O2854">
        <v>0</v>
      </c>
      <c r="P2854">
        <v>1.65</v>
      </c>
      <c r="Q2854">
        <v>90.75</v>
      </c>
      <c r="R2854">
        <v>0</v>
      </c>
      <c r="S2854">
        <v>0</v>
      </c>
      <c r="T2854" t="s">
        <v>52</v>
      </c>
      <c r="U2854">
        <v>0</v>
      </c>
      <c r="V2854">
        <v>0</v>
      </c>
      <c r="W2854">
        <v>400154</v>
      </c>
      <c r="X2854" t="s">
        <v>56</v>
      </c>
      <c r="Y2854" t="s">
        <v>57</v>
      </c>
      <c r="AE2854">
        <v>0</v>
      </c>
      <c r="AP2854" t="s">
        <v>98</v>
      </c>
    </row>
    <row r="2855" spans="1:42">
      <c r="A2855" s="1" t="s">
        <v>46</v>
      </c>
      <c r="B2855" s="1" t="s">
        <v>5606</v>
      </c>
      <c r="C2855" s="1" t="s">
        <v>5606</v>
      </c>
      <c r="G2855" s="16"/>
      <c r="M2855">
        <v>1</v>
      </c>
      <c r="N2855">
        <v>110</v>
      </c>
      <c r="O2855">
        <v>0</v>
      </c>
      <c r="P2855">
        <v>2.5</v>
      </c>
      <c r="Q2855">
        <v>275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400158</v>
      </c>
      <c r="X2855" t="s">
        <v>56</v>
      </c>
      <c r="Y2855" t="s">
        <v>57</v>
      </c>
      <c r="AE2855">
        <v>0</v>
      </c>
      <c r="AP2855" t="s">
        <v>61</v>
      </c>
    </row>
    <row r="2856" spans="1:42">
      <c r="A2856" s="1" t="s">
        <v>46</v>
      </c>
      <c r="B2856" s="1" t="s">
        <v>5607</v>
      </c>
      <c r="C2856" s="1" t="s">
        <v>5607</v>
      </c>
      <c r="G2856" s="16"/>
      <c r="M2856">
        <v>1</v>
      </c>
      <c r="N2856">
        <v>14</v>
      </c>
      <c r="O2856">
        <v>0</v>
      </c>
      <c r="P2856">
        <v>2.5</v>
      </c>
      <c r="Q2856">
        <v>35</v>
      </c>
      <c r="R2856">
        <v>0</v>
      </c>
      <c r="S2856">
        <v>0</v>
      </c>
      <c r="T2856">
        <v>0</v>
      </c>
      <c r="W2856">
        <v>400017</v>
      </c>
      <c r="AE2856">
        <v>0</v>
      </c>
      <c r="AP2856" t="s">
        <v>49</v>
      </c>
    </row>
    <row r="2857" spans="1:42">
      <c r="A2857" s="1" t="s">
        <v>46</v>
      </c>
      <c r="B2857" s="1" t="s">
        <v>5608</v>
      </c>
      <c r="C2857" s="1" t="s">
        <v>5608</v>
      </c>
      <c r="G2857" s="16"/>
      <c r="M2857">
        <v>1</v>
      </c>
      <c r="N2857">
        <v>164</v>
      </c>
      <c r="O2857">
        <v>0</v>
      </c>
      <c r="P2857">
        <v>1.5</v>
      </c>
      <c r="Q2857">
        <v>246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400017</v>
      </c>
      <c r="X2857" t="s">
        <v>56</v>
      </c>
      <c r="Y2857" t="s">
        <v>57</v>
      </c>
      <c r="AE2857">
        <v>0</v>
      </c>
      <c r="AP2857" t="s">
        <v>49</v>
      </c>
    </row>
    <row r="2858" spans="1:42">
      <c r="A2858" s="1" t="s">
        <v>46</v>
      </c>
      <c r="B2858" s="1" t="s">
        <v>5609</v>
      </c>
      <c r="C2858" s="1" t="s">
        <v>5609</v>
      </c>
      <c r="G2858" s="16"/>
      <c r="M2858">
        <v>1</v>
      </c>
      <c r="N2858">
        <v>14</v>
      </c>
      <c r="O2858">
        <v>0</v>
      </c>
      <c r="P2858">
        <v>3.25</v>
      </c>
      <c r="Q2858">
        <v>45.5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400017</v>
      </c>
      <c r="X2858" t="s">
        <v>56</v>
      </c>
      <c r="Y2858" t="s">
        <v>57</v>
      </c>
      <c r="AE2858">
        <v>0</v>
      </c>
      <c r="AP2858" t="s">
        <v>49</v>
      </c>
    </row>
    <row r="2859" spans="1:42">
      <c r="A2859" s="1" t="s">
        <v>46</v>
      </c>
      <c r="B2859" s="1" t="s">
        <v>5610</v>
      </c>
      <c r="C2859" s="1" t="s">
        <v>5610</v>
      </c>
      <c r="G2859" s="16"/>
      <c r="M2859">
        <v>1</v>
      </c>
      <c r="N2859">
        <v>2215</v>
      </c>
      <c r="O2859">
        <v>0</v>
      </c>
      <c r="P2859">
        <v>0.35</v>
      </c>
      <c r="Q2859">
        <v>775.25</v>
      </c>
      <c r="R2859">
        <v>0</v>
      </c>
      <c r="S2859">
        <v>0</v>
      </c>
      <c r="T2859" t="s">
        <v>52</v>
      </c>
      <c r="U2859">
        <v>0</v>
      </c>
      <c r="V2859">
        <v>0</v>
      </c>
      <c r="W2859">
        <v>400158</v>
      </c>
      <c r="X2859" t="s">
        <v>56</v>
      </c>
      <c r="Y2859" t="s">
        <v>57</v>
      </c>
      <c r="AE2859">
        <v>0</v>
      </c>
      <c r="AP2859" t="s">
        <v>61</v>
      </c>
    </row>
    <row r="2860" spans="1:42">
      <c r="A2860" s="1" t="s">
        <v>46</v>
      </c>
      <c r="B2860" s="1" t="s">
        <v>5611</v>
      </c>
      <c r="C2860" s="1" t="s">
        <v>5611</v>
      </c>
      <c r="G2860" s="16"/>
      <c r="M2860">
        <v>1</v>
      </c>
      <c r="N2860">
        <v>538</v>
      </c>
      <c r="O2860">
        <v>0</v>
      </c>
      <c r="P2860">
        <v>0.88</v>
      </c>
      <c r="Q2860">
        <v>470.75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400091</v>
      </c>
      <c r="X2860" t="s">
        <v>56</v>
      </c>
      <c r="Y2860" t="s">
        <v>57</v>
      </c>
      <c r="AE2860">
        <v>0</v>
      </c>
      <c r="AP2860" t="s">
        <v>3931</v>
      </c>
    </row>
    <row r="2861" spans="1:42">
      <c r="A2861" s="1" t="s">
        <v>46</v>
      </c>
      <c r="B2861" s="1" t="s">
        <v>5612</v>
      </c>
      <c r="C2861" s="1" t="s">
        <v>5612</v>
      </c>
      <c r="G2861" s="16"/>
      <c r="M2861">
        <v>1</v>
      </c>
      <c r="N2861">
        <v>89</v>
      </c>
      <c r="O2861">
        <v>0</v>
      </c>
      <c r="P2861">
        <v>0.6</v>
      </c>
      <c r="Q2861">
        <v>53.4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400158</v>
      </c>
      <c r="X2861" t="s">
        <v>56</v>
      </c>
      <c r="Y2861" t="s">
        <v>57</v>
      </c>
      <c r="AE2861">
        <v>0</v>
      </c>
      <c r="AP2861" t="s">
        <v>61</v>
      </c>
    </row>
    <row r="2862" spans="1:42">
      <c r="A2862" s="1" t="s">
        <v>46</v>
      </c>
      <c r="B2862" s="1" t="s">
        <v>5613</v>
      </c>
      <c r="C2862" s="1" t="s">
        <v>5613</v>
      </c>
      <c r="G2862" s="16"/>
      <c r="M2862">
        <v>1</v>
      </c>
      <c r="N2862">
        <v>4</v>
      </c>
      <c r="O2862">
        <v>0</v>
      </c>
      <c r="P2862">
        <v>1.5</v>
      </c>
      <c r="Q2862">
        <v>6</v>
      </c>
      <c r="R2862">
        <v>0</v>
      </c>
      <c r="S2862">
        <v>0</v>
      </c>
      <c r="T2862" t="s">
        <v>52</v>
      </c>
      <c r="U2862">
        <v>0</v>
      </c>
      <c r="V2862">
        <v>0</v>
      </c>
      <c r="W2862">
        <v>400017</v>
      </c>
      <c r="AE2862">
        <v>0</v>
      </c>
      <c r="AP2862" t="s">
        <v>49</v>
      </c>
    </row>
    <row r="2863" spans="1:42">
      <c r="A2863" s="1" t="s">
        <v>46</v>
      </c>
      <c r="B2863" s="1" t="s">
        <v>5614</v>
      </c>
      <c r="C2863" s="1" t="s">
        <v>5614</v>
      </c>
      <c r="G2863" s="16"/>
      <c r="M2863">
        <v>1</v>
      </c>
      <c r="N2863">
        <v>97</v>
      </c>
      <c r="O2863">
        <v>0</v>
      </c>
      <c r="P2863">
        <v>1</v>
      </c>
      <c r="Q2863">
        <v>97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400017</v>
      </c>
      <c r="AE2863">
        <v>0</v>
      </c>
      <c r="AP2863" t="s">
        <v>49</v>
      </c>
    </row>
    <row r="2864" spans="1:42">
      <c r="A2864" s="1" t="s">
        <v>46</v>
      </c>
      <c r="B2864" s="1" t="s">
        <v>5615</v>
      </c>
      <c r="C2864" s="1" t="s">
        <v>5615</v>
      </c>
      <c r="G2864" s="16"/>
      <c r="M2864">
        <v>1</v>
      </c>
      <c r="N2864">
        <v>-11</v>
      </c>
      <c r="O2864">
        <v>0</v>
      </c>
      <c r="P2864">
        <v>2.5</v>
      </c>
      <c r="Q2864">
        <v>-27.5</v>
      </c>
      <c r="R2864">
        <v>0</v>
      </c>
      <c r="S2864">
        <v>0</v>
      </c>
      <c r="T2864" t="s">
        <v>5616</v>
      </c>
      <c r="W2864">
        <v>400119</v>
      </c>
      <c r="AE2864">
        <v>0</v>
      </c>
      <c r="AP2864" t="s">
        <v>53</v>
      </c>
    </row>
    <row r="2865" spans="1:42">
      <c r="A2865" s="1" t="s">
        <v>46</v>
      </c>
      <c r="B2865" s="1" t="s">
        <v>5617</v>
      </c>
      <c r="C2865" s="1" t="s">
        <v>5617</v>
      </c>
      <c r="G2865" s="16"/>
      <c r="M2865">
        <v>1</v>
      </c>
      <c r="N2865">
        <v>-1</v>
      </c>
      <c r="O2865">
        <v>0</v>
      </c>
      <c r="P2865">
        <v>6.75</v>
      </c>
      <c r="Q2865">
        <v>-6.75</v>
      </c>
      <c r="R2865">
        <v>0</v>
      </c>
      <c r="S2865">
        <v>0</v>
      </c>
      <c r="T2865" t="s">
        <v>52</v>
      </c>
      <c r="U2865">
        <v>0</v>
      </c>
      <c r="V2865">
        <v>0</v>
      </c>
      <c r="W2865">
        <v>400032</v>
      </c>
      <c r="X2865" t="s">
        <v>56</v>
      </c>
      <c r="Y2865" t="s">
        <v>57</v>
      </c>
      <c r="AE2865">
        <v>0</v>
      </c>
      <c r="AP2865" t="s">
        <v>404</v>
      </c>
    </row>
    <row r="2866" spans="1:42">
      <c r="A2866" s="1" t="s">
        <v>46</v>
      </c>
      <c r="B2866" s="1" t="s">
        <v>5618</v>
      </c>
      <c r="C2866" s="1" t="s">
        <v>5618</v>
      </c>
      <c r="G2866" s="16"/>
      <c r="M2866">
        <v>1</v>
      </c>
      <c r="N2866">
        <v>-2</v>
      </c>
      <c r="O2866">
        <v>0</v>
      </c>
      <c r="P2866">
        <v>0.42</v>
      </c>
      <c r="Q2866">
        <v>-0.83</v>
      </c>
      <c r="R2866">
        <v>0</v>
      </c>
      <c r="S2866">
        <v>0</v>
      </c>
      <c r="T2866" t="s">
        <v>52</v>
      </c>
      <c r="W2866">
        <v>400017</v>
      </c>
      <c r="AE2866">
        <v>0</v>
      </c>
      <c r="AP2866" t="s">
        <v>49</v>
      </c>
    </row>
    <row r="2867" spans="1:42">
      <c r="A2867" s="1" t="s">
        <v>46</v>
      </c>
      <c r="B2867" s="1" t="s">
        <v>5619</v>
      </c>
      <c r="C2867" s="1" t="s">
        <v>5619</v>
      </c>
      <c r="G2867" s="16"/>
      <c r="M2867">
        <v>1</v>
      </c>
      <c r="N2867">
        <v>143</v>
      </c>
      <c r="O2867">
        <v>0</v>
      </c>
      <c r="P2867">
        <v>1.5</v>
      </c>
      <c r="Q2867">
        <v>214.5</v>
      </c>
      <c r="R2867">
        <v>0</v>
      </c>
      <c r="S2867">
        <v>0</v>
      </c>
      <c r="T2867">
        <v>0</v>
      </c>
      <c r="W2867">
        <v>400033</v>
      </c>
      <c r="AE2867">
        <v>0</v>
      </c>
      <c r="AP2867" t="s">
        <v>126</v>
      </c>
    </row>
    <row r="2868" spans="1:42">
      <c r="A2868" s="1" t="s">
        <v>46</v>
      </c>
      <c r="B2868" s="1" t="s">
        <v>5620</v>
      </c>
      <c r="C2868" s="1" t="s">
        <v>5620</v>
      </c>
      <c r="G2868" s="16"/>
      <c r="M2868">
        <v>1</v>
      </c>
      <c r="N2868">
        <v>19</v>
      </c>
      <c r="O2868">
        <v>0</v>
      </c>
      <c r="P2868">
        <v>15</v>
      </c>
      <c r="Q2868">
        <v>285</v>
      </c>
      <c r="R2868">
        <v>0</v>
      </c>
      <c r="S2868">
        <v>0</v>
      </c>
      <c r="T2868" t="s">
        <v>17</v>
      </c>
      <c r="U2868">
        <v>0</v>
      </c>
      <c r="V2868">
        <v>0</v>
      </c>
      <c r="W2868">
        <v>400066</v>
      </c>
      <c r="X2868" t="s">
        <v>56</v>
      </c>
      <c r="Y2868" t="s">
        <v>57</v>
      </c>
      <c r="AE2868">
        <v>0</v>
      </c>
      <c r="AP2868" t="s">
        <v>680</v>
      </c>
    </row>
    <row r="2869" spans="1:42">
      <c r="A2869" s="1" t="s">
        <v>46</v>
      </c>
      <c r="B2869" s="1" t="s">
        <v>5621</v>
      </c>
      <c r="C2869" s="1" t="s">
        <v>5621</v>
      </c>
      <c r="G2869" s="16"/>
      <c r="M2869">
        <v>1</v>
      </c>
      <c r="N2869">
        <v>26</v>
      </c>
      <c r="O2869">
        <v>0</v>
      </c>
      <c r="P2869">
        <v>100</v>
      </c>
      <c r="Q2869">
        <v>2600</v>
      </c>
      <c r="R2869">
        <v>0</v>
      </c>
      <c r="S2869">
        <v>0</v>
      </c>
      <c r="T2869" t="s">
        <v>52</v>
      </c>
      <c r="W2869">
        <v>400028</v>
      </c>
      <c r="AE2869">
        <v>0</v>
      </c>
      <c r="AP2869" t="s">
        <v>246</v>
      </c>
    </row>
    <row r="2870" spans="1:42">
      <c r="A2870" s="1" t="s">
        <v>46</v>
      </c>
      <c r="B2870" s="1" t="s">
        <v>5622</v>
      </c>
      <c r="C2870" s="1" t="s">
        <v>5622</v>
      </c>
      <c r="G2870" s="16"/>
      <c r="M2870">
        <v>1</v>
      </c>
      <c r="N2870">
        <v>2</v>
      </c>
      <c r="O2870">
        <v>0</v>
      </c>
      <c r="P2870">
        <v>16</v>
      </c>
      <c r="Q2870">
        <v>32</v>
      </c>
      <c r="R2870">
        <v>0</v>
      </c>
      <c r="S2870">
        <v>0</v>
      </c>
      <c r="T2870" t="s">
        <v>52</v>
      </c>
      <c r="W2870">
        <v>400028</v>
      </c>
      <c r="AE2870">
        <v>0</v>
      </c>
      <c r="AP2870" t="s">
        <v>246</v>
      </c>
    </row>
    <row r="2871" spans="1:42">
      <c r="A2871" s="1" t="s">
        <v>46</v>
      </c>
      <c r="B2871" s="1" t="s">
        <v>5623</v>
      </c>
      <c r="C2871" s="1" t="s">
        <v>5623</v>
      </c>
      <c r="G2871" s="16"/>
      <c r="M2871">
        <v>1</v>
      </c>
      <c r="N2871">
        <v>840</v>
      </c>
      <c r="O2871">
        <v>0</v>
      </c>
      <c r="P2871">
        <v>12.34</v>
      </c>
      <c r="Q2871">
        <v>10363.629999999999</v>
      </c>
      <c r="R2871">
        <v>0</v>
      </c>
      <c r="S2871">
        <v>0</v>
      </c>
      <c r="T2871" t="s">
        <v>52</v>
      </c>
      <c r="U2871">
        <v>0</v>
      </c>
      <c r="V2871">
        <v>0</v>
      </c>
      <c r="W2871">
        <v>400068</v>
      </c>
      <c r="X2871" t="s">
        <v>56</v>
      </c>
      <c r="Y2871" t="s">
        <v>57</v>
      </c>
      <c r="AE2871">
        <v>0</v>
      </c>
      <c r="AP2871" t="s">
        <v>872</v>
      </c>
    </row>
    <row r="2872" spans="1:42">
      <c r="A2872" s="1" t="s">
        <v>46</v>
      </c>
      <c r="B2872" s="1" t="s">
        <v>5624</v>
      </c>
      <c r="C2872" s="1" t="s">
        <v>5624</v>
      </c>
      <c r="G2872" s="16"/>
      <c r="I2872">
        <v>7000</v>
      </c>
      <c r="M2872">
        <v>1</v>
      </c>
      <c r="N2872">
        <v>558</v>
      </c>
      <c r="O2872">
        <v>0</v>
      </c>
      <c r="P2872">
        <v>3</v>
      </c>
      <c r="Q2872">
        <v>1674</v>
      </c>
      <c r="R2872">
        <v>0</v>
      </c>
      <c r="S2872">
        <v>0</v>
      </c>
      <c r="T2872" t="s">
        <v>52</v>
      </c>
      <c r="U2872">
        <v>0</v>
      </c>
      <c r="V2872">
        <v>0</v>
      </c>
      <c r="W2872">
        <v>400033</v>
      </c>
      <c r="X2872" t="s">
        <v>56</v>
      </c>
      <c r="Y2872" t="s">
        <v>57</v>
      </c>
      <c r="AE2872">
        <v>0</v>
      </c>
      <c r="AH2872">
        <v>7000</v>
      </c>
      <c r="AP2872" t="s">
        <v>126</v>
      </c>
    </row>
    <row r="2873" spans="1:42">
      <c r="A2873" s="1" t="s">
        <v>46</v>
      </c>
      <c r="B2873" s="1" t="s">
        <v>5625</v>
      </c>
      <c r="C2873" s="1" t="s">
        <v>5625</v>
      </c>
      <c r="G2873" s="16"/>
      <c r="M2873">
        <v>1</v>
      </c>
      <c r="N2873">
        <v>5</v>
      </c>
      <c r="O2873">
        <v>0</v>
      </c>
      <c r="P2873">
        <v>10</v>
      </c>
      <c r="Q2873">
        <v>50</v>
      </c>
      <c r="R2873">
        <v>0</v>
      </c>
      <c r="S2873">
        <v>0</v>
      </c>
      <c r="T2873" t="s">
        <v>52</v>
      </c>
      <c r="W2873">
        <v>400028</v>
      </c>
      <c r="AE2873">
        <v>0</v>
      </c>
      <c r="AP2873" t="s">
        <v>246</v>
      </c>
    </row>
    <row r="2874" spans="1:42">
      <c r="A2874" s="1" t="s">
        <v>46</v>
      </c>
      <c r="B2874" s="1" t="s">
        <v>5626</v>
      </c>
      <c r="C2874" s="1" t="s">
        <v>5626</v>
      </c>
      <c r="G2874" s="16"/>
      <c r="M2874">
        <v>1</v>
      </c>
      <c r="N2874">
        <v>249</v>
      </c>
      <c r="O2874">
        <v>0</v>
      </c>
      <c r="P2874">
        <v>30</v>
      </c>
      <c r="Q2874">
        <v>7470</v>
      </c>
      <c r="R2874">
        <v>0</v>
      </c>
      <c r="S2874">
        <v>0</v>
      </c>
      <c r="T2874" t="s">
        <v>52</v>
      </c>
      <c r="U2874">
        <v>0</v>
      </c>
      <c r="V2874">
        <v>0</v>
      </c>
      <c r="W2874">
        <v>400212</v>
      </c>
      <c r="AE2874">
        <v>0</v>
      </c>
      <c r="AP2874" t="s">
        <v>4455</v>
      </c>
    </row>
    <row r="2875" spans="1:42">
      <c r="A2875" s="1" t="s">
        <v>46</v>
      </c>
      <c r="B2875" s="1" t="s">
        <v>5627</v>
      </c>
      <c r="C2875" s="1" t="s">
        <v>5627</v>
      </c>
      <c r="G2875" s="16"/>
      <c r="M2875">
        <v>1</v>
      </c>
      <c r="N2875">
        <v>58</v>
      </c>
      <c r="O2875">
        <v>0</v>
      </c>
      <c r="P2875">
        <v>6</v>
      </c>
      <c r="Q2875">
        <v>348</v>
      </c>
      <c r="R2875">
        <v>0</v>
      </c>
      <c r="S2875">
        <v>0</v>
      </c>
      <c r="T2875" t="s">
        <v>52</v>
      </c>
      <c r="U2875" t="s">
        <v>52</v>
      </c>
      <c r="V2875">
        <v>0</v>
      </c>
      <c r="W2875">
        <v>410302</v>
      </c>
      <c r="AE2875">
        <v>0</v>
      </c>
      <c r="AP2875" t="s">
        <v>177</v>
      </c>
    </row>
    <row r="2876" spans="1:42">
      <c r="A2876" s="1" t="s">
        <v>46</v>
      </c>
      <c r="B2876" s="1" t="s">
        <v>5628</v>
      </c>
      <c r="C2876" s="1" t="s">
        <v>5628</v>
      </c>
      <c r="G2876" s="16"/>
      <c r="M2876">
        <v>1</v>
      </c>
      <c r="N2876">
        <v>4</v>
      </c>
      <c r="O2876">
        <v>0</v>
      </c>
      <c r="P2876">
        <v>17</v>
      </c>
      <c r="Q2876">
        <v>68</v>
      </c>
      <c r="R2876">
        <v>0</v>
      </c>
      <c r="S2876">
        <v>0</v>
      </c>
      <c r="T2876" t="s">
        <v>52</v>
      </c>
      <c r="W2876">
        <v>400033</v>
      </c>
      <c r="AE2876">
        <v>0</v>
      </c>
      <c r="AP2876" t="s">
        <v>126</v>
      </c>
    </row>
    <row r="2877" spans="1:42">
      <c r="G2877" s="16"/>
    </row>
    <row r="2878" spans="1:42">
      <c r="G2878" s="16"/>
    </row>
    <row r="2879" spans="1:42">
      <c r="A2879" s="1" t="s">
        <v>46</v>
      </c>
      <c r="B2879" s="1" t="s">
        <v>5629</v>
      </c>
      <c r="C2879" s="1" t="s">
        <v>5629</v>
      </c>
      <c r="G2879" s="16"/>
      <c r="M2879">
        <v>1</v>
      </c>
      <c r="N2879">
        <v>100</v>
      </c>
      <c r="O2879">
        <v>0</v>
      </c>
      <c r="P2879">
        <v>0.75</v>
      </c>
      <c r="Q2879">
        <v>75</v>
      </c>
      <c r="R2879">
        <v>0</v>
      </c>
      <c r="S2879">
        <v>0</v>
      </c>
      <c r="T2879" t="s">
        <v>52</v>
      </c>
      <c r="W2879">
        <v>400033</v>
      </c>
      <c r="AE2879">
        <v>0</v>
      </c>
      <c r="AP2879" t="s">
        <v>126</v>
      </c>
    </row>
    <row r="2880" spans="1:42">
      <c r="A2880" s="1" t="s">
        <v>46</v>
      </c>
      <c r="B2880" s="1" t="s">
        <v>5630</v>
      </c>
      <c r="C2880" s="1" t="s">
        <v>5630</v>
      </c>
      <c r="G2880" s="16"/>
      <c r="M2880">
        <v>1</v>
      </c>
      <c r="N2880">
        <v>441</v>
      </c>
      <c r="O2880">
        <v>0</v>
      </c>
      <c r="P2880">
        <v>2</v>
      </c>
      <c r="Q2880">
        <v>882</v>
      </c>
      <c r="R2880">
        <v>0</v>
      </c>
      <c r="S2880">
        <v>0</v>
      </c>
      <c r="T2880" t="s">
        <v>52</v>
      </c>
      <c r="U2880">
        <v>0</v>
      </c>
      <c r="V2880">
        <v>0</v>
      </c>
      <c r="W2880">
        <v>400158</v>
      </c>
      <c r="X2880" t="s">
        <v>56</v>
      </c>
      <c r="Y2880" t="s">
        <v>57</v>
      </c>
      <c r="AE2880">
        <v>0</v>
      </c>
      <c r="AP2880" t="s">
        <v>61</v>
      </c>
    </row>
    <row r="2881" spans="1:42">
      <c r="A2881" s="1" t="s">
        <v>46</v>
      </c>
      <c r="B2881" s="1" t="s">
        <v>5631</v>
      </c>
      <c r="C2881" s="1" t="s">
        <v>5631</v>
      </c>
      <c r="G2881" s="16"/>
      <c r="M2881">
        <v>1</v>
      </c>
      <c r="N2881">
        <v>260</v>
      </c>
      <c r="O2881">
        <v>0</v>
      </c>
      <c r="P2881">
        <v>1.75</v>
      </c>
      <c r="Q2881">
        <v>455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410302</v>
      </c>
      <c r="AE2881">
        <v>0</v>
      </c>
      <c r="AP2881" t="s">
        <v>177</v>
      </c>
    </row>
    <row r="2882" spans="1:42">
      <c r="A2882" s="1" t="s">
        <v>46</v>
      </c>
      <c r="B2882" s="1" t="s">
        <v>5632</v>
      </c>
      <c r="C2882" s="1" t="s">
        <v>5632</v>
      </c>
      <c r="G2882" s="16"/>
      <c r="M2882">
        <v>1</v>
      </c>
      <c r="N2882">
        <v>451</v>
      </c>
      <c r="O2882">
        <v>0</v>
      </c>
      <c r="P2882">
        <v>1.2</v>
      </c>
      <c r="Q2882">
        <v>541.20000000000005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410302</v>
      </c>
      <c r="AE2882">
        <v>0</v>
      </c>
      <c r="AP2882" t="s">
        <v>177</v>
      </c>
    </row>
    <row r="2883" spans="1:42">
      <c r="A2883" s="1" t="s">
        <v>46</v>
      </c>
      <c r="B2883" s="1" t="s">
        <v>5633</v>
      </c>
      <c r="C2883" s="1" t="s">
        <v>5633</v>
      </c>
      <c r="G2883" s="16"/>
      <c r="M2883">
        <v>1</v>
      </c>
      <c r="N2883">
        <v>106</v>
      </c>
      <c r="O2883">
        <v>0</v>
      </c>
      <c r="P2883">
        <v>1.4</v>
      </c>
      <c r="Q2883">
        <v>148.4</v>
      </c>
      <c r="R2883">
        <v>0</v>
      </c>
      <c r="S2883">
        <v>0</v>
      </c>
      <c r="T2883" t="s">
        <v>17</v>
      </c>
      <c r="W2883">
        <v>410302</v>
      </c>
      <c r="AE2883">
        <v>0</v>
      </c>
      <c r="AP2883" t="s">
        <v>177</v>
      </c>
    </row>
    <row r="2884" spans="1:42">
      <c r="A2884" s="1" t="s">
        <v>46</v>
      </c>
      <c r="B2884" s="1" t="s">
        <v>5634</v>
      </c>
      <c r="C2884" s="1" t="s">
        <v>5634</v>
      </c>
      <c r="G2884" s="16"/>
      <c r="M2884">
        <v>1</v>
      </c>
      <c r="N2884">
        <v>312</v>
      </c>
      <c r="O2884">
        <v>0</v>
      </c>
      <c r="P2884">
        <v>0.8</v>
      </c>
      <c r="Q2884">
        <v>249.6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410302</v>
      </c>
      <c r="AE2884">
        <v>0</v>
      </c>
      <c r="AP2884" t="s">
        <v>177</v>
      </c>
    </row>
    <row r="2885" spans="1:42">
      <c r="A2885" s="1" t="s">
        <v>46</v>
      </c>
      <c r="B2885" s="1" t="s">
        <v>5635</v>
      </c>
      <c r="C2885" s="1" t="s">
        <v>5635</v>
      </c>
      <c r="G2885" s="16"/>
      <c r="M2885">
        <v>1</v>
      </c>
      <c r="N2885">
        <v>729</v>
      </c>
      <c r="O2885">
        <v>0</v>
      </c>
      <c r="P2885">
        <v>1</v>
      </c>
      <c r="Q2885">
        <v>729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410302</v>
      </c>
      <c r="AE2885">
        <v>0</v>
      </c>
      <c r="AP2885" t="s">
        <v>177</v>
      </c>
    </row>
    <row r="2886" spans="1:42">
      <c r="A2886" s="1" t="s">
        <v>46</v>
      </c>
      <c r="B2886" s="1" t="s">
        <v>5636</v>
      </c>
      <c r="C2886" s="1" t="s">
        <v>5636</v>
      </c>
      <c r="G2886" s="16"/>
      <c r="M2886">
        <v>1</v>
      </c>
      <c r="N2886">
        <v>3</v>
      </c>
      <c r="O2886">
        <v>0</v>
      </c>
      <c r="P2886">
        <v>8.75</v>
      </c>
      <c r="Q2886">
        <v>26.25</v>
      </c>
      <c r="R2886">
        <v>0</v>
      </c>
      <c r="S2886">
        <v>0</v>
      </c>
      <c r="T2886" t="s">
        <v>52</v>
      </c>
      <c r="W2886">
        <v>400140</v>
      </c>
      <c r="AE2886">
        <v>0</v>
      </c>
      <c r="AP2886" t="s">
        <v>4033</v>
      </c>
    </row>
    <row r="2887" spans="1:42">
      <c r="A2887" s="1" t="s">
        <v>46</v>
      </c>
      <c r="B2887" s="1" t="s">
        <v>5637</v>
      </c>
      <c r="C2887" s="1" t="s">
        <v>5637</v>
      </c>
      <c r="G2887" s="16"/>
      <c r="M2887">
        <v>1</v>
      </c>
      <c r="N2887">
        <v>74</v>
      </c>
      <c r="O2887">
        <v>0</v>
      </c>
      <c r="P2887">
        <v>3.5</v>
      </c>
      <c r="Q2887">
        <v>259</v>
      </c>
      <c r="R2887">
        <v>0</v>
      </c>
      <c r="S2887">
        <v>0</v>
      </c>
      <c r="T2887" t="s">
        <v>4637</v>
      </c>
      <c r="U2887">
        <v>0</v>
      </c>
      <c r="V2887">
        <v>0</v>
      </c>
      <c r="W2887">
        <v>400032</v>
      </c>
      <c r="X2887" t="s">
        <v>56</v>
      </c>
      <c r="Y2887" t="s">
        <v>57</v>
      </c>
      <c r="AE2887">
        <v>0</v>
      </c>
      <c r="AP2887" t="s">
        <v>404</v>
      </c>
    </row>
    <row r="2888" spans="1:42">
      <c r="A2888" s="1" t="s">
        <v>46</v>
      </c>
      <c r="B2888" s="1" t="s">
        <v>5638</v>
      </c>
      <c r="C2888" s="1" t="s">
        <v>5638</v>
      </c>
      <c r="G2888" s="16"/>
      <c r="M2888">
        <v>1</v>
      </c>
      <c r="N2888">
        <v>188.8</v>
      </c>
      <c r="O2888">
        <v>0</v>
      </c>
      <c r="P2888">
        <v>4.79</v>
      </c>
      <c r="Q2888">
        <v>904.35</v>
      </c>
      <c r="R2888">
        <v>0</v>
      </c>
      <c r="S2888">
        <v>0</v>
      </c>
      <c r="T2888" t="s">
        <v>52</v>
      </c>
      <c r="W2888">
        <v>400026</v>
      </c>
      <c r="AE2888">
        <v>0</v>
      </c>
      <c r="AP2888" t="s">
        <v>187</v>
      </c>
    </row>
    <row r="2889" spans="1:42">
      <c r="A2889" s="1" t="s">
        <v>46</v>
      </c>
      <c r="B2889" s="1" t="s">
        <v>5639</v>
      </c>
      <c r="C2889" s="1" t="s">
        <v>5639</v>
      </c>
      <c r="G2889" s="16"/>
      <c r="M2889">
        <v>1</v>
      </c>
      <c r="N2889">
        <v>50</v>
      </c>
      <c r="O2889">
        <v>0</v>
      </c>
      <c r="P2889">
        <v>2.89</v>
      </c>
      <c r="Q2889">
        <v>144.30000000000001</v>
      </c>
      <c r="R2889">
        <v>0</v>
      </c>
      <c r="S2889">
        <v>0</v>
      </c>
      <c r="T2889">
        <v>0</v>
      </c>
      <c r="W2889">
        <v>400017</v>
      </c>
      <c r="AE2889">
        <v>0</v>
      </c>
      <c r="AP2889" t="s">
        <v>49</v>
      </c>
    </row>
    <row r="2890" spans="1:42">
      <c r="A2890" s="1" t="s">
        <v>46</v>
      </c>
      <c r="B2890" s="1" t="s">
        <v>5640</v>
      </c>
      <c r="C2890" s="1" t="s">
        <v>5640</v>
      </c>
      <c r="G2890" s="16"/>
      <c r="M2890">
        <v>1</v>
      </c>
      <c r="N2890">
        <v>50</v>
      </c>
      <c r="O2890">
        <v>0</v>
      </c>
      <c r="P2890">
        <v>2.78</v>
      </c>
      <c r="Q2890">
        <v>138.75</v>
      </c>
      <c r="AE2890">
        <v>0</v>
      </c>
    </row>
    <row r="2891" spans="1:42">
      <c r="A2891" s="1" t="s">
        <v>46</v>
      </c>
      <c r="B2891" s="1" t="s">
        <v>5641</v>
      </c>
      <c r="C2891" s="1" t="s">
        <v>5641</v>
      </c>
      <c r="G2891" s="16"/>
      <c r="M2891">
        <v>1</v>
      </c>
      <c r="N2891">
        <v>507</v>
      </c>
      <c r="O2891">
        <v>0</v>
      </c>
      <c r="P2891">
        <v>0.35</v>
      </c>
      <c r="Q2891">
        <v>176.53</v>
      </c>
      <c r="R2891">
        <v>0</v>
      </c>
      <c r="S2891">
        <v>0</v>
      </c>
      <c r="T2891" t="s">
        <v>52</v>
      </c>
      <c r="U2891" t="s">
        <v>52</v>
      </c>
      <c r="V2891">
        <v>0</v>
      </c>
      <c r="W2891">
        <v>400158</v>
      </c>
      <c r="X2891" t="s">
        <v>56</v>
      </c>
      <c r="Y2891" t="s">
        <v>57</v>
      </c>
      <c r="AE2891">
        <v>0</v>
      </c>
      <c r="AP2891" t="s">
        <v>61</v>
      </c>
    </row>
    <row r="2892" spans="1:42">
      <c r="A2892" s="1" t="s">
        <v>46</v>
      </c>
      <c r="B2892" s="1" t="s">
        <v>5642</v>
      </c>
      <c r="C2892" s="1" t="s">
        <v>5642</v>
      </c>
      <c r="G2892" s="16"/>
      <c r="M2892">
        <v>1</v>
      </c>
      <c r="N2892">
        <v>3</v>
      </c>
      <c r="O2892">
        <v>0</v>
      </c>
      <c r="P2892">
        <v>3</v>
      </c>
      <c r="Q2892">
        <v>9</v>
      </c>
      <c r="R2892">
        <v>0</v>
      </c>
      <c r="S2892">
        <v>0</v>
      </c>
      <c r="T2892" t="s">
        <v>52</v>
      </c>
      <c r="W2892">
        <v>400140</v>
      </c>
      <c r="AE2892">
        <v>0</v>
      </c>
      <c r="AP2892" t="s">
        <v>4033</v>
      </c>
    </row>
    <row r="2893" spans="1:42">
      <c r="A2893" s="1" t="s">
        <v>46</v>
      </c>
      <c r="B2893" s="1" t="s">
        <v>5643</v>
      </c>
      <c r="C2893" s="1" t="s">
        <v>5643</v>
      </c>
      <c r="G2893" s="16"/>
      <c r="M2893">
        <v>1</v>
      </c>
      <c r="N2893">
        <v>-1</v>
      </c>
      <c r="O2893">
        <v>0</v>
      </c>
      <c r="P2893">
        <v>4</v>
      </c>
      <c r="Q2893">
        <v>-4</v>
      </c>
      <c r="R2893">
        <v>0</v>
      </c>
      <c r="S2893">
        <v>0</v>
      </c>
      <c r="T2893" t="s">
        <v>52</v>
      </c>
      <c r="W2893">
        <v>400017</v>
      </c>
      <c r="AE2893">
        <v>0</v>
      </c>
      <c r="AP2893" t="s">
        <v>49</v>
      </c>
    </row>
    <row r="2894" spans="1:42">
      <c r="G2894" s="16"/>
    </row>
    <row r="2895" spans="1:42">
      <c r="G2895" s="16"/>
    </row>
    <row r="2896" spans="1:42">
      <c r="A2896" s="1" t="s">
        <v>46</v>
      </c>
      <c r="B2896" s="1" t="s">
        <v>5644</v>
      </c>
      <c r="C2896" s="1" t="s">
        <v>5644</v>
      </c>
      <c r="G2896" s="16"/>
      <c r="M2896">
        <v>1</v>
      </c>
      <c r="N2896">
        <v>368</v>
      </c>
      <c r="O2896">
        <v>0</v>
      </c>
      <c r="P2896">
        <v>62</v>
      </c>
      <c r="Q2896">
        <v>22816</v>
      </c>
      <c r="R2896">
        <v>0</v>
      </c>
      <c r="S2896">
        <v>0</v>
      </c>
      <c r="T2896" t="s">
        <v>52</v>
      </c>
      <c r="U2896">
        <v>0</v>
      </c>
      <c r="V2896">
        <v>0</v>
      </c>
      <c r="W2896">
        <v>400002</v>
      </c>
      <c r="X2896" t="s">
        <v>56</v>
      </c>
      <c r="Y2896" t="s">
        <v>57</v>
      </c>
      <c r="AE2896">
        <v>0</v>
      </c>
      <c r="AP2896" t="s">
        <v>116</v>
      </c>
    </row>
    <row r="2897" spans="1:42">
      <c r="G2897" s="16"/>
    </row>
    <row r="2898" spans="1:42">
      <c r="A2898" s="1" t="s">
        <v>46</v>
      </c>
      <c r="B2898" s="1" t="s">
        <v>5645</v>
      </c>
      <c r="C2898" s="1" t="s">
        <v>5645</v>
      </c>
      <c r="G2898" s="16"/>
      <c r="M2898">
        <v>1</v>
      </c>
      <c r="N2898">
        <v>2</v>
      </c>
      <c r="O2898">
        <v>0</v>
      </c>
      <c r="P2898">
        <v>80</v>
      </c>
      <c r="Q2898">
        <v>160</v>
      </c>
      <c r="W2898">
        <v>400130</v>
      </c>
      <c r="AE2898">
        <v>0</v>
      </c>
      <c r="AP2898" t="s">
        <v>139</v>
      </c>
    </row>
    <row r="2899" spans="1:42">
      <c r="A2899" s="1" t="s">
        <v>46</v>
      </c>
      <c r="B2899" s="1" t="s">
        <v>5646</v>
      </c>
      <c r="C2899" s="1" t="s">
        <v>5646</v>
      </c>
      <c r="G2899" s="16"/>
      <c r="M2899">
        <v>1</v>
      </c>
      <c r="N2899">
        <v>-9</v>
      </c>
      <c r="O2899">
        <v>0</v>
      </c>
      <c r="P2899">
        <v>120</v>
      </c>
      <c r="Q2899">
        <v>-1080</v>
      </c>
      <c r="R2899">
        <v>0</v>
      </c>
      <c r="S2899">
        <v>0</v>
      </c>
      <c r="T2899" t="s">
        <v>17</v>
      </c>
      <c r="W2899">
        <v>400111</v>
      </c>
      <c r="AE2899">
        <v>0</v>
      </c>
      <c r="AP2899" t="s">
        <v>646</v>
      </c>
    </row>
    <row r="2900" spans="1:42">
      <c r="G2900" s="16"/>
    </row>
    <row r="2901" spans="1:42">
      <c r="G2901" s="16"/>
    </row>
    <row r="2902" spans="1:42">
      <c r="G2902" s="16"/>
    </row>
    <row r="2903" spans="1:42">
      <c r="A2903" s="1" t="s">
        <v>46</v>
      </c>
      <c r="B2903" s="1" t="s">
        <v>5647</v>
      </c>
      <c r="C2903" s="1" t="s">
        <v>5647</v>
      </c>
      <c r="G2903" s="16"/>
      <c r="M2903">
        <v>1</v>
      </c>
      <c r="N2903">
        <v>-1</v>
      </c>
      <c r="O2903">
        <v>0</v>
      </c>
      <c r="P2903">
        <v>127</v>
      </c>
      <c r="Q2903">
        <v>-127</v>
      </c>
      <c r="R2903">
        <v>0</v>
      </c>
      <c r="S2903">
        <v>0</v>
      </c>
      <c r="T2903" t="s">
        <v>17</v>
      </c>
      <c r="W2903">
        <v>400111</v>
      </c>
      <c r="AE2903">
        <v>0</v>
      </c>
      <c r="AP2903" t="s">
        <v>646</v>
      </c>
    </row>
    <row r="2904" spans="1:42">
      <c r="A2904" s="1" t="s">
        <v>46</v>
      </c>
      <c r="B2904" s="1" t="s">
        <v>5648</v>
      </c>
      <c r="C2904" s="1" t="s">
        <v>5648</v>
      </c>
      <c r="G2904" s="16"/>
      <c r="M2904">
        <v>1</v>
      </c>
      <c r="N2904">
        <v>3</v>
      </c>
      <c r="O2904">
        <v>0</v>
      </c>
      <c r="P2904">
        <v>24.42</v>
      </c>
      <c r="Q2904">
        <v>73.260000000000005</v>
      </c>
      <c r="W2904">
        <v>400120</v>
      </c>
      <c r="AE2904">
        <v>0</v>
      </c>
      <c r="AP2904" t="s">
        <v>468</v>
      </c>
    </row>
    <row r="2905" spans="1:42">
      <c r="A2905" s="1" t="s">
        <v>46</v>
      </c>
      <c r="B2905" s="1" t="s">
        <v>5649</v>
      </c>
      <c r="C2905" s="1" t="s">
        <v>5649</v>
      </c>
      <c r="G2905" s="16"/>
      <c r="M2905">
        <v>1</v>
      </c>
      <c r="N2905">
        <v>10</v>
      </c>
      <c r="O2905">
        <v>0</v>
      </c>
      <c r="P2905">
        <v>2.9</v>
      </c>
      <c r="Q2905">
        <v>28.97</v>
      </c>
      <c r="W2905">
        <v>400046</v>
      </c>
      <c r="AE2905">
        <v>0</v>
      </c>
      <c r="AP2905" t="s">
        <v>407</v>
      </c>
    </row>
    <row r="2906" spans="1:42">
      <c r="A2906" s="1" t="s">
        <v>46</v>
      </c>
      <c r="B2906" s="1" t="s">
        <v>5650</v>
      </c>
      <c r="C2906" s="1" t="s">
        <v>5650</v>
      </c>
      <c r="G2906" s="16"/>
      <c r="M2906">
        <v>1</v>
      </c>
      <c r="N2906">
        <v>53</v>
      </c>
      <c r="O2906">
        <v>0</v>
      </c>
      <c r="P2906">
        <v>2.4</v>
      </c>
      <c r="Q2906">
        <v>127.2</v>
      </c>
      <c r="R2906">
        <v>0</v>
      </c>
      <c r="S2906">
        <v>0</v>
      </c>
      <c r="T2906">
        <v>0</v>
      </c>
      <c r="W2906">
        <v>400080</v>
      </c>
      <c r="AE2906">
        <v>0</v>
      </c>
      <c r="AP2906" t="s">
        <v>696</v>
      </c>
    </row>
    <row r="2907" spans="1:42">
      <c r="A2907" s="1" t="s">
        <v>46</v>
      </c>
      <c r="B2907" s="1" t="s">
        <v>5651</v>
      </c>
      <c r="C2907" s="1" t="s">
        <v>5651</v>
      </c>
      <c r="G2907" s="16"/>
      <c r="M2907">
        <v>1</v>
      </c>
      <c r="N2907">
        <v>-1</v>
      </c>
      <c r="O2907">
        <v>0</v>
      </c>
      <c r="W2907">
        <v>410302</v>
      </c>
      <c r="AE2907">
        <v>0</v>
      </c>
      <c r="AP2907" t="s">
        <v>177</v>
      </c>
    </row>
    <row r="2908" spans="1:42">
      <c r="G2908" s="16"/>
    </row>
    <row r="2909" spans="1:42">
      <c r="G2909" s="16"/>
    </row>
    <row r="2910" spans="1:42">
      <c r="G2910" s="16"/>
    </row>
    <row r="2911" spans="1:42">
      <c r="G2911" s="16"/>
    </row>
    <row r="2912" spans="1:42">
      <c r="G2912" s="16"/>
    </row>
    <row r="2913" spans="1:42">
      <c r="G2913" s="16"/>
    </row>
    <row r="2914" spans="1:42">
      <c r="G2914" s="16"/>
    </row>
    <row r="2915" spans="1:42">
      <c r="G2915" s="16"/>
    </row>
    <row r="2916" spans="1:42">
      <c r="G2916" s="16"/>
    </row>
    <row r="2917" spans="1:42">
      <c r="G2917" s="16"/>
    </row>
    <row r="2918" spans="1:42">
      <c r="A2918" s="1" t="s">
        <v>46</v>
      </c>
      <c r="B2918" s="1" t="s">
        <v>5652</v>
      </c>
      <c r="C2918" s="1" t="s">
        <v>5652</v>
      </c>
      <c r="G2918" s="16"/>
      <c r="I2918">
        <v>6000</v>
      </c>
      <c r="M2918">
        <v>1</v>
      </c>
      <c r="N2918">
        <v>1266</v>
      </c>
      <c r="O2918">
        <v>0</v>
      </c>
      <c r="P2918">
        <v>4.3899999999999997</v>
      </c>
      <c r="Q2918">
        <v>5553.59</v>
      </c>
      <c r="R2918">
        <v>0</v>
      </c>
      <c r="S2918">
        <v>0</v>
      </c>
      <c r="T2918" t="s">
        <v>52</v>
      </c>
      <c r="U2918">
        <v>0</v>
      </c>
      <c r="V2918">
        <v>0</v>
      </c>
      <c r="W2918">
        <v>400028</v>
      </c>
      <c r="X2918" t="s">
        <v>56</v>
      </c>
      <c r="Y2918" t="s">
        <v>57</v>
      </c>
      <c r="AE2918">
        <v>0</v>
      </c>
      <c r="AH2918">
        <v>6000</v>
      </c>
      <c r="AP2918" t="s">
        <v>246</v>
      </c>
    </row>
    <row r="2919" spans="1:42">
      <c r="A2919" s="1" t="s">
        <v>46</v>
      </c>
      <c r="B2919" s="1" t="s">
        <v>5653</v>
      </c>
      <c r="C2919" s="1" t="s">
        <v>5653</v>
      </c>
      <c r="G2919" s="16"/>
      <c r="I2919">
        <v>10000</v>
      </c>
      <c r="M2919">
        <v>1</v>
      </c>
      <c r="N2919">
        <v>5434</v>
      </c>
      <c r="O2919">
        <v>0</v>
      </c>
      <c r="P2919">
        <v>2</v>
      </c>
      <c r="Q2919">
        <v>10868</v>
      </c>
      <c r="R2919">
        <v>0</v>
      </c>
      <c r="S2919">
        <v>0</v>
      </c>
      <c r="T2919" t="s">
        <v>52</v>
      </c>
      <c r="U2919">
        <v>0</v>
      </c>
      <c r="V2919">
        <v>0</v>
      </c>
      <c r="W2919">
        <v>400030</v>
      </c>
      <c r="X2919" t="s">
        <v>56</v>
      </c>
      <c r="Y2919" t="s">
        <v>57</v>
      </c>
      <c r="AE2919">
        <v>0</v>
      </c>
      <c r="AH2919">
        <v>10000</v>
      </c>
      <c r="AP2919" t="s">
        <v>92</v>
      </c>
    </row>
    <row r="2920" spans="1:42">
      <c r="A2920" s="1" t="s">
        <v>46</v>
      </c>
      <c r="B2920" s="1" t="s">
        <v>5654</v>
      </c>
      <c r="C2920" s="1" t="s">
        <v>5654</v>
      </c>
      <c r="G2920" s="16"/>
      <c r="M2920">
        <v>1</v>
      </c>
      <c r="N2920">
        <v>7264</v>
      </c>
      <c r="O2920">
        <v>0</v>
      </c>
      <c r="P2920">
        <v>2.5</v>
      </c>
      <c r="Q2920">
        <v>18160</v>
      </c>
      <c r="R2920">
        <v>0</v>
      </c>
      <c r="S2920">
        <v>0</v>
      </c>
      <c r="T2920" t="s">
        <v>52</v>
      </c>
      <c r="U2920">
        <v>0</v>
      </c>
      <c r="V2920">
        <v>0</v>
      </c>
      <c r="W2920">
        <v>410298</v>
      </c>
      <c r="X2920" t="s">
        <v>56</v>
      </c>
      <c r="Y2920" t="s">
        <v>57</v>
      </c>
      <c r="AE2920">
        <v>0</v>
      </c>
      <c r="AP2920" t="s">
        <v>162</v>
      </c>
    </row>
    <row r="2921" spans="1:42">
      <c r="G2921" s="16"/>
    </row>
    <row r="2922" spans="1:42">
      <c r="G2922" s="16"/>
    </row>
    <row r="2923" spans="1:42">
      <c r="G2923" s="16"/>
    </row>
    <row r="2924" spans="1:42">
      <c r="G2924" s="16"/>
    </row>
    <row r="2925" spans="1:42">
      <c r="G2925" s="16"/>
    </row>
    <row r="2926" spans="1:42">
      <c r="G2926" s="16"/>
    </row>
    <row r="2927" spans="1:42">
      <c r="A2927" s="1" t="s">
        <v>46</v>
      </c>
      <c r="B2927" s="1" t="s">
        <v>5655</v>
      </c>
      <c r="C2927" s="1" t="s">
        <v>5655</v>
      </c>
      <c r="G2927" s="16"/>
      <c r="M2927">
        <v>1</v>
      </c>
      <c r="N2927">
        <v>-3</v>
      </c>
      <c r="O2927">
        <v>0</v>
      </c>
      <c r="P2927">
        <v>6</v>
      </c>
      <c r="Q2927">
        <v>-18</v>
      </c>
      <c r="W2927">
        <v>400030</v>
      </c>
      <c r="AE2927">
        <v>0</v>
      </c>
      <c r="AP2927" t="s">
        <v>92</v>
      </c>
    </row>
    <row r="2928" spans="1:42">
      <c r="A2928" s="1" t="s">
        <v>46</v>
      </c>
      <c r="B2928" s="1" t="s">
        <v>5656</v>
      </c>
      <c r="C2928" s="1" t="s">
        <v>5656</v>
      </c>
      <c r="G2928" s="16"/>
      <c r="M2928">
        <v>1</v>
      </c>
      <c r="N2928">
        <v>15</v>
      </c>
      <c r="O2928">
        <v>0</v>
      </c>
      <c r="P2928">
        <v>0.57999999999999996</v>
      </c>
      <c r="Q2928">
        <v>8.75</v>
      </c>
      <c r="R2928">
        <v>0</v>
      </c>
      <c r="S2928">
        <v>0</v>
      </c>
      <c r="T2928" t="s">
        <v>52</v>
      </c>
      <c r="W2928">
        <v>400017</v>
      </c>
      <c r="AE2928">
        <v>0</v>
      </c>
      <c r="AP2928" t="s">
        <v>49</v>
      </c>
    </row>
    <row r="2929" spans="1:42">
      <c r="A2929" s="1" t="s">
        <v>46</v>
      </c>
      <c r="B2929" s="1" t="s">
        <v>5657</v>
      </c>
      <c r="C2929" s="1" t="s">
        <v>5657</v>
      </c>
      <c r="G2929" s="16"/>
      <c r="M2929">
        <v>1</v>
      </c>
      <c r="N2929">
        <v>2</v>
      </c>
      <c r="O2929">
        <v>0</v>
      </c>
      <c r="P2929">
        <v>1.75</v>
      </c>
      <c r="Q2929">
        <v>3.5</v>
      </c>
      <c r="R2929">
        <v>0</v>
      </c>
      <c r="S2929">
        <v>0</v>
      </c>
      <c r="T2929" t="s">
        <v>52</v>
      </c>
      <c r="W2929">
        <v>400017</v>
      </c>
      <c r="AE2929">
        <v>0</v>
      </c>
      <c r="AP2929" t="s">
        <v>49</v>
      </c>
    </row>
    <row r="2930" spans="1:42">
      <c r="A2930" s="1" t="s">
        <v>46</v>
      </c>
      <c r="B2930" s="1" t="s">
        <v>5658</v>
      </c>
      <c r="C2930" s="1" t="s">
        <v>5658</v>
      </c>
      <c r="G2930" s="16"/>
      <c r="M2930">
        <v>1</v>
      </c>
      <c r="N2930">
        <v>6</v>
      </c>
      <c r="O2930">
        <v>0</v>
      </c>
      <c r="P2930">
        <v>5</v>
      </c>
      <c r="Q2930">
        <v>30</v>
      </c>
      <c r="R2930" t="s">
        <v>663</v>
      </c>
      <c r="S2930">
        <v>0</v>
      </c>
      <c r="T2930" t="s">
        <v>17</v>
      </c>
      <c r="U2930">
        <v>0</v>
      </c>
      <c r="V2930">
        <v>0</v>
      </c>
      <c r="W2930">
        <v>400017</v>
      </c>
      <c r="X2930" t="s">
        <v>56</v>
      </c>
      <c r="Y2930" t="s">
        <v>57</v>
      </c>
      <c r="AE2930">
        <v>0</v>
      </c>
      <c r="AP2930" t="s">
        <v>49</v>
      </c>
    </row>
    <row r="2931" spans="1:42">
      <c r="A2931" s="1" t="s">
        <v>46</v>
      </c>
      <c r="B2931" s="1" t="s">
        <v>5659</v>
      </c>
      <c r="C2931" s="1" t="s">
        <v>5659</v>
      </c>
      <c r="G2931" s="16"/>
      <c r="M2931">
        <v>1</v>
      </c>
      <c r="N2931">
        <v>100</v>
      </c>
      <c r="O2931">
        <v>0</v>
      </c>
      <c r="P2931">
        <v>2.25</v>
      </c>
      <c r="Q2931">
        <v>225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400017</v>
      </c>
      <c r="X2931" t="s">
        <v>56</v>
      </c>
      <c r="Y2931" t="s">
        <v>57</v>
      </c>
      <c r="AE2931">
        <v>0</v>
      </c>
      <c r="AP2931" t="s">
        <v>49</v>
      </c>
    </row>
    <row r="2932" spans="1:42">
      <c r="A2932" s="1" t="s">
        <v>46</v>
      </c>
      <c r="B2932" s="1" t="s">
        <v>5660</v>
      </c>
      <c r="C2932" s="1" t="s">
        <v>5660</v>
      </c>
      <c r="G2932" s="16"/>
      <c r="M2932">
        <v>1</v>
      </c>
      <c r="N2932">
        <v>91</v>
      </c>
      <c r="O2932">
        <v>0</v>
      </c>
      <c r="P2932">
        <v>2</v>
      </c>
      <c r="Q2932">
        <v>182</v>
      </c>
      <c r="W2932">
        <v>400139</v>
      </c>
      <c r="AE2932">
        <v>0</v>
      </c>
      <c r="AP2932" t="s">
        <v>1233</v>
      </c>
    </row>
    <row r="2933" spans="1:42">
      <c r="A2933" s="1" t="s">
        <v>46</v>
      </c>
      <c r="B2933" s="1" t="s">
        <v>5661</v>
      </c>
      <c r="C2933" s="1" t="s">
        <v>5661</v>
      </c>
      <c r="G2933" s="16"/>
      <c r="M2933">
        <v>1</v>
      </c>
      <c r="N2933">
        <v>-1</v>
      </c>
      <c r="O2933">
        <v>0</v>
      </c>
      <c r="P2933">
        <v>2.5</v>
      </c>
      <c r="Q2933">
        <v>-2.5</v>
      </c>
      <c r="R2933">
        <v>0</v>
      </c>
      <c r="S2933">
        <v>0</v>
      </c>
      <c r="T2933" t="s">
        <v>71</v>
      </c>
      <c r="AE2933">
        <v>0</v>
      </c>
    </row>
    <row r="2934" spans="1:42">
      <c r="A2934" s="1" t="s">
        <v>46</v>
      </c>
      <c r="B2934" s="1" t="s">
        <v>5662</v>
      </c>
      <c r="C2934" s="1" t="s">
        <v>5662</v>
      </c>
      <c r="G2934" s="16"/>
      <c r="M2934">
        <v>1</v>
      </c>
      <c r="N2934">
        <v>227</v>
      </c>
      <c r="O2934">
        <v>0</v>
      </c>
      <c r="P2934">
        <v>1.2</v>
      </c>
      <c r="Q2934">
        <v>272.39999999999998</v>
      </c>
      <c r="R2934">
        <v>0</v>
      </c>
      <c r="S2934">
        <v>0</v>
      </c>
      <c r="T2934" t="s">
        <v>52</v>
      </c>
      <c r="W2934">
        <v>400107</v>
      </c>
      <c r="AE2934">
        <v>0</v>
      </c>
      <c r="AP2934" t="s">
        <v>5663</v>
      </c>
    </row>
    <row r="2935" spans="1:42">
      <c r="G2935" s="16"/>
    </row>
    <row r="2936" spans="1:42">
      <c r="G2936" s="16"/>
    </row>
    <row r="2937" spans="1:42">
      <c r="G2937" s="16"/>
    </row>
    <row r="2938" spans="1:42">
      <c r="G2938" s="16"/>
    </row>
    <row r="2939" spans="1:42">
      <c r="G2939" s="16"/>
    </row>
    <row r="2940" spans="1:42">
      <c r="G2940" s="16"/>
    </row>
    <row r="2941" spans="1:42">
      <c r="G2941" s="16"/>
    </row>
    <row r="2942" spans="1:42">
      <c r="G2942" s="16"/>
    </row>
    <row r="2943" spans="1:42">
      <c r="G2943" s="16"/>
    </row>
    <row r="2944" spans="1:42">
      <c r="G2944" s="16"/>
    </row>
    <row r="2945" spans="1:42">
      <c r="G2945" s="16"/>
    </row>
    <row r="2946" spans="1:42">
      <c r="G2946" s="16"/>
    </row>
    <row r="2947" spans="1:42">
      <c r="G2947" s="16"/>
    </row>
    <row r="2948" spans="1:42">
      <c r="G2948" s="16"/>
    </row>
    <row r="2949" spans="1:42">
      <c r="G2949" s="16"/>
    </row>
    <row r="2950" spans="1:42">
      <c r="G2950" s="16"/>
    </row>
    <row r="2951" spans="1:42">
      <c r="G2951" s="16"/>
    </row>
    <row r="2952" spans="1:42">
      <c r="G2952" s="16"/>
    </row>
    <row r="2953" spans="1:42">
      <c r="G2953" s="16"/>
    </row>
    <row r="2954" spans="1:42">
      <c r="G2954" s="16"/>
    </row>
    <row r="2955" spans="1:42">
      <c r="A2955" s="1" t="s">
        <v>46</v>
      </c>
      <c r="B2955" s="1" t="s">
        <v>5664</v>
      </c>
      <c r="C2955" s="1" t="s">
        <v>5664</v>
      </c>
      <c r="G2955" s="16"/>
      <c r="M2955">
        <v>1</v>
      </c>
      <c r="N2955">
        <v>-1</v>
      </c>
      <c r="O2955">
        <v>0</v>
      </c>
      <c r="P2955">
        <v>1.41</v>
      </c>
      <c r="Q2955">
        <v>-1.41</v>
      </c>
      <c r="R2955" t="s">
        <v>556</v>
      </c>
      <c r="S2955">
        <v>0</v>
      </c>
      <c r="T2955" t="s">
        <v>52</v>
      </c>
      <c r="W2955">
        <v>400013</v>
      </c>
      <c r="AE2955">
        <v>0</v>
      </c>
      <c r="AP2955" t="s">
        <v>232</v>
      </c>
    </row>
    <row r="2956" spans="1:42">
      <c r="A2956" s="1" t="s">
        <v>46</v>
      </c>
      <c r="B2956" s="1" t="s">
        <v>5665</v>
      </c>
      <c r="C2956" s="1" t="s">
        <v>5665</v>
      </c>
      <c r="G2956" s="16"/>
      <c r="M2956">
        <v>1</v>
      </c>
      <c r="N2956">
        <v>2</v>
      </c>
      <c r="O2956">
        <v>0</v>
      </c>
      <c r="P2956">
        <v>18.440000000000001</v>
      </c>
      <c r="Q2956">
        <v>36.89</v>
      </c>
      <c r="R2956" t="s">
        <v>574</v>
      </c>
      <c r="S2956">
        <v>0</v>
      </c>
      <c r="T2956" t="s">
        <v>52</v>
      </c>
      <c r="U2956">
        <v>0</v>
      </c>
      <c r="V2956">
        <v>0</v>
      </c>
      <c r="W2956">
        <v>400013</v>
      </c>
      <c r="AE2956">
        <v>0</v>
      </c>
      <c r="AP2956" t="s">
        <v>232</v>
      </c>
    </row>
    <row r="2957" spans="1:42">
      <c r="A2957" s="1" t="s">
        <v>46</v>
      </c>
      <c r="B2957" s="1" t="s">
        <v>5666</v>
      </c>
      <c r="C2957" s="1" t="s">
        <v>5666</v>
      </c>
      <c r="G2957" s="16"/>
      <c r="M2957">
        <v>1</v>
      </c>
      <c r="N2957">
        <v>-15</v>
      </c>
      <c r="O2957">
        <v>0</v>
      </c>
      <c r="P2957">
        <v>1</v>
      </c>
      <c r="Q2957">
        <v>-15</v>
      </c>
      <c r="R2957">
        <v>0</v>
      </c>
      <c r="S2957">
        <v>0</v>
      </c>
      <c r="T2957" t="s">
        <v>4390</v>
      </c>
      <c r="W2957">
        <v>400017</v>
      </c>
      <c r="AE2957">
        <v>0</v>
      </c>
      <c r="AP2957" t="s">
        <v>49</v>
      </c>
    </row>
    <row r="2958" spans="1:42">
      <c r="A2958" s="1" t="s">
        <v>46</v>
      </c>
      <c r="B2958" s="1" t="s">
        <v>5667</v>
      </c>
      <c r="C2958" s="1" t="s">
        <v>5667</v>
      </c>
      <c r="G2958" s="16"/>
      <c r="M2958">
        <v>1</v>
      </c>
      <c r="N2958">
        <v>2079</v>
      </c>
      <c r="O2958">
        <v>0</v>
      </c>
      <c r="P2958">
        <v>0.5</v>
      </c>
      <c r="Q2958">
        <v>1039.5</v>
      </c>
      <c r="R2958">
        <v>0</v>
      </c>
      <c r="S2958">
        <v>0</v>
      </c>
      <c r="T2958" t="s">
        <v>52</v>
      </c>
      <c r="U2958">
        <v>0</v>
      </c>
      <c r="V2958">
        <v>0</v>
      </c>
      <c r="W2958">
        <v>400158</v>
      </c>
      <c r="X2958" t="s">
        <v>56</v>
      </c>
      <c r="Y2958" t="s">
        <v>57</v>
      </c>
      <c r="AE2958">
        <v>0</v>
      </c>
      <c r="AP2958" t="s">
        <v>61</v>
      </c>
    </row>
    <row r="2959" spans="1:42">
      <c r="A2959" s="1" t="s">
        <v>46</v>
      </c>
      <c r="B2959" s="1" t="s">
        <v>5668</v>
      </c>
      <c r="C2959" s="1" t="s">
        <v>5668</v>
      </c>
      <c r="G2959" s="16"/>
      <c r="M2959">
        <v>1</v>
      </c>
      <c r="N2959">
        <v>6</v>
      </c>
      <c r="O2959">
        <v>0</v>
      </c>
      <c r="P2959">
        <v>2.25</v>
      </c>
      <c r="Q2959">
        <v>13.5</v>
      </c>
      <c r="W2959">
        <v>400017</v>
      </c>
      <c r="AE2959">
        <v>0</v>
      </c>
      <c r="AP2959" t="s">
        <v>49</v>
      </c>
    </row>
    <row r="2960" spans="1:42">
      <c r="A2960" s="1" t="s">
        <v>46</v>
      </c>
      <c r="B2960" s="1" t="s">
        <v>5669</v>
      </c>
      <c r="C2960" s="1" t="s">
        <v>5669</v>
      </c>
      <c r="G2960" s="16"/>
      <c r="M2960">
        <v>1</v>
      </c>
      <c r="N2960">
        <v>2</v>
      </c>
      <c r="O2960">
        <v>0</v>
      </c>
      <c r="P2960">
        <v>5</v>
      </c>
      <c r="Q2960">
        <v>10</v>
      </c>
      <c r="W2960">
        <v>400017</v>
      </c>
      <c r="AE2960">
        <v>0</v>
      </c>
      <c r="AP2960" t="s">
        <v>49</v>
      </c>
    </row>
    <row r="2961" spans="1:42">
      <c r="A2961" s="1" t="s">
        <v>46</v>
      </c>
      <c r="B2961" s="1" t="s">
        <v>5670</v>
      </c>
      <c r="C2961" s="1" t="s">
        <v>5670</v>
      </c>
      <c r="G2961" s="16"/>
      <c r="M2961">
        <v>1</v>
      </c>
      <c r="N2961">
        <v>86</v>
      </c>
      <c r="O2961">
        <v>0</v>
      </c>
      <c r="P2961">
        <v>0.5</v>
      </c>
      <c r="Q2961">
        <v>43</v>
      </c>
      <c r="R2961">
        <v>0</v>
      </c>
      <c r="S2961">
        <v>0</v>
      </c>
      <c r="T2961">
        <v>0</v>
      </c>
      <c r="W2961">
        <v>400017</v>
      </c>
      <c r="AE2961">
        <v>0</v>
      </c>
      <c r="AP2961" t="s">
        <v>49</v>
      </c>
    </row>
    <row r="2962" spans="1:42">
      <c r="A2962" s="1" t="s">
        <v>46</v>
      </c>
      <c r="B2962" s="1" t="s">
        <v>5671</v>
      </c>
      <c r="C2962" s="1" t="s">
        <v>5671</v>
      </c>
      <c r="G2962" s="16"/>
      <c r="M2962">
        <v>1</v>
      </c>
      <c r="N2962">
        <v>48</v>
      </c>
      <c r="O2962">
        <v>0</v>
      </c>
      <c r="P2962">
        <v>0.57999999999999996</v>
      </c>
      <c r="Q2962">
        <v>28</v>
      </c>
      <c r="W2962">
        <v>400017</v>
      </c>
      <c r="AE2962">
        <v>0</v>
      </c>
      <c r="AP2962" t="s">
        <v>49</v>
      </c>
    </row>
    <row r="2963" spans="1:42">
      <c r="A2963" s="1" t="s">
        <v>46</v>
      </c>
      <c r="B2963" s="1" t="s">
        <v>5672</v>
      </c>
      <c r="C2963" s="1" t="s">
        <v>5672</v>
      </c>
      <c r="G2963" s="16"/>
      <c r="M2963">
        <v>1</v>
      </c>
      <c r="N2963">
        <v>24</v>
      </c>
      <c r="O2963">
        <v>0</v>
      </c>
      <c r="P2963">
        <v>0.71</v>
      </c>
      <c r="Q2963">
        <v>17</v>
      </c>
      <c r="W2963">
        <v>400017</v>
      </c>
      <c r="AE2963">
        <v>0</v>
      </c>
      <c r="AP2963" t="s">
        <v>49</v>
      </c>
    </row>
    <row r="2964" spans="1:42">
      <c r="A2964" s="1" t="s">
        <v>46</v>
      </c>
      <c r="B2964" s="1" t="s">
        <v>5673</v>
      </c>
      <c r="C2964" s="1" t="s">
        <v>5673</v>
      </c>
      <c r="G2964" s="16"/>
      <c r="M2964">
        <v>1</v>
      </c>
      <c r="N2964">
        <v>168</v>
      </c>
      <c r="O2964">
        <v>0</v>
      </c>
      <c r="P2964">
        <v>1.25</v>
      </c>
      <c r="Q2964">
        <v>210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400017</v>
      </c>
      <c r="X2964" t="s">
        <v>56</v>
      </c>
      <c r="Y2964" t="s">
        <v>57</v>
      </c>
      <c r="AE2964">
        <v>0</v>
      </c>
      <c r="AP2964" t="s">
        <v>49</v>
      </c>
    </row>
    <row r="2965" spans="1:42">
      <c r="A2965" s="1" t="s">
        <v>46</v>
      </c>
      <c r="B2965" s="1" t="s">
        <v>5674</v>
      </c>
      <c r="C2965" s="1" t="s">
        <v>5674</v>
      </c>
      <c r="G2965" s="16"/>
      <c r="M2965">
        <v>1</v>
      </c>
      <c r="N2965">
        <v>399</v>
      </c>
      <c r="O2965">
        <v>0</v>
      </c>
      <c r="P2965">
        <v>14.5</v>
      </c>
      <c r="Q2965">
        <v>5785.5</v>
      </c>
      <c r="R2965">
        <v>0</v>
      </c>
      <c r="S2965">
        <v>0</v>
      </c>
      <c r="T2965" t="s">
        <v>17</v>
      </c>
      <c r="U2965">
        <v>0</v>
      </c>
      <c r="V2965">
        <v>0</v>
      </c>
      <c r="W2965">
        <v>400074</v>
      </c>
      <c r="X2965" t="s">
        <v>56</v>
      </c>
      <c r="Y2965" t="s">
        <v>57</v>
      </c>
      <c r="AE2965">
        <v>0</v>
      </c>
      <c r="AP2965" t="s">
        <v>5675</v>
      </c>
    </row>
    <row r="2966" spans="1:42">
      <c r="A2966" s="1" t="s">
        <v>46</v>
      </c>
      <c r="B2966" s="1" t="s">
        <v>5676</v>
      </c>
      <c r="C2966" s="1" t="s">
        <v>5676</v>
      </c>
      <c r="G2966" s="16"/>
      <c r="M2966">
        <v>1</v>
      </c>
      <c r="N2966">
        <v>10</v>
      </c>
      <c r="O2966">
        <v>0</v>
      </c>
      <c r="P2966">
        <v>4.72</v>
      </c>
      <c r="Q2966">
        <v>47.24</v>
      </c>
      <c r="R2966">
        <v>0</v>
      </c>
      <c r="S2966">
        <v>0</v>
      </c>
      <c r="T2966">
        <v>0</v>
      </c>
      <c r="W2966">
        <v>400158</v>
      </c>
      <c r="AE2966">
        <v>0</v>
      </c>
      <c r="AP2966" t="s">
        <v>61</v>
      </c>
    </row>
    <row r="2967" spans="1:42">
      <c r="A2967" s="1" t="s">
        <v>46</v>
      </c>
      <c r="B2967" s="1" t="s">
        <v>5677</v>
      </c>
      <c r="C2967" s="1" t="s">
        <v>5677</v>
      </c>
      <c r="G2967" s="16"/>
      <c r="M2967">
        <v>1</v>
      </c>
      <c r="N2967">
        <v>5</v>
      </c>
      <c r="O2967">
        <v>0</v>
      </c>
      <c r="P2967">
        <v>2.75</v>
      </c>
      <c r="Q2967">
        <v>13.75</v>
      </c>
      <c r="W2967">
        <v>400032</v>
      </c>
      <c r="AE2967">
        <v>0</v>
      </c>
      <c r="AP2967" t="s">
        <v>404</v>
      </c>
    </row>
    <row r="2968" spans="1:42">
      <c r="A2968" s="1" t="s">
        <v>46</v>
      </c>
      <c r="B2968" s="1" t="s">
        <v>5678</v>
      </c>
      <c r="C2968" s="1" t="s">
        <v>5678</v>
      </c>
      <c r="G2968" s="16"/>
      <c r="M2968">
        <v>1</v>
      </c>
      <c r="N2968">
        <v>169</v>
      </c>
      <c r="O2968">
        <v>0</v>
      </c>
      <c r="P2968">
        <v>0.75</v>
      </c>
      <c r="Q2968">
        <v>126.75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400158</v>
      </c>
      <c r="X2968" t="s">
        <v>56</v>
      </c>
      <c r="Y2968" t="s">
        <v>57</v>
      </c>
      <c r="AE2968">
        <v>0</v>
      </c>
      <c r="AP2968" t="s">
        <v>61</v>
      </c>
    </row>
    <row r="2969" spans="1:42">
      <c r="A2969" s="1" t="s">
        <v>46</v>
      </c>
      <c r="B2969" s="1" t="s">
        <v>5679</v>
      </c>
      <c r="C2969" s="1" t="s">
        <v>5679</v>
      </c>
      <c r="G2969" s="16"/>
      <c r="M2969">
        <v>1</v>
      </c>
      <c r="N2969">
        <v>23</v>
      </c>
      <c r="O2969">
        <v>0</v>
      </c>
      <c r="P2969">
        <v>1.08</v>
      </c>
      <c r="Q2969">
        <v>24.92</v>
      </c>
      <c r="W2969">
        <v>400017</v>
      </c>
      <c r="AE2969">
        <v>0</v>
      </c>
      <c r="AP2969" t="s">
        <v>49</v>
      </c>
    </row>
    <row r="2970" spans="1:42">
      <c r="A2970" s="1" t="s">
        <v>46</v>
      </c>
      <c r="B2970" s="1" t="s">
        <v>5680</v>
      </c>
      <c r="C2970" s="1" t="s">
        <v>5680</v>
      </c>
      <c r="G2970" s="16"/>
      <c r="M2970">
        <v>1</v>
      </c>
      <c r="N2970">
        <v>58</v>
      </c>
      <c r="O2970">
        <v>0</v>
      </c>
      <c r="P2970">
        <v>0.75</v>
      </c>
      <c r="Q2970">
        <v>43.5</v>
      </c>
      <c r="R2970">
        <v>0</v>
      </c>
      <c r="S2970">
        <v>0</v>
      </c>
      <c r="T2970" t="s">
        <v>52</v>
      </c>
      <c r="U2970">
        <v>0</v>
      </c>
      <c r="V2970">
        <v>0</v>
      </c>
      <c r="W2970">
        <v>400017</v>
      </c>
      <c r="X2970" t="s">
        <v>56</v>
      </c>
      <c r="Y2970" t="s">
        <v>57</v>
      </c>
      <c r="AE2970">
        <v>0</v>
      </c>
      <c r="AP2970" t="s">
        <v>49</v>
      </c>
    </row>
    <row r="2971" spans="1:42">
      <c r="A2971" s="1" t="s">
        <v>46</v>
      </c>
      <c r="B2971" s="1" t="s">
        <v>5681</v>
      </c>
      <c r="C2971" s="1" t="s">
        <v>5681</v>
      </c>
      <c r="G2971" s="16"/>
      <c r="M2971">
        <v>1</v>
      </c>
      <c r="N2971">
        <v>51</v>
      </c>
      <c r="O2971">
        <v>0</v>
      </c>
      <c r="P2971">
        <v>5</v>
      </c>
      <c r="Q2971">
        <v>255</v>
      </c>
      <c r="R2971">
        <v>0</v>
      </c>
      <c r="S2971">
        <v>0</v>
      </c>
      <c r="T2971" t="s">
        <v>17</v>
      </c>
      <c r="U2971">
        <v>0</v>
      </c>
      <c r="V2971">
        <v>0</v>
      </c>
      <c r="W2971">
        <v>400154</v>
      </c>
      <c r="X2971" t="s">
        <v>56</v>
      </c>
      <c r="Y2971" t="s">
        <v>57</v>
      </c>
      <c r="AE2971">
        <v>0</v>
      </c>
      <c r="AP2971" t="s">
        <v>98</v>
      </c>
    </row>
    <row r="2972" spans="1:42">
      <c r="G2972" s="16"/>
    </row>
    <row r="2973" spans="1:42">
      <c r="A2973" s="1" t="s">
        <v>46</v>
      </c>
      <c r="B2973" s="1" t="s">
        <v>5682</v>
      </c>
      <c r="C2973" s="1" t="s">
        <v>5682</v>
      </c>
      <c r="G2973" s="16"/>
      <c r="M2973">
        <v>1</v>
      </c>
      <c r="N2973">
        <v>49</v>
      </c>
      <c r="O2973">
        <v>0</v>
      </c>
      <c r="P2973">
        <v>21.07</v>
      </c>
      <c r="Q2973">
        <v>1032.27</v>
      </c>
      <c r="R2973">
        <v>0</v>
      </c>
      <c r="S2973">
        <v>0</v>
      </c>
      <c r="T2973" t="s">
        <v>52</v>
      </c>
      <c r="U2973">
        <v>0</v>
      </c>
      <c r="V2973">
        <v>0</v>
      </c>
      <c r="W2973">
        <v>400120</v>
      </c>
      <c r="AE2973">
        <v>0</v>
      </c>
      <c r="AP2973" t="s">
        <v>468</v>
      </c>
    </row>
    <row r="2974" spans="1:42">
      <c r="A2974" s="1" t="s">
        <v>46</v>
      </c>
      <c r="B2974" s="1" t="s">
        <v>5683</v>
      </c>
      <c r="C2974" s="1" t="s">
        <v>5683</v>
      </c>
      <c r="G2974" s="16"/>
      <c r="I2974">
        <v>5000</v>
      </c>
      <c r="M2974">
        <v>1</v>
      </c>
      <c r="N2974">
        <v>6337</v>
      </c>
      <c r="O2974">
        <v>0</v>
      </c>
      <c r="P2974">
        <v>0.6</v>
      </c>
      <c r="Q2974">
        <v>3802.2</v>
      </c>
      <c r="R2974">
        <v>0</v>
      </c>
      <c r="S2974">
        <v>0</v>
      </c>
      <c r="T2974" t="s">
        <v>52</v>
      </c>
      <c r="U2974">
        <v>0</v>
      </c>
      <c r="V2974">
        <v>0</v>
      </c>
      <c r="W2974">
        <v>400033</v>
      </c>
      <c r="X2974" t="s">
        <v>56</v>
      </c>
      <c r="Y2974" t="s">
        <v>57</v>
      </c>
      <c r="AE2974">
        <v>0</v>
      </c>
      <c r="AH2974">
        <v>5000</v>
      </c>
      <c r="AP2974" t="s">
        <v>126</v>
      </c>
    </row>
    <row r="2975" spans="1:42">
      <c r="G2975" s="16"/>
    </row>
    <row r="2976" spans="1:42">
      <c r="A2976" s="1" t="s">
        <v>46</v>
      </c>
      <c r="B2976" s="1" t="s">
        <v>5684</v>
      </c>
      <c r="C2976" s="1" t="s">
        <v>5684</v>
      </c>
      <c r="G2976" s="16"/>
      <c r="M2976">
        <v>1</v>
      </c>
      <c r="N2976">
        <v>263</v>
      </c>
      <c r="O2976">
        <v>0</v>
      </c>
      <c r="P2976">
        <v>13.43</v>
      </c>
      <c r="Q2976">
        <v>3532.35</v>
      </c>
      <c r="R2976">
        <v>0</v>
      </c>
      <c r="S2976">
        <v>0</v>
      </c>
      <c r="T2976" t="s">
        <v>52</v>
      </c>
      <c r="U2976">
        <v>0</v>
      </c>
      <c r="V2976">
        <v>0</v>
      </c>
      <c r="W2976">
        <v>400026</v>
      </c>
      <c r="AE2976">
        <v>0</v>
      </c>
      <c r="AP2976" t="s">
        <v>187</v>
      </c>
    </row>
    <row r="2977" spans="1:42">
      <c r="A2977" s="1" t="s">
        <v>46</v>
      </c>
      <c r="B2977" s="1" t="s">
        <v>5685</v>
      </c>
      <c r="C2977" s="1" t="s">
        <v>5685</v>
      </c>
      <c r="G2977" s="16"/>
      <c r="M2977">
        <v>1</v>
      </c>
      <c r="N2977">
        <v>123</v>
      </c>
      <c r="O2977">
        <v>0</v>
      </c>
      <c r="P2977">
        <v>23.3</v>
      </c>
      <c r="Q2977">
        <v>2866.14</v>
      </c>
      <c r="R2977">
        <v>0</v>
      </c>
      <c r="S2977">
        <v>0</v>
      </c>
      <c r="T2977" t="s">
        <v>52</v>
      </c>
      <c r="U2977">
        <v>0</v>
      </c>
      <c r="V2977">
        <v>0</v>
      </c>
      <c r="W2977">
        <v>400120</v>
      </c>
      <c r="AE2977">
        <v>0</v>
      </c>
      <c r="AP2977" t="s">
        <v>468</v>
      </c>
    </row>
    <row r="2978" spans="1:42">
      <c r="G2978" s="16"/>
    </row>
    <row r="2979" spans="1:42">
      <c r="G2979" s="16"/>
    </row>
    <row r="2980" spans="1:42">
      <c r="A2980" s="1" t="s">
        <v>46</v>
      </c>
      <c r="B2980" s="1" t="s">
        <v>5686</v>
      </c>
      <c r="C2980" s="1" t="s">
        <v>5686</v>
      </c>
      <c r="G2980" s="16"/>
      <c r="M2980">
        <v>1</v>
      </c>
      <c r="N2980">
        <v>2</v>
      </c>
      <c r="O2980">
        <v>0</v>
      </c>
      <c r="P2980">
        <v>0.5</v>
      </c>
      <c r="Q2980">
        <v>1</v>
      </c>
      <c r="R2980" t="s">
        <v>241</v>
      </c>
      <c r="S2980">
        <v>0</v>
      </c>
      <c r="T2980" t="s">
        <v>209</v>
      </c>
      <c r="W2980">
        <v>410302</v>
      </c>
      <c r="AE2980">
        <v>0</v>
      </c>
      <c r="AP2980" t="s">
        <v>177</v>
      </c>
    </row>
    <row r="2981" spans="1:42">
      <c r="A2981" s="1" t="s">
        <v>46</v>
      </c>
      <c r="B2981" s="1" t="s">
        <v>5687</v>
      </c>
      <c r="C2981" s="1" t="s">
        <v>5687</v>
      </c>
      <c r="G2981" s="16"/>
      <c r="M2981">
        <v>1</v>
      </c>
      <c r="N2981">
        <v>-505</v>
      </c>
      <c r="O2981">
        <v>0</v>
      </c>
      <c r="P2981">
        <v>0.75</v>
      </c>
      <c r="Q2981">
        <v>-378.75</v>
      </c>
      <c r="R2981">
        <v>0</v>
      </c>
      <c r="S2981">
        <v>0</v>
      </c>
      <c r="T2981" t="s">
        <v>52</v>
      </c>
      <c r="W2981">
        <v>400017</v>
      </c>
      <c r="AE2981">
        <v>0</v>
      </c>
      <c r="AP2981" t="s">
        <v>49</v>
      </c>
    </row>
    <row r="2982" spans="1:42">
      <c r="A2982" s="1" t="s">
        <v>46</v>
      </c>
      <c r="B2982" s="1" t="s">
        <v>5688</v>
      </c>
      <c r="C2982" s="1" t="s">
        <v>5688</v>
      </c>
      <c r="G2982" s="16"/>
      <c r="M2982">
        <v>1</v>
      </c>
      <c r="N2982">
        <v>20</v>
      </c>
      <c r="O2982">
        <v>0</v>
      </c>
      <c r="P2982">
        <v>0.21</v>
      </c>
      <c r="Q2982">
        <v>4.17</v>
      </c>
      <c r="R2982" t="s">
        <v>663</v>
      </c>
      <c r="S2982">
        <v>0</v>
      </c>
      <c r="T2982" t="s">
        <v>17</v>
      </c>
      <c r="U2982">
        <v>0</v>
      </c>
      <c r="V2982">
        <v>0</v>
      </c>
      <c r="W2982">
        <v>400017</v>
      </c>
      <c r="X2982" t="s">
        <v>56</v>
      </c>
      <c r="Y2982" t="s">
        <v>57</v>
      </c>
      <c r="AE2982">
        <v>0</v>
      </c>
      <c r="AP2982" t="s">
        <v>49</v>
      </c>
    </row>
    <row r="2983" spans="1:42">
      <c r="A2983" s="1" t="s">
        <v>46</v>
      </c>
      <c r="B2983" s="1" t="s">
        <v>5689</v>
      </c>
      <c r="C2983" s="1" t="s">
        <v>5689</v>
      </c>
      <c r="G2983" s="16"/>
      <c r="M2983">
        <v>1</v>
      </c>
      <c r="N2983">
        <v>-2</v>
      </c>
      <c r="O2983">
        <v>0</v>
      </c>
      <c r="AE2983">
        <v>0</v>
      </c>
    </row>
    <row r="2984" spans="1:42">
      <c r="A2984" s="1" t="s">
        <v>46</v>
      </c>
      <c r="B2984" s="1" t="s">
        <v>5690</v>
      </c>
      <c r="C2984" s="1" t="s">
        <v>5690</v>
      </c>
      <c r="G2984" s="16"/>
      <c r="M2984">
        <v>1</v>
      </c>
      <c r="N2984">
        <v>466</v>
      </c>
      <c r="O2984">
        <v>0</v>
      </c>
      <c r="P2984">
        <v>0.5</v>
      </c>
      <c r="Q2984">
        <v>233</v>
      </c>
      <c r="R2984">
        <v>0</v>
      </c>
      <c r="S2984">
        <v>0</v>
      </c>
      <c r="T2984" t="s">
        <v>17</v>
      </c>
      <c r="W2984">
        <v>400002</v>
      </c>
      <c r="AE2984">
        <v>0</v>
      </c>
      <c r="AP2984" t="s">
        <v>116</v>
      </c>
    </row>
    <row r="2985" spans="1:42">
      <c r="A2985" s="1" t="s">
        <v>46</v>
      </c>
      <c r="B2985" s="1" t="s">
        <v>5691</v>
      </c>
      <c r="C2985" s="1" t="s">
        <v>5691</v>
      </c>
      <c r="G2985" s="16"/>
      <c r="M2985">
        <v>1</v>
      </c>
      <c r="N2985">
        <v>194</v>
      </c>
      <c r="O2985">
        <v>0</v>
      </c>
      <c r="P2985">
        <v>0.5</v>
      </c>
      <c r="Q2985">
        <v>97</v>
      </c>
      <c r="R2985">
        <v>0</v>
      </c>
      <c r="S2985">
        <v>0</v>
      </c>
      <c r="T2985" t="s">
        <v>17</v>
      </c>
      <c r="W2985">
        <v>410120</v>
      </c>
      <c r="AE2985">
        <v>0</v>
      </c>
      <c r="AP2985" t="s">
        <v>112</v>
      </c>
    </row>
    <row r="2986" spans="1:42">
      <c r="A2986" s="1" t="s">
        <v>46</v>
      </c>
      <c r="B2986" s="1" t="s">
        <v>5692</v>
      </c>
      <c r="C2986" s="1" t="s">
        <v>5692</v>
      </c>
      <c r="G2986" s="16"/>
      <c r="M2986">
        <v>1</v>
      </c>
      <c r="N2986">
        <v>-1</v>
      </c>
      <c r="O2986">
        <v>0</v>
      </c>
      <c r="AE2986">
        <v>0</v>
      </c>
    </row>
    <row r="2987" spans="1:42">
      <c r="A2987" s="1" t="s">
        <v>46</v>
      </c>
      <c r="B2987" s="1" t="s">
        <v>5693</v>
      </c>
      <c r="C2987" s="1" t="s">
        <v>5693</v>
      </c>
      <c r="G2987" s="16"/>
      <c r="M2987">
        <v>1</v>
      </c>
      <c r="N2987">
        <v>1455</v>
      </c>
      <c r="O2987">
        <v>0</v>
      </c>
      <c r="P2987">
        <v>0.75</v>
      </c>
      <c r="Q2987">
        <v>1091.25</v>
      </c>
      <c r="R2987">
        <v>0</v>
      </c>
      <c r="S2987">
        <v>0</v>
      </c>
      <c r="T2987" t="s">
        <v>52</v>
      </c>
      <c r="U2987" t="s">
        <v>52</v>
      </c>
      <c r="V2987">
        <v>0</v>
      </c>
      <c r="W2987">
        <v>400091</v>
      </c>
      <c r="X2987" t="s">
        <v>56</v>
      </c>
      <c r="Y2987" t="s">
        <v>57</v>
      </c>
      <c r="AE2987">
        <v>0</v>
      </c>
      <c r="AP2987" t="s">
        <v>3931</v>
      </c>
    </row>
    <row r="2988" spans="1:42">
      <c r="A2988" s="1" t="s">
        <v>46</v>
      </c>
      <c r="B2988" s="1" t="s">
        <v>5694</v>
      </c>
      <c r="C2988" s="1" t="s">
        <v>5694</v>
      </c>
      <c r="G2988" s="16"/>
      <c r="M2988">
        <v>1</v>
      </c>
      <c r="N2988">
        <v>5</v>
      </c>
      <c r="O2988">
        <v>0</v>
      </c>
      <c r="P2988">
        <v>8.5</v>
      </c>
      <c r="Q2988">
        <v>42.5</v>
      </c>
      <c r="R2988">
        <v>0</v>
      </c>
      <c r="S2988">
        <v>0</v>
      </c>
      <c r="T2988" t="s">
        <v>52</v>
      </c>
      <c r="W2988">
        <v>400091</v>
      </c>
      <c r="AE2988">
        <v>0</v>
      </c>
      <c r="AP2988" t="s">
        <v>3931</v>
      </c>
    </row>
    <row r="2989" spans="1:42">
      <c r="G2989" s="16"/>
    </row>
    <row r="2990" spans="1:42">
      <c r="G2990" s="16"/>
    </row>
    <row r="2991" spans="1:42">
      <c r="A2991" s="1" t="s">
        <v>46</v>
      </c>
      <c r="B2991" s="1" t="s">
        <v>5695</v>
      </c>
      <c r="C2991" s="1" t="s">
        <v>5695</v>
      </c>
      <c r="G2991" s="16"/>
      <c r="M2991">
        <v>1</v>
      </c>
      <c r="N2991">
        <v>-12</v>
      </c>
      <c r="O2991">
        <v>0</v>
      </c>
      <c r="W2991">
        <v>400214</v>
      </c>
      <c r="AE2991">
        <v>0</v>
      </c>
      <c r="AP2991" t="s">
        <v>689</v>
      </c>
    </row>
    <row r="2992" spans="1:42">
      <c r="A2992" s="1" t="s">
        <v>46</v>
      </c>
      <c r="B2992" s="1" t="s">
        <v>5696</v>
      </c>
      <c r="C2992" s="1" t="s">
        <v>5696</v>
      </c>
      <c r="G2992" s="16"/>
      <c r="M2992">
        <v>1</v>
      </c>
      <c r="N2992">
        <v>124</v>
      </c>
      <c r="O2992">
        <v>0</v>
      </c>
      <c r="P2992">
        <v>92</v>
      </c>
      <c r="Q2992">
        <v>11408</v>
      </c>
      <c r="R2992">
        <v>0</v>
      </c>
      <c r="S2992">
        <v>0</v>
      </c>
      <c r="T2992" t="s">
        <v>52</v>
      </c>
      <c r="U2992">
        <v>0</v>
      </c>
      <c r="V2992">
        <v>0</v>
      </c>
      <c r="W2992">
        <v>400130</v>
      </c>
      <c r="X2992" t="s">
        <v>56</v>
      </c>
      <c r="Y2992" t="s">
        <v>57</v>
      </c>
      <c r="AE2992">
        <v>0</v>
      </c>
      <c r="AP2992" t="s">
        <v>139</v>
      </c>
    </row>
    <row r="2993" spans="1:42">
      <c r="G2993" s="16"/>
    </row>
    <row r="2994" spans="1:42">
      <c r="G2994" s="16"/>
    </row>
    <row r="2995" spans="1:42">
      <c r="G2995" s="16"/>
    </row>
    <row r="2996" spans="1:42">
      <c r="A2996" s="1" t="s">
        <v>46</v>
      </c>
      <c r="B2996" s="1" t="s">
        <v>5697</v>
      </c>
      <c r="C2996" s="1" t="s">
        <v>5697</v>
      </c>
      <c r="G2996" s="16"/>
      <c r="M2996">
        <v>1</v>
      </c>
      <c r="N2996">
        <v>69</v>
      </c>
      <c r="O2996">
        <v>0</v>
      </c>
      <c r="P2996">
        <v>2</v>
      </c>
      <c r="Q2996">
        <v>138</v>
      </c>
      <c r="R2996">
        <v>0</v>
      </c>
      <c r="S2996">
        <v>0</v>
      </c>
      <c r="T2996">
        <v>0</v>
      </c>
      <c r="W2996">
        <v>400135</v>
      </c>
      <c r="AE2996">
        <v>0</v>
      </c>
      <c r="AP2996" t="s">
        <v>5698</v>
      </c>
    </row>
    <row r="2997" spans="1:42">
      <c r="G2997" s="16"/>
    </row>
    <row r="2998" spans="1:42">
      <c r="G2998" s="16"/>
    </row>
    <row r="2999" spans="1:42">
      <c r="A2999" s="1" t="s">
        <v>46</v>
      </c>
      <c r="B2999" s="1" t="s">
        <v>5699</v>
      </c>
      <c r="C2999" s="1" t="s">
        <v>5699</v>
      </c>
      <c r="G2999" s="16"/>
      <c r="M2999">
        <v>1</v>
      </c>
      <c r="N2999">
        <v>5</v>
      </c>
      <c r="O2999">
        <v>0</v>
      </c>
      <c r="P2999">
        <v>200</v>
      </c>
      <c r="Q2999">
        <v>1000</v>
      </c>
      <c r="W2999">
        <v>400130</v>
      </c>
      <c r="AE2999">
        <v>0</v>
      </c>
      <c r="AP2999" t="s">
        <v>139</v>
      </c>
    </row>
    <row r="3000" spans="1:42">
      <c r="A3000" s="1" t="s">
        <v>46</v>
      </c>
      <c r="B3000" s="1" t="s">
        <v>5700</v>
      </c>
      <c r="C3000" s="1" t="s">
        <v>5700</v>
      </c>
      <c r="G3000" s="16"/>
      <c r="M3000">
        <v>1</v>
      </c>
      <c r="N3000">
        <v>1</v>
      </c>
      <c r="O3000">
        <v>0</v>
      </c>
      <c r="P3000">
        <v>300</v>
      </c>
      <c r="Q3000">
        <v>300</v>
      </c>
      <c r="W3000">
        <v>400130</v>
      </c>
      <c r="AE3000">
        <v>0</v>
      </c>
      <c r="AP3000" t="s">
        <v>139</v>
      </c>
    </row>
    <row r="3001" spans="1:42">
      <c r="A3001" s="1" t="s">
        <v>46</v>
      </c>
      <c r="B3001" s="1" t="s">
        <v>5701</v>
      </c>
      <c r="C3001" s="1" t="s">
        <v>5701</v>
      </c>
      <c r="G3001" s="16"/>
      <c r="M3001">
        <v>1</v>
      </c>
      <c r="N3001">
        <v>2</v>
      </c>
      <c r="O3001">
        <v>0</v>
      </c>
      <c r="P3001">
        <v>3</v>
      </c>
      <c r="Q3001">
        <v>6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400017</v>
      </c>
      <c r="X3001" t="s">
        <v>56</v>
      </c>
      <c r="Y3001" t="s">
        <v>57</v>
      </c>
      <c r="AE3001">
        <v>0</v>
      </c>
      <c r="AP3001" t="s">
        <v>49</v>
      </c>
    </row>
    <row r="3002" spans="1:42">
      <c r="A3002" s="1" t="s">
        <v>46</v>
      </c>
      <c r="B3002" s="1" t="s">
        <v>5702</v>
      </c>
      <c r="C3002" s="1" t="s">
        <v>5702</v>
      </c>
      <c r="G3002" s="16"/>
      <c r="M3002">
        <v>1</v>
      </c>
      <c r="N3002">
        <v>2</v>
      </c>
      <c r="O3002">
        <v>0</v>
      </c>
      <c r="P3002">
        <v>105</v>
      </c>
      <c r="Q3002">
        <v>210</v>
      </c>
      <c r="W3002">
        <v>400120</v>
      </c>
      <c r="AE3002">
        <v>0</v>
      </c>
      <c r="AP3002" t="s">
        <v>468</v>
      </c>
    </row>
    <row r="3003" spans="1:42">
      <c r="A3003" s="1" t="s">
        <v>46</v>
      </c>
      <c r="B3003" s="1" t="s">
        <v>5703</v>
      </c>
      <c r="C3003" s="1" t="s">
        <v>5703</v>
      </c>
      <c r="G3003" s="16"/>
      <c r="M3003">
        <v>1</v>
      </c>
      <c r="N3003">
        <v>-49</v>
      </c>
      <c r="O3003">
        <v>0</v>
      </c>
      <c r="P3003">
        <v>20</v>
      </c>
      <c r="Q3003">
        <v>-980</v>
      </c>
      <c r="W3003">
        <v>400017</v>
      </c>
      <c r="AE3003">
        <v>0</v>
      </c>
      <c r="AP3003" t="s">
        <v>49</v>
      </c>
    </row>
    <row r="3004" spans="1:42">
      <c r="A3004" s="1" t="s">
        <v>46</v>
      </c>
      <c r="B3004" s="1" t="s">
        <v>5704</v>
      </c>
      <c r="C3004" s="1" t="s">
        <v>5704</v>
      </c>
      <c r="G3004" s="16"/>
      <c r="M3004">
        <v>1</v>
      </c>
      <c r="N3004">
        <v>4</v>
      </c>
      <c r="O3004">
        <v>0</v>
      </c>
      <c r="P3004">
        <v>102.5</v>
      </c>
      <c r="Q3004">
        <v>410</v>
      </c>
      <c r="W3004">
        <v>400111</v>
      </c>
      <c r="AE3004">
        <v>0</v>
      </c>
      <c r="AP3004" t="s">
        <v>646</v>
      </c>
    </row>
    <row r="3005" spans="1:42">
      <c r="A3005" s="1" t="s">
        <v>46</v>
      </c>
      <c r="B3005" s="1" t="s">
        <v>5705</v>
      </c>
      <c r="C3005" s="1" t="s">
        <v>5705</v>
      </c>
      <c r="G3005" s="16"/>
      <c r="M3005">
        <v>1</v>
      </c>
      <c r="N3005">
        <v>1</v>
      </c>
      <c r="O3005">
        <v>0</v>
      </c>
      <c r="P3005">
        <v>103</v>
      </c>
      <c r="Q3005">
        <v>103</v>
      </c>
      <c r="R3005">
        <v>0</v>
      </c>
      <c r="S3005">
        <v>0</v>
      </c>
      <c r="T3005">
        <v>0</v>
      </c>
      <c r="W3005">
        <v>400111</v>
      </c>
      <c r="AE3005">
        <v>0</v>
      </c>
      <c r="AP3005" t="s">
        <v>646</v>
      </c>
    </row>
    <row r="3006" spans="1:42">
      <c r="A3006" s="1" t="s">
        <v>46</v>
      </c>
      <c r="B3006" s="1" t="s">
        <v>5706</v>
      </c>
      <c r="C3006" s="1" t="s">
        <v>5706</v>
      </c>
      <c r="G3006" s="16"/>
      <c r="M3006">
        <v>1</v>
      </c>
      <c r="N3006">
        <v>1</v>
      </c>
      <c r="O3006">
        <v>0</v>
      </c>
      <c r="P3006">
        <v>111</v>
      </c>
      <c r="Q3006">
        <v>111</v>
      </c>
      <c r="W3006">
        <v>400111</v>
      </c>
      <c r="AE3006">
        <v>0</v>
      </c>
      <c r="AP3006" t="s">
        <v>646</v>
      </c>
    </row>
    <row r="3007" spans="1:42">
      <c r="A3007" s="1" t="s">
        <v>46</v>
      </c>
      <c r="B3007" s="1" t="s">
        <v>5707</v>
      </c>
      <c r="C3007" s="1" t="s">
        <v>5707</v>
      </c>
      <c r="G3007" s="16"/>
      <c r="M3007">
        <v>1</v>
      </c>
      <c r="N3007">
        <v>7</v>
      </c>
      <c r="O3007">
        <v>0</v>
      </c>
      <c r="P3007">
        <v>113</v>
      </c>
      <c r="Q3007">
        <v>791</v>
      </c>
      <c r="R3007">
        <v>0</v>
      </c>
      <c r="S3007">
        <v>0</v>
      </c>
      <c r="T3007">
        <v>0</v>
      </c>
      <c r="W3007">
        <v>400111</v>
      </c>
      <c r="AE3007">
        <v>0</v>
      </c>
      <c r="AP3007" t="s">
        <v>646</v>
      </c>
    </row>
    <row r="3008" spans="1:42">
      <c r="A3008" s="1" t="s">
        <v>46</v>
      </c>
      <c r="B3008" s="1" t="s">
        <v>5708</v>
      </c>
      <c r="C3008" s="1" t="s">
        <v>5708</v>
      </c>
      <c r="G3008" s="16"/>
      <c r="M3008">
        <v>1</v>
      </c>
      <c r="N3008">
        <v>4</v>
      </c>
      <c r="O3008">
        <v>0</v>
      </c>
      <c r="P3008">
        <v>120</v>
      </c>
      <c r="Q3008">
        <v>480</v>
      </c>
      <c r="W3008">
        <v>400111</v>
      </c>
      <c r="AE3008">
        <v>0</v>
      </c>
      <c r="AP3008" t="s">
        <v>646</v>
      </c>
    </row>
    <row r="3009" spans="1:42">
      <c r="A3009" s="1" t="s">
        <v>46</v>
      </c>
      <c r="B3009" s="1" t="s">
        <v>5709</v>
      </c>
      <c r="C3009" s="1" t="s">
        <v>5709</v>
      </c>
      <c r="G3009" s="16"/>
      <c r="M3009">
        <v>1</v>
      </c>
      <c r="N3009">
        <v>2</v>
      </c>
      <c r="O3009">
        <v>0</v>
      </c>
      <c r="P3009">
        <v>124</v>
      </c>
      <c r="Q3009">
        <v>248</v>
      </c>
      <c r="W3009">
        <v>400111</v>
      </c>
      <c r="AE3009">
        <v>0</v>
      </c>
      <c r="AP3009" t="s">
        <v>646</v>
      </c>
    </row>
    <row r="3010" spans="1:42">
      <c r="A3010" s="1" t="s">
        <v>46</v>
      </c>
      <c r="B3010" s="1" t="s">
        <v>5710</v>
      </c>
      <c r="C3010" s="1" t="s">
        <v>5710</v>
      </c>
      <c r="G3010" s="16"/>
      <c r="M3010">
        <v>1</v>
      </c>
      <c r="N3010">
        <v>4</v>
      </c>
      <c r="O3010">
        <v>0</v>
      </c>
      <c r="P3010">
        <v>130</v>
      </c>
      <c r="Q3010">
        <v>520</v>
      </c>
      <c r="W3010">
        <v>400111</v>
      </c>
      <c r="AE3010">
        <v>0</v>
      </c>
      <c r="AP3010" t="s">
        <v>646</v>
      </c>
    </row>
    <row r="3011" spans="1:42">
      <c r="A3011" s="1" t="s">
        <v>46</v>
      </c>
      <c r="B3011" s="1" t="s">
        <v>5711</v>
      </c>
      <c r="C3011" s="1" t="s">
        <v>5711</v>
      </c>
      <c r="G3011" s="16"/>
      <c r="M3011">
        <v>1</v>
      </c>
      <c r="N3011">
        <v>1</v>
      </c>
      <c r="O3011">
        <v>0</v>
      </c>
      <c r="P3011">
        <v>138</v>
      </c>
      <c r="Q3011">
        <v>138</v>
      </c>
      <c r="W3011">
        <v>400111</v>
      </c>
      <c r="AE3011">
        <v>0</v>
      </c>
      <c r="AP3011" t="s">
        <v>646</v>
      </c>
    </row>
    <row r="3012" spans="1:42">
      <c r="A3012" s="1" t="s">
        <v>46</v>
      </c>
      <c r="B3012" s="1" t="s">
        <v>5712</v>
      </c>
      <c r="C3012" s="1" t="s">
        <v>5712</v>
      </c>
      <c r="G3012" s="16"/>
      <c r="M3012">
        <v>1</v>
      </c>
      <c r="N3012">
        <v>3</v>
      </c>
      <c r="O3012">
        <v>0</v>
      </c>
      <c r="P3012">
        <v>148</v>
      </c>
      <c r="Q3012">
        <v>444</v>
      </c>
      <c r="R3012">
        <v>0</v>
      </c>
      <c r="S3012">
        <v>0</v>
      </c>
      <c r="T3012">
        <v>0</v>
      </c>
      <c r="W3012">
        <v>400111</v>
      </c>
      <c r="AE3012">
        <v>0</v>
      </c>
      <c r="AP3012" t="s">
        <v>646</v>
      </c>
    </row>
    <row r="3013" spans="1:42">
      <c r="A3013" s="1" t="s">
        <v>46</v>
      </c>
      <c r="B3013" s="1" t="s">
        <v>5713</v>
      </c>
      <c r="C3013" s="1" t="s">
        <v>5713</v>
      </c>
      <c r="G3013" s="16"/>
      <c r="M3013">
        <v>1</v>
      </c>
      <c r="N3013">
        <v>4</v>
      </c>
      <c r="O3013">
        <v>0</v>
      </c>
      <c r="P3013">
        <v>145</v>
      </c>
      <c r="Q3013">
        <v>580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400111</v>
      </c>
      <c r="X3013" t="s">
        <v>56</v>
      </c>
      <c r="Y3013" t="s">
        <v>57</v>
      </c>
      <c r="AE3013">
        <v>0</v>
      </c>
      <c r="AP3013" t="s">
        <v>646</v>
      </c>
    </row>
    <row r="3014" spans="1:42">
      <c r="A3014" s="1" t="s">
        <v>46</v>
      </c>
      <c r="B3014" s="1" t="s">
        <v>5714</v>
      </c>
      <c r="C3014" s="1" t="s">
        <v>5714</v>
      </c>
      <c r="G3014" s="16"/>
      <c r="M3014">
        <v>1</v>
      </c>
      <c r="N3014">
        <v>13</v>
      </c>
      <c r="O3014">
        <v>0</v>
      </c>
      <c r="P3014">
        <v>127</v>
      </c>
      <c r="Q3014">
        <v>1651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400111</v>
      </c>
      <c r="AE3014">
        <v>0</v>
      </c>
      <c r="AP3014" t="s">
        <v>646</v>
      </c>
    </row>
    <row r="3015" spans="1:42">
      <c r="A3015" s="1" t="s">
        <v>46</v>
      </c>
      <c r="B3015" s="1" t="s">
        <v>5715</v>
      </c>
      <c r="C3015" s="1" t="s">
        <v>5715</v>
      </c>
      <c r="G3015" s="16"/>
      <c r="M3015">
        <v>1</v>
      </c>
      <c r="N3015">
        <v>5</v>
      </c>
      <c r="O3015">
        <v>0</v>
      </c>
      <c r="P3015">
        <v>125</v>
      </c>
      <c r="Q3015">
        <v>625</v>
      </c>
      <c r="W3015">
        <v>400111</v>
      </c>
      <c r="AE3015">
        <v>0</v>
      </c>
      <c r="AP3015" t="s">
        <v>646</v>
      </c>
    </row>
    <row r="3016" spans="1:42">
      <c r="A3016" s="1" t="s">
        <v>46</v>
      </c>
      <c r="B3016" s="1" t="s">
        <v>5716</v>
      </c>
      <c r="C3016" s="1" t="s">
        <v>5716</v>
      </c>
      <c r="G3016" s="16"/>
      <c r="M3016">
        <v>1</v>
      </c>
      <c r="N3016">
        <v>1</v>
      </c>
      <c r="O3016">
        <v>0</v>
      </c>
      <c r="P3016">
        <v>110</v>
      </c>
      <c r="Q3016">
        <v>110</v>
      </c>
      <c r="W3016">
        <v>400111</v>
      </c>
      <c r="AE3016">
        <v>0</v>
      </c>
      <c r="AP3016" t="s">
        <v>646</v>
      </c>
    </row>
    <row r="3017" spans="1:42">
      <c r="A3017" s="1" t="s">
        <v>46</v>
      </c>
      <c r="B3017" s="1" t="s">
        <v>5717</v>
      </c>
      <c r="C3017" s="1" t="s">
        <v>5717</v>
      </c>
      <c r="G3017" s="16"/>
      <c r="M3017">
        <v>1</v>
      </c>
      <c r="N3017">
        <v>2</v>
      </c>
      <c r="O3017">
        <v>0</v>
      </c>
      <c r="P3017">
        <v>123</v>
      </c>
      <c r="Q3017">
        <v>246</v>
      </c>
      <c r="R3017">
        <v>0</v>
      </c>
      <c r="S3017">
        <v>0</v>
      </c>
      <c r="T3017">
        <v>0</v>
      </c>
      <c r="W3017">
        <v>400111</v>
      </c>
      <c r="AE3017">
        <v>0</v>
      </c>
      <c r="AP3017" t="s">
        <v>646</v>
      </c>
    </row>
    <row r="3018" spans="1:42">
      <c r="G3018" s="16"/>
    </row>
    <row r="3019" spans="1:42">
      <c r="A3019" s="1" t="s">
        <v>46</v>
      </c>
      <c r="B3019" s="1" t="s">
        <v>5718</v>
      </c>
      <c r="C3019" s="1" t="s">
        <v>5718</v>
      </c>
      <c r="G3019" s="16"/>
      <c r="M3019">
        <v>1</v>
      </c>
      <c r="N3019">
        <v>2</v>
      </c>
      <c r="O3019">
        <v>0</v>
      </c>
      <c r="P3019">
        <v>117</v>
      </c>
      <c r="Q3019">
        <v>234</v>
      </c>
      <c r="R3019">
        <v>0</v>
      </c>
      <c r="S3019">
        <v>0</v>
      </c>
      <c r="T3019">
        <v>0</v>
      </c>
      <c r="W3019">
        <v>400111</v>
      </c>
      <c r="AE3019">
        <v>0</v>
      </c>
      <c r="AP3019" t="s">
        <v>646</v>
      </c>
    </row>
    <row r="3020" spans="1:42">
      <c r="A3020" s="1" t="s">
        <v>46</v>
      </c>
      <c r="B3020" s="1" t="s">
        <v>5719</v>
      </c>
      <c r="C3020" s="1" t="s">
        <v>5719</v>
      </c>
      <c r="G3020" s="16"/>
      <c r="M3020">
        <v>1</v>
      </c>
      <c r="N3020">
        <v>2</v>
      </c>
      <c r="O3020">
        <v>0</v>
      </c>
      <c r="P3020">
        <v>120</v>
      </c>
      <c r="Q3020">
        <v>240</v>
      </c>
      <c r="W3020">
        <v>400111</v>
      </c>
      <c r="AE3020">
        <v>0</v>
      </c>
      <c r="AP3020" t="s">
        <v>646</v>
      </c>
    </row>
    <row r="3021" spans="1:42">
      <c r="A3021" s="1" t="s">
        <v>46</v>
      </c>
      <c r="B3021" s="1" t="s">
        <v>5720</v>
      </c>
      <c r="C3021" s="1" t="s">
        <v>5720</v>
      </c>
      <c r="G3021" s="16"/>
      <c r="M3021">
        <v>1</v>
      </c>
      <c r="N3021">
        <v>916</v>
      </c>
      <c r="O3021">
        <v>0</v>
      </c>
      <c r="P3021">
        <v>3.2</v>
      </c>
      <c r="Q3021">
        <v>2931.2</v>
      </c>
      <c r="R3021">
        <v>0</v>
      </c>
      <c r="S3021">
        <v>0</v>
      </c>
      <c r="T3021" t="s">
        <v>52</v>
      </c>
      <c r="U3021">
        <v>0</v>
      </c>
      <c r="V3021">
        <v>0</v>
      </c>
      <c r="W3021">
        <v>400139</v>
      </c>
      <c r="X3021" t="s">
        <v>56</v>
      </c>
      <c r="Y3021" t="s">
        <v>57</v>
      </c>
      <c r="AE3021">
        <v>0</v>
      </c>
      <c r="AP3021" t="s">
        <v>1233</v>
      </c>
    </row>
    <row r="3022" spans="1:42">
      <c r="A3022" s="1" t="s">
        <v>46</v>
      </c>
      <c r="B3022" s="1" t="s">
        <v>5721</v>
      </c>
      <c r="C3022" s="1" t="s">
        <v>5721</v>
      </c>
      <c r="G3022" s="16"/>
      <c r="M3022">
        <v>1</v>
      </c>
      <c r="N3022">
        <v>-12</v>
      </c>
      <c r="O3022">
        <v>0</v>
      </c>
      <c r="P3022">
        <v>32</v>
      </c>
      <c r="Q3022">
        <v>-384</v>
      </c>
      <c r="R3022">
        <v>0</v>
      </c>
      <c r="S3022">
        <v>0</v>
      </c>
      <c r="T3022" t="s">
        <v>52</v>
      </c>
      <c r="W3022">
        <v>400007</v>
      </c>
      <c r="AE3022">
        <v>0</v>
      </c>
      <c r="AP3022" t="s">
        <v>5722</v>
      </c>
    </row>
    <row r="3023" spans="1:42">
      <c r="A3023" s="1" t="s">
        <v>46</v>
      </c>
      <c r="B3023" s="1" t="s">
        <v>5723</v>
      </c>
      <c r="C3023" s="1" t="s">
        <v>5723</v>
      </c>
      <c r="G3023" s="16"/>
      <c r="M3023">
        <v>1</v>
      </c>
      <c r="N3023">
        <v>16</v>
      </c>
      <c r="O3023">
        <v>0</v>
      </c>
      <c r="P3023">
        <v>70</v>
      </c>
      <c r="Q3023">
        <v>1120</v>
      </c>
      <c r="R3023">
        <v>0</v>
      </c>
      <c r="S3023">
        <v>0</v>
      </c>
      <c r="T3023" t="s">
        <v>52</v>
      </c>
      <c r="U3023">
        <v>0</v>
      </c>
      <c r="V3023">
        <v>0</v>
      </c>
      <c r="W3023">
        <v>400028</v>
      </c>
      <c r="AE3023">
        <v>0</v>
      </c>
      <c r="AP3023" t="s">
        <v>246</v>
      </c>
    </row>
    <row r="3024" spans="1:42">
      <c r="A3024" s="1" t="s">
        <v>46</v>
      </c>
      <c r="B3024" s="1" t="s">
        <v>5724</v>
      </c>
      <c r="C3024" s="1" t="s">
        <v>5724</v>
      </c>
      <c r="G3024" s="16"/>
      <c r="M3024">
        <v>1</v>
      </c>
      <c r="N3024">
        <v>2</v>
      </c>
      <c r="O3024">
        <v>0</v>
      </c>
      <c r="P3024">
        <v>27.73</v>
      </c>
      <c r="Q3024">
        <v>55.45</v>
      </c>
      <c r="R3024" t="s">
        <v>4475</v>
      </c>
      <c r="S3024">
        <v>0</v>
      </c>
      <c r="T3024" t="s">
        <v>17</v>
      </c>
      <c r="U3024">
        <v>0</v>
      </c>
      <c r="V3024">
        <v>0</v>
      </c>
      <c r="W3024">
        <v>400120</v>
      </c>
      <c r="AE3024">
        <v>0</v>
      </c>
      <c r="AP3024" t="s">
        <v>468</v>
      </c>
    </row>
    <row r="3025" spans="1:42">
      <c r="A3025" s="1" t="s">
        <v>46</v>
      </c>
      <c r="B3025" s="1" t="s">
        <v>5725</v>
      </c>
      <c r="C3025" s="1" t="s">
        <v>5725</v>
      </c>
      <c r="G3025" s="16"/>
      <c r="M3025">
        <v>1</v>
      </c>
      <c r="N3025">
        <v>187</v>
      </c>
      <c r="O3025">
        <v>0</v>
      </c>
      <c r="P3025">
        <v>0.6</v>
      </c>
      <c r="Q3025">
        <v>112.2</v>
      </c>
      <c r="R3025">
        <v>0</v>
      </c>
      <c r="S3025">
        <v>0</v>
      </c>
      <c r="T3025" t="s">
        <v>52</v>
      </c>
      <c r="U3025">
        <v>0</v>
      </c>
      <c r="V3025">
        <v>0</v>
      </c>
      <c r="W3025">
        <v>410120</v>
      </c>
      <c r="X3025" t="s">
        <v>56</v>
      </c>
      <c r="Y3025" t="s">
        <v>57</v>
      </c>
      <c r="AE3025">
        <v>0</v>
      </c>
      <c r="AP3025" t="s">
        <v>112</v>
      </c>
    </row>
    <row r="3026" spans="1:42">
      <c r="A3026" s="1" t="s">
        <v>46</v>
      </c>
      <c r="B3026" s="1" t="s">
        <v>5726</v>
      </c>
      <c r="C3026" s="1" t="s">
        <v>5726</v>
      </c>
      <c r="G3026" s="16"/>
      <c r="M3026">
        <v>1</v>
      </c>
      <c r="N3026">
        <v>-208</v>
      </c>
      <c r="O3026">
        <v>0</v>
      </c>
      <c r="P3026">
        <v>27.75</v>
      </c>
      <c r="Q3026">
        <v>-5772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400120</v>
      </c>
      <c r="AE3026">
        <v>0</v>
      </c>
      <c r="AP3026" t="s">
        <v>468</v>
      </c>
    </row>
    <row r="3027" spans="1:42">
      <c r="A3027" s="1" t="s">
        <v>46</v>
      </c>
      <c r="B3027" s="1" t="s">
        <v>5727</v>
      </c>
      <c r="C3027" s="1" t="s">
        <v>5727</v>
      </c>
      <c r="G3027" s="16"/>
      <c r="M3027">
        <v>1</v>
      </c>
      <c r="N3027">
        <v>413</v>
      </c>
      <c r="O3027">
        <v>0</v>
      </c>
      <c r="P3027">
        <v>0.42</v>
      </c>
      <c r="Q3027">
        <v>175.04</v>
      </c>
      <c r="R3027">
        <v>0</v>
      </c>
      <c r="S3027">
        <v>0</v>
      </c>
      <c r="T3027" t="s">
        <v>52</v>
      </c>
      <c r="U3027" t="s">
        <v>52</v>
      </c>
      <c r="W3027">
        <v>400158</v>
      </c>
      <c r="AE3027">
        <v>0</v>
      </c>
      <c r="AP3027" t="s">
        <v>61</v>
      </c>
    </row>
    <row r="3028" spans="1:42">
      <c r="A3028" s="1" t="s">
        <v>46</v>
      </c>
      <c r="B3028" s="1" t="s">
        <v>5728</v>
      </c>
      <c r="C3028" s="1" t="s">
        <v>5728</v>
      </c>
      <c r="G3028" s="16"/>
      <c r="M3028">
        <v>1</v>
      </c>
      <c r="N3028">
        <v>41</v>
      </c>
      <c r="O3028">
        <v>0</v>
      </c>
      <c r="P3028">
        <v>23</v>
      </c>
      <c r="Q3028">
        <v>943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400045</v>
      </c>
      <c r="X3028" t="s">
        <v>56</v>
      </c>
      <c r="Y3028" t="s">
        <v>57</v>
      </c>
      <c r="AE3028">
        <v>0</v>
      </c>
      <c r="AF3028">
        <v>18.87</v>
      </c>
      <c r="AP3028" t="s">
        <v>217</v>
      </c>
    </row>
    <row r="3029" spans="1:42">
      <c r="A3029" s="1" t="s">
        <v>46</v>
      </c>
      <c r="B3029" s="1" t="s">
        <v>5729</v>
      </c>
      <c r="C3029" s="1" t="s">
        <v>5729</v>
      </c>
      <c r="G3029" s="16"/>
      <c r="M3029">
        <v>1</v>
      </c>
      <c r="N3029">
        <v>22</v>
      </c>
      <c r="O3029">
        <v>0</v>
      </c>
      <c r="P3029">
        <v>1</v>
      </c>
      <c r="Q3029">
        <v>22</v>
      </c>
      <c r="R3029">
        <v>0</v>
      </c>
      <c r="S3029">
        <v>0</v>
      </c>
      <c r="T3029" t="s">
        <v>52</v>
      </c>
      <c r="U3029">
        <v>0</v>
      </c>
      <c r="V3029">
        <v>0</v>
      </c>
      <c r="W3029">
        <v>400017</v>
      </c>
      <c r="X3029" t="s">
        <v>56</v>
      </c>
      <c r="Y3029" t="s">
        <v>57</v>
      </c>
      <c r="AE3029">
        <v>0</v>
      </c>
      <c r="AP3029" t="s">
        <v>49</v>
      </c>
    </row>
    <row r="3030" spans="1:42">
      <c r="A3030" s="1" t="s">
        <v>46</v>
      </c>
      <c r="B3030" s="1" t="s">
        <v>5730</v>
      </c>
      <c r="C3030" s="1" t="s">
        <v>5730</v>
      </c>
      <c r="G3030" s="16"/>
      <c r="M3030">
        <v>1</v>
      </c>
      <c r="N3030">
        <v>-876.75</v>
      </c>
      <c r="O3030">
        <v>0</v>
      </c>
      <c r="P3030">
        <v>7.54</v>
      </c>
      <c r="Q3030">
        <v>-6610.41</v>
      </c>
      <c r="R3030">
        <v>0</v>
      </c>
      <c r="S3030">
        <v>0</v>
      </c>
      <c r="T3030" t="s">
        <v>71</v>
      </c>
      <c r="W3030">
        <v>400184</v>
      </c>
      <c r="AE3030">
        <v>0</v>
      </c>
      <c r="AP3030" t="s">
        <v>136</v>
      </c>
    </row>
    <row r="3031" spans="1:42">
      <c r="G3031" s="16"/>
    </row>
    <row r="3032" spans="1:42">
      <c r="A3032" s="1" t="s">
        <v>46</v>
      </c>
      <c r="B3032" s="1" t="s">
        <v>5731</v>
      </c>
      <c r="C3032" s="1" t="s">
        <v>5731</v>
      </c>
      <c r="G3032" s="16"/>
      <c r="M3032">
        <v>1</v>
      </c>
      <c r="N3032">
        <v>1</v>
      </c>
      <c r="O3032">
        <v>0</v>
      </c>
      <c r="P3032">
        <v>4</v>
      </c>
      <c r="Q3032">
        <v>4</v>
      </c>
      <c r="R3032">
        <v>0</v>
      </c>
      <c r="S3032">
        <v>0</v>
      </c>
      <c r="T3032" t="s">
        <v>52</v>
      </c>
      <c r="U3032">
        <v>0</v>
      </c>
      <c r="V3032">
        <v>0</v>
      </c>
      <c r="W3032">
        <v>400032</v>
      </c>
      <c r="X3032" t="s">
        <v>56</v>
      </c>
      <c r="Y3032" t="s">
        <v>57</v>
      </c>
      <c r="AE3032">
        <v>0</v>
      </c>
      <c r="AP3032" t="s">
        <v>404</v>
      </c>
    </row>
    <row r="3033" spans="1:42">
      <c r="A3033" s="1" t="s">
        <v>46</v>
      </c>
      <c r="B3033" s="1" t="s">
        <v>5732</v>
      </c>
      <c r="C3033" s="1" t="s">
        <v>5732</v>
      </c>
      <c r="G3033" s="16"/>
      <c r="M3033">
        <v>1</v>
      </c>
      <c r="N3033">
        <v>-758</v>
      </c>
      <c r="O3033">
        <v>0</v>
      </c>
      <c r="P3033">
        <v>2</v>
      </c>
      <c r="Q3033">
        <v>-1516</v>
      </c>
      <c r="R3033">
        <v>0</v>
      </c>
      <c r="S3033">
        <v>0</v>
      </c>
      <c r="T3033" t="s">
        <v>52</v>
      </c>
      <c r="U3033">
        <v>0</v>
      </c>
      <c r="V3033">
        <v>0</v>
      </c>
      <c r="W3033">
        <v>400032</v>
      </c>
      <c r="X3033" t="s">
        <v>56</v>
      </c>
      <c r="Y3033" t="s">
        <v>57</v>
      </c>
      <c r="AE3033">
        <v>0</v>
      </c>
      <c r="AP3033" t="s">
        <v>404</v>
      </c>
    </row>
    <row r="3034" spans="1:42">
      <c r="A3034" s="1" t="s">
        <v>46</v>
      </c>
      <c r="B3034" s="1" t="s">
        <v>5733</v>
      </c>
      <c r="C3034" s="1" t="s">
        <v>5733</v>
      </c>
      <c r="G3034" s="16"/>
      <c r="M3034">
        <v>1</v>
      </c>
      <c r="N3034">
        <v>309</v>
      </c>
      <c r="O3034">
        <v>0</v>
      </c>
      <c r="P3034">
        <v>1.5</v>
      </c>
      <c r="Q3034">
        <v>463.5</v>
      </c>
      <c r="R3034">
        <v>0</v>
      </c>
      <c r="S3034">
        <v>0</v>
      </c>
      <c r="T3034" t="s">
        <v>52</v>
      </c>
      <c r="W3034">
        <v>400055</v>
      </c>
      <c r="AE3034">
        <v>0</v>
      </c>
      <c r="AP3034" t="s">
        <v>1236</v>
      </c>
    </row>
    <row r="3035" spans="1:42">
      <c r="A3035" s="1" t="s">
        <v>46</v>
      </c>
      <c r="B3035" s="1" t="s">
        <v>5734</v>
      </c>
      <c r="C3035" s="1" t="s">
        <v>5734</v>
      </c>
      <c r="G3035" s="16"/>
      <c r="M3035">
        <v>1</v>
      </c>
      <c r="N3035">
        <v>77</v>
      </c>
      <c r="O3035">
        <v>0</v>
      </c>
      <c r="P3035">
        <v>9</v>
      </c>
      <c r="Q3035">
        <v>693</v>
      </c>
      <c r="R3035" t="s">
        <v>4272</v>
      </c>
      <c r="S3035">
        <v>0</v>
      </c>
      <c r="T3035" t="s">
        <v>52</v>
      </c>
      <c r="U3035">
        <v>0</v>
      </c>
      <c r="V3035">
        <v>0</v>
      </c>
      <c r="W3035">
        <v>410120</v>
      </c>
      <c r="X3035" t="s">
        <v>56</v>
      </c>
      <c r="Y3035" t="s">
        <v>57</v>
      </c>
      <c r="AE3035">
        <v>0</v>
      </c>
      <c r="AP3035" t="s">
        <v>112</v>
      </c>
    </row>
    <row r="3036" spans="1:42">
      <c r="G3036" s="16"/>
    </row>
    <row r="3037" spans="1:42">
      <c r="G3037" s="16"/>
    </row>
    <row r="3038" spans="1:42">
      <c r="G3038" s="16"/>
    </row>
    <row r="3039" spans="1:42">
      <c r="G3039" s="16"/>
    </row>
    <row r="3040" spans="1:42">
      <c r="A3040" s="1" t="s">
        <v>46</v>
      </c>
      <c r="B3040" s="1" t="s">
        <v>5735</v>
      </c>
      <c r="C3040" s="1" t="s">
        <v>5735</v>
      </c>
      <c r="G3040" s="16"/>
      <c r="M3040">
        <v>1</v>
      </c>
      <c r="N3040">
        <v>1</v>
      </c>
      <c r="O3040">
        <v>0</v>
      </c>
      <c r="P3040">
        <v>188.06</v>
      </c>
      <c r="Q3040">
        <v>188.06</v>
      </c>
      <c r="R3040" t="s">
        <v>663</v>
      </c>
      <c r="S3040">
        <v>0</v>
      </c>
      <c r="T3040" t="s">
        <v>17</v>
      </c>
      <c r="W3040">
        <v>400010</v>
      </c>
      <c r="AE3040">
        <v>0</v>
      </c>
      <c r="AP3040" t="s">
        <v>66</v>
      </c>
    </row>
    <row r="3041" spans="1:42">
      <c r="A3041" s="1" t="s">
        <v>46</v>
      </c>
      <c r="B3041" s="1" t="s">
        <v>5736</v>
      </c>
      <c r="C3041" s="1" t="s">
        <v>5736</v>
      </c>
      <c r="G3041" s="16"/>
      <c r="I3041">
        <v>52.8</v>
      </c>
      <c r="M3041">
        <v>1</v>
      </c>
      <c r="N3041">
        <v>90</v>
      </c>
      <c r="O3041">
        <v>0</v>
      </c>
      <c r="P3041">
        <v>50</v>
      </c>
      <c r="Q3041">
        <v>4500</v>
      </c>
      <c r="R3041" t="s">
        <v>107</v>
      </c>
      <c r="S3041">
        <v>0</v>
      </c>
      <c r="T3041" t="s">
        <v>52</v>
      </c>
      <c r="U3041">
        <v>0</v>
      </c>
      <c r="V3041">
        <v>0</v>
      </c>
      <c r="W3041">
        <v>400045</v>
      </c>
      <c r="X3041" t="s">
        <v>56</v>
      </c>
      <c r="Y3041" t="s">
        <v>57</v>
      </c>
      <c r="AE3041">
        <v>0</v>
      </c>
      <c r="AH3041">
        <v>52.8</v>
      </c>
      <c r="AP3041" t="s">
        <v>217</v>
      </c>
    </row>
    <row r="3042" spans="1:42">
      <c r="G3042" s="16"/>
    </row>
    <row r="3043" spans="1:42">
      <c r="A3043" s="1" t="s">
        <v>46</v>
      </c>
      <c r="B3043" s="1" t="s">
        <v>5737</v>
      </c>
      <c r="C3043" s="1" t="s">
        <v>5737</v>
      </c>
      <c r="G3043" s="16"/>
      <c r="M3043">
        <v>1</v>
      </c>
      <c r="N3043">
        <v>5</v>
      </c>
      <c r="O3043">
        <v>0</v>
      </c>
      <c r="P3043">
        <v>34.92</v>
      </c>
      <c r="Q3043">
        <v>174.6</v>
      </c>
      <c r="R3043" t="s">
        <v>107</v>
      </c>
      <c r="S3043">
        <v>0</v>
      </c>
      <c r="T3043" t="s">
        <v>52</v>
      </c>
      <c r="U3043">
        <v>0</v>
      </c>
      <c r="V3043">
        <v>0</v>
      </c>
      <c r="W3043">
        <v>400010</v>
      </c>
      <c r="AE3043">
        <v>0</v>
      </c>
      <c r="AP3043" t="s">
        <v>66</v>
      </c>
    </row>
    <row r="3044" spans="1:42">
      <c r="A3044" s="1" t="s">
        <v>46</v>
      </c>
      <c r="B3044" s="1" t="s">
        <v>5738</v>
      </c>
      <c r="C3044" s="1" t="s">
        <v>5738</v>
      </c>
      <c r="G3044" s="16"/>
      <c r="I3044">
        <v>30.8</v>
      </c>
      <c r="M3044">
        <v>1</v>
      </c>
      <c r="N3044">
        <v>61</v>
      </c>
      <c r="O3044">
        <v>0</v>
      </c>
      <c r="P3044">
        <v>15.54</v>
      </c>
      <c r="Q3044">
        <v>947.94</v>
      </c>
      <c r="R3044" t="s">
        <v>107</v>
      </c>
      <c r="S3044">
        <v>0</v>
      </c>
      <c r="T3044" t="s">
        <v>52</v>
      </c>
      <c r="U3044">
        <v>0</v>
      </c>
      <c r="V3044">
        <v>0</v>
      </c>
      <c r="W3044">
        <v>410120</v>
      </c>
      <c r="X3044" t="s">
        <v>56</v>
      </c>
      <c r="Y3044" t="s">
        <v>57</v>
      </c>
      <c r="AE3044">
        <v>0</v>
      </c>
      <c r="AH3044">
        <v>30.8</v>
      </c>
      <c r="AP3044" t="s">
        <v>112</v>
      </c>
    </row>
    <row r="3045" spans="1:42">
      <c r="G3045" s="16"/>
    </row>
    <row r="3046" spans="1:42">
      <c r="A3046" s="1" t="s">
        <v>46</v>
      </c>
      <c r="B3046" s="1" t="s">
        <v>5739</v>
      </c>
      <c r="C3046" s="1" t="s">
        <v>5739</v>
      </c>
      <c r="G3046" s="16"/>
      <c r="M3046">
        <v>1</v>
      </c>
      <c r="N3046">
        <v>-1</v>
      </c>
      <c r="O3046">
        <v>0</v>
      </c>
      <c r="AE3046">
        <v>0</v>
      </c>
    </row>
    <row r="3047" spans="1:42">
      <c r="A3047" s="1" t="s">
        <v>46</v>
      </c>
      <c r="B3047" s="1" t="s">
        <v>5740</v>
      </c>
      <c r="C3047" s="1" t="s">
        <v>5740</v>
      </c>
      <c r="G3047" s="16"/>
      <c r="M3047">
        <v>1</v>
      </c>
      <c r="N3047">
        <v>3</v>
      </c>
      <c r="O3047">
        <v>0</v>
      </c>
      <c r="P3047">
        <v>135.41999999999999</v>
      </c>
      <c r="Q3047">
        <v>406.26</v>
      </c>
      <c r="R3047" t="s">
        <v>107</v>
      </c>
      <c r="S3047">
        <v>0</v>
      </c>
      <c r="T3047" t="s">
        <v>52</v>
      </c>
      <c r="W3047">
        <v>400207</v>
      </c>
      <c r="AE3047">
        <v>0</v>
      </c>
      <c r="AP3047" t="s">
        <v>483</v>
      </c>
    </row>
    <row r="3048" spans="1:42">
      <c r="G3048" s="16"/>
    </row>
    <row r="3049" spans="1:42">
      <c r="A3049" s="1" t="s">
        <v>46</v>
      </c>
      <c r="B3049" s="1" t="s">
        <v>5741</v>
      </c>
      <c r="C3049" s="1" t="s">
        <v>5741</v>
      </c>
      <c r="G3049" s="16"/>
      <c r="M3049">
        <v>1</v>
      </c>
      <c r="N3049">
        <v>-9</v>
      </c>
      <c r="O3049">
        <v>0</v>
      </c>
      <c r="P3049">
        <v>50</v>
      </c>
      <c r="Q3049">
        <v>-450</v>
      </c>
      <c r="R3049">
        <v>0</v>
      </c>
      <c r="S3049">
        <v>0</v>
      </c>
      <c r="T3049">
        <v>0</v>
      </c>
      <c r="W3049">
        <v>400045</v>
      </c>
      <c r="AE3049">
        <v>0</v>
      </c>
      <c r="AP3049" t="s">
        <v>217</v>
      </c>
    </row>
    <row r="3050" spans="1:42">
      <c r="G3050" s="16"/>
    </row>
    <row r="3051" spans="1:42">
      <c r="G3051" s="16"/>
    </row>
    <row r="3052" spans="1:42">
      <c r="G3052" s="16"/>
    </row>
    <row r="3053" spans="1:42">
      <c r="G3053" s="16"/>
    </row>
    <row r="3054" spans="1:42">
      <c r="A3054" s="1" t="s">
        <v>46</v>
      </c>
      <c r="B3054" s="1" t="s">
        <v>5742</v>
      </c>
      <c r="C3054" s="1" t="s">
        <v>5742</v>
      </c>
      <c r="G3054" s="16"/>
      <c r="M3054">
        <v>1</v>
      </c>
      <c r="N3054">
        <v>1</v>
      </c>
      <c r="O3054">
        <v>0</v>
      </c>
      <c r="P3054">
        <v>80</v>
      </c>
      <c r="Q3054">
        <v>80</v>
      </c>
      <c r="W3054">
        <v>400111</v>
      </c>
      <c r="AE3054">
        <v>0</v>
      </c>
      <c r="AP3054" t="s">
        <v>646</v>
      </c>
    </row>
    <row r="3055" spans="1:42">
      <c r="A3055" s="1" t="s">
        <v>46</v>
      </c>
      <c r="B3055" s="1" t="s">
        <v>5743</v>
      </c>
      <c r="C3055" s="1" t="s">
        <v>5743</v>
      </c>
      <c r="G3055" s="16"/>
      <c r="M3055">
        <v>1</v>
      </c>
      <c r="N3055">
        <v>2</v>
      </c>
      <c r="O3055">
        <v>0</v>
      </c>
      <c r="P3055">
        <v>138</v>
      </c>
      <c r="Q3055">
        <v>276</v>
      </c>
      <c r="W3055">
        <v>400111</v>
      </c>
      <c r="AE3055">
        <v>0</v>
      </c>
      <c r="AP3055" t="s">
        <v>646</v>
      </c>
    </row>
    <row r="3056" spans="1:42">
      <c r="G3056" s="16"/>
    </row>
    <row r="3057" spans="1:42">
      <c r="A3057" s="1" t="s">
        <v>46</v>
      </c>
      <c r="B3057" s="1" t="s">
        <v>5744</v>
      </c>
      <c r="C3057" s="1" t="s">
        <v>5744</v>
      </c>
      <c r="G3057" s="16"/>
      <c r="M3057">
        <v>1</v>
      </c>
      <c r="N3057">
        <v>13</v>
      </c>
      <c r="O3057">
        <v>0</v>
      </c>
      <c r="P3057">
        <v>21.18</v>
      </c>
      <c r="Q3057">
        <v>275.32</v>
      </c>
      <c r="R3057" t="s">
        <v>107</v>
      </c>
      <c r="S3057">
        <v>0</v>
      </c>
      <c r="T3057" t="s">
        <v>52</v>
      </c>
      <c r="U3057">
        <v>0</v>
      </c>
      <c r="V3057">
        <v>0</v>
      </c>
      <c r="W3057">
        <v>400202</v>
      </c>
      <c r="AE3057">
        <v>0</v>
      </c>
      <c r="AP3057" t="s">
        <v>5231</v>
      </c>
    </row>
    <row r="3058" spans="1:42">
      <c r="A3058" s="1" t="s">
        <v>46</v>
      </c>
      <c r="B3058" s="1" t="s">
        <v>5745</v>
      </c>
      <c r="C3058" s="1" t="s">
        <v>5745</v>
      </c>
      <c r="G3058" s="16"/>
      <c r="I3058">
        <v>108.9</v>
      </c>
      <c r="M3058">
        <v>1</v>
      </c>
      <c r="N3058">
        <v>43</v>
      </c>
      <c r="O3058">
        <v>0</v>
      </c>
      <c r="P3058">
        <v>44.96</v>
      </c>
      <c r="Q3058">
        <v>1933.06</v>
      </c>
      <c r="R3058" t="s">
        <v>107</v>
      </c>
      <c r="S3058">
        <v>0</v>
      </c>
      <c r="T3058" t="s">
        <v>52</v>
      </c>
      <c r="U3058">
        <v>0</v>
      </c>
      <c r="V3058">
        <v>0</v>
      </c>
      <c r="W3058">
        <v>400207</v>
      </c>
      <c r="X3058" t="s">
        <v>56</v>
      </c>
      <c r="Y3058" t="s">
        <v>57</v>
      </c>
      <c r="AE3058">
        <v>0</v>
      </c>
      <c r="AH3058">
        <v>108.9</v>
      </c>
      <c r="AP3058" t="s">
        <v>483</v>
      </c>
    </row>
    <row r="3059" spans="1:42">
      <c r="G3059" s="16"/>
    </row>
    <row r="3060" spans="1:42">
      <c r="A3060" s="1" t="s">
        <v>46</v>
      </c>
      <c r="B3060" s="1" t="s">
        <v>5746</v>
      </c>
      <c r="C3060" s="1" t="s">
        <v>5746</v>
      </c>
      <c r="G3060" s="16"/>
      <c r="I3060">
        <v>125.4</v>
      </c>
      <c r="M3060">
        <v>1</v>
      </c>
      <c r="N3060">
        <v>1</v>
      </c>
      <c r="O3060">
        <v>0</v>
      </c>
      <c r="P3060">
        <v>45.95</v>
      </c>
      <c r="Q3060">
        <v>45.95</v>
      </c>
      <c r="R3060" t="s">
        <v>107</v>
      </c>
      <c r="S3060">
        <v>0</v>
      </c>
      <c r="T3060" t="s">
        <v>52</v>
      </c>
      <c r="U3060">
        <v>0</v>
      </c>
      <c r="V3060">
        <v>0</v>
      </c>
      <c r="W3060">
        <v>400010</v>
      </c>
      <c r="AE3060">
        <v>0</v>
      </c>
      <c r="AH3060">
        <v>125.4</v>
      </c>
      <c r="AP3060" t="s">
        <v>66</v>
      </c>
    </row>
    <row r="3061" spans="1:42">
      <c r="A3061" s="1" t="s">
        <v>46</v>
      </c>
      <c r="B3061" s="1" t="s">
        <v>5747</v>
      </c>
      <c r="C3061" s="1" t="s">
        <v>5747</v>
      </c>
      <c r="G3061" s="16"/>
      <c r="I3061">
        <v>125.4</v>
      </c>
      <c r="M3061">
        <v>1</v>
      </c>
      <c r="N3061">
        <v>6</v>
      </c>
      <c r="O3061">
        <v>0</v>
      </c>
      <c r="P3061">
        <v>44.96</v>
      </c>
      <c r="Q3061">
        <v>269.73</v>
      </c>
      <c r="R3061" t="s">
        <v>107</v>
      </c>
      <c r="S3061">
        <v>0</v>
      </c>
      <c r="T3061" t="s">
        <v>52</v>
      </c>
      <c r="U3061">
        <v>0</v>
      </c>
      <c r="V3061">
        <v>0</v>
      </c>
      <c r="W3061">
        <v>400207</v>
      </c>
      <c r="X3061" t="s">
        <v>56</v>
      </c>
      <c r="Y3061" t="s">
        <v>57</v>
      </c>
      <c r="AE3061">
        <v>0</v>
      </c>
      <c r="AH3061">
        <v>125.4</v>
      </c>
      <c r="AP3061" t="s">
        <v>483</v>
      </c>
    </row>
    <row r="3062" spans="1:42">
      <c r="A3062" s="1" t="s">
        <v>46</v>
      </c>
      <c r="B3062" s="1" t="s">
        <v>5748</v>
      </c>
      <c r="C3062" s="1" t="s">
        <v>5748</v>
      </c>
      <c r="G3062" s="16"/>
      <c r="I3062">
        <v>125.4</v>
      </c>
      <c r="M3062">
        <v>1</v>
      </c>
      <c r="N3062">
        <v>4</v>
      </c>
      <c r="O3062">
        <v>0</v>
      </c>
      <c r="P3062">
        <v>49.95</v>
      </c>
      <c r="Q3062">
        <v>199.8</v>
      </c>
      <c r="R3062" t="s">
        <v>107</v>
      </c>
      <c r="S3062">
        <v>0</v>
      </c>
      <c r="T3062" t="s">
        <v>52</v>
      </c>
      <c r="U3062">
        <v>0</v>
      </c>
      <c r="V3062">
        <v>0</v>
      </c>
      <c r="W3062">
        <v>400202</v>
      </c>
      <c r="AE3062">
        <v>0</v>
      </c>
      <c r="AH3062">
        <v>125.4</v>
      </c>
      <c r="AP3062" t="s">
        <v>5231</v>
      </c>
    </row>
    <row r="3063" spans="1:42">
      <c r="A3063" s="1" t="s">
        <v>46</v>
      </c>
      <c r="B3063" s="1" t="s">
        <v>5749</v>
      </c>
      <c r="C3063" s="1" t="s">
        <v>5749</v>
      </c>
      <c r="G3063" s="16"/>
      <c r="I3063">
        <v>125.4</v>
      </c>
      <c r="M3063">
        <v>1</v>
      </c>
      <c r="N3063">
        <v>3</v>
      </c>
      <c r="O3063">
        <v>0</v>
      </c>
      <c r="P3063">
        <v>49.95</v>
      </c>
      <c r="Q3063">
        <v>149.85</v>
      </c>
      <c r="R3063" t="s">
        <v>107</v>
      </c>
      <c r="S3063">
        <v>0</v>
      </c>
      <c r="T3063" t="s">
        <v>52</v>
      </c>
      <c r="U3063">
        <v>0</v>
      </c>
      <c r="V3063">
        <v>0</v>
      </c>
      <c r="W3063">
        <v>400202</v>
      </c>
      <c r="AE3063">
        <v>0</v>
      </c>
      <c r="AH3063">
        <v>125.4</v>
      </c>
      <c r="AP3063" t="s">
        <v>5231</v>
      </c>
    </row>
    <row r="3064" spans="1:42">
      <c r="A3064" s="1" t="s">
        <v>46</v>
      </c>
      <c r="B3064" s="1" t="s">
        <v>5750</v>
      </c>
      <c r="C3064" s="1" t="s">
        <v>5750</v>
      </c>
      <c r="G3064" s="16"/>
      <c r="I3064">
        <v>125.4</v>
      </c>
      <c r="M3064">
        <v>1</v>
      </c>
      <c r="N3064">
        <v>8</v>
      </c>
      <c r="O3064">
        <v>0</v>
      </c>
      <c r="P3064">
        <v>34.97</v>
      </c>
      <c r="Q3064">
        <v>279.72000000000003</v>
      </c>
      <c r="R3064" t="s">
        <v>107</v>
      </c>
      <c r="S3064">
        <v>0</v>
      </c>
      <c r="T3064" t="s">
        <v>52</v>
      </c>
      <c r="U3064">
        <v>0</v>
      </c>
      <c r="V3064">
        <v>0</v>
      </c>
      <c r="W3064">
        <v>400207</v>
      </c>
      <c r="X3064" t="s">
        <v>56</v>
      </c>
      <c r="Y3064" t="s">
        <v>57</v>
      </c>
      <c r="AE3064">
        <v>0</v>
      </c>
      <c r="AH3064">
        <v>125.4</v>
      </c>
      <c r="AP3064" t="s">
        <v>483</v>
      </c>
    </row>
    <row r="3065" spans="1:42">
      <c r="A3065" s="1" t="s">
        <v>46</v>
      </c>
      <c r="B3065" s="1" t="s">
        <v>5751</v>
      </c>
      <c r="C3065" s="1" t="s">
        <v>5751</v>
      </c>
      <c r="G3065" s="16"/>
      <c r="I3065">
        <v>25.3</v>
      </c>
      <c r="M3065">
        <v>1</v>
      </c>
      <c r="N3065">
        <v>-4</v>
      </c>
      <c r="O3065">
        <v>0</v>
      </c>
      <c r="P3065">
        <v>10</v>
      </c>
      <c r="Q3065">
        <v>-40</v>
      </c>
      <c r="R3065" t="s">
        <v>107</v>
      </c>
      <c r="S3065">
        <v>0</v>
      </c>
      <c r="T3065" t="s">
        <v>52</v>
      </c>
      <c r="U3065">
        <v>0</v>
      </c>
      <c r="V3065">
        <v>0</v>
      </c>
      <c r="W3065">
        <v>400022</v>
      </c>
      <c r="AE3065">
        <v>0</v>
      </c>
      <c r="AH3065">
        <v>25.3</v>
      </c>
      <c r="AP3065" t="s">
        <v>3714</v>
      </c>
    </row>
    <row r="3066" spans="1:42">
      <c r="A3066" s="1" t="s">
        <v>46</v>
      </c>
      <c r="B3066" s="1" t="s">
        <v>5752</v>
      </c>
      <c r="C3066" s="1" t="s">
        <v>5752</v>
      </c>
      <c r="G3066" s="16"/>
      <c r="I3066">
        <v>155.1</v>
      </c>
      <c r="M3066">
        <v>1</v>
      </c>
      <c r="N3066">
        <v>15</v>
      </c>
      <c r="O3066">
        <v>0</v>
      </c>
      <c r="P3066">
        <v>115.38</v>
      </c>
      <c r="Q3066">
        <v>1730.77</v>
      </c>
      <c r="R3066" t="s">
        <v>107</v>
      </c>
      <c r="S3066">
        <v>0</v>
      </c>
      <c r="T3066" t="s">
        <v>52</v>
      </c>
      <c r="U3066">
        <v>0</v>
      </c>
      <c r="V3066">
        <v>0</v>
      </c>
      <c r="W3066">
        <v>400013</v>
      </c>
      <c r="AE3066">
        <v>0</v>
      </c>
      <c r="AH3066">
        <v>155.1</v>
      </c>
      <c r="AP3066" t="s">
        <v>232</v>
      </c>
    </row>
    <row r="3067" spans="1:42">
      <c r="G3067" s="16"/>
    </row>
    <row r="3068" spans="1:42">
      <c r="G3068" s="16"/>
    </row>
    <row r="3069" spans="1:42">
      <c r="A3069" s="1" t="s">
        <v>46</v>
      </c>
      <c r="B3069" s="1" t="s">
        <v>5753</v>
      </c>
      <c r="C3069" s="1" t="s">
        <v>5753</v>
      </c>
      <c r="G3069" s="16"/>
      <c r="M3069">
        <v>1</v>
      </c>
      <c r="N3069">
        <v>20</v>
      </c>
      <c r="O3069">
        <v>0</v>
      </c>
      <c r="P3069">
        <v>7</v>
      </c>
      <c r="Q3069">
        <v>140</v>
      </c>
      <c r="R3069" t="s">
        <v>107</v>
      </c>
      <c r="S3069">
        <v>0</v>
      </c>
      <c r="T3069" t="s">
        <v>52</v>
      </c>
      <c r="W3069">
        <v>400033</v>
      </c>
      <c r="AE3069">
        <v>0</v>
      </c>
      <c r="AP3069" t="s">
        <v>126</v>
      </c>
    </row>
    <row r="3070" spans="1:42">
      <c r="A3070" s="1" t="s">
        <v>46</v>
      </c>
      <c r="B3070" s="1" t="s">
        <v>5754</v>
      </c>
      <c r="C3070" s="1" t="s">
        <v>5754</v>
      </c>
      <c r="G3070" s="16"/>
      <c r="M3070">
        <v>1</v>
      </c>
      <c r="N3070">
        <v>-1</v>
      </c>
      <c r="O3070">
        <v>0</v>
      </c>
      <c r="AE3070">
        <v>0</v>
      </c>
    </row>
    <row r="3071" spans="1:42">
      <c r="A3071" s="1" t="s">
        <v>46</v>
      </c>
      <c r="B3071" s="1" t="s">
        <v>5755</v>
      </c>
      <c r="C3071" s="1" t="s">
        <v>5755</v>
      </c>
      <c r="G3071" s="16"/>
      <c r="I3071">
        <v>147.4</v>
      </c>
      <c r="M3071">
        <v>1</v>
      </c>
      <c r="N3071">
        <v>34</v>
      </c>
      <c r="O3071">
        <v>0</v>
      </c>
      <c r="P3071">
        <v>100.43</v>
      </c>
      <c r="Q3071">
        <v>3414.72</v>
      </c>
      <c r="R3071" t="s">
        <v>107</v>
      </c>
      <c r="S3071">
        <v>0</v>
      </c>
      <c r="T3071" t="s">
        <v>52</v>
      </c>
      <c r="U3071">
        <v>0</v>
      </c>
      <c r="V3071">
        <v>0</v>
      </c>
      <c r="W3071">
        <v>400207</v>
      </c>
      <c r="X3071" t="s">
        <v>56</v>
      </c>
      <c r="Y3071" t="s">
        <v>57</v>
      </c>
      <c r="AE3071">
        <v>0</v>
      </c>
      <c r="AH3071">
        <v>147.4</v>
      </c>
      <c r="AP3071" t="s">
        <v>483</v>
      </c>
    </row>
    <row r="3072" spans="1:42">
      <c r="A3072" s="1" t="s">
        <v>46</v>
      </c>
      <c r="B3072" s="1" t="s">
        <v>5756</v>
      </c>
      <c r="C3072" s="1" t="s">
        <v>5756</v>
      </c>
      <c r="G3072" s="16"/>
      <c r="I3072">
        <v>170.5</v>
      </c>
      <c r="M3072">
        <v>1</v>
      </c>
      <c r="N3072">
        <v>1</v>
      </c>
      <c r="O3072">
        <v>0</v>
      </c>
      <c r="P3072">
        <v>99.33</v>
      </c>
      <c r="Q3072">
        <v>99.33</v>
      </c>
      <c r="R3072" t="s">
        <v>107</v>
      </c>
      <c r="S3072">
        <v>0</v>
      </c>
      <c r="T3072" t="s">
        <v>52</v>
      </c>
      <c r="U3072">
        <v>0</v>
      </c>
      <c r="V3072">
        <v>0</v>
      </c>
      <c r="W3072">
        <v>400202</v>
      </c>
      <c r="AE3072">
        <v>0</v>
      </c>
      <c r="AH3072">
        <v>170.5</v>
      </c>
      <c r="AP3072" t="s">
        <v>5231</v>
      </c>
    </row>
    <row r="3073" spans="1:42">
      <c r="A3073" s="1" t="s">
        <v>46</v>
      </c>
      <c r="B3073" s="1" t="s">
        <v>5757</v>
      </c>
      <c r="C3073" s="1" t="s">
        <v>5757</v>
      </c>
      <c r="G3073" s="16"/>
      <c r="I3073">
        <v>170.5</v>
      </c>
      <c r="M3073">
        <v>1</v>
      </c>
      <c r="N3073">
        <v>5</v>
      </c>
      <c r="O3073">
        <v>0</v>
      </c>
      <c r="P3073">
        <v>90.62</v>
      </c>
      <c r="Q3073">
        <v>453.1</v>
      </c>
      <c r="R3073" t="s">
        <v>107</v>
      </c>
      <c r="S3073">
        <v>0</v>
      </c>
      <c r="T3073" t="s">
        <v>52</v>
      </c>
      <c r="U3073">
        <v>0</v>
      </c>
      <c r="V3073">
        <v>0</v>
      </c>
      <c r="W3073">
        <v>400207</v>
      </c>
      <c r="X3073" t="s">
        <v>56</v>
      </c>
      <c r="Y3073" t="s">
        <v>57</v>
      </c>
      <c r="AE3073">
        <v>0</v>
      </c>
      <c r="AH3073">
        <v>170.5</v>
      </c>
      <c r="AP3073" t="s">
        <v>483</v>
      </c>
    </row>
    <row r="3074" spans="1:42">
      <c r="A3074" s="1" t="s">
        <v>46</v>
      </c>
      <c r="B3074" s="1" t="s">
        <v>5758</v>
      </c>
      <c r="C3074" s="1" t="s">
        <v>5758</v>
      </c>
      <c r="G3074" s="16"/>
      <c r="I3074">
        <v>216.7</v>
      </c>
      <c r="M3074">
        <v>1</v>
      </c>
      <c r="N3074">
        <v>1</v>
      </c>
      <c r="O3074">
        <v>0</v>
      </c>
      <c r="P3074">
        <v>121.88</v>
      </c>
      <c r="Q3074">
        <v>121.88</v>
      </c>
      <c r="R3074" t="s">
        <v>107</v>
      </c>
      <c r="S3074">
        <v>0</v>
      </c>
      <c r="T3074" t="s">
        <v>52</v>
      </c>
      <c r="U3074">
        <v>0</v>
      </c>
      <c r="V3074">
        <v>0</v>
      </c>
      <c r="W3074">
        <v>400010</v>
      </c>
      <c r="AE3074">
        <v>0</v>
      </c>
      <c r="AH3074">
        <v>216.7</v>
      </c>
      <c r="AP3074" t="s">
        <v>66</v>
      </c>
    </row>
    <row r="3075" spans="1:42">
      <c r="G3075" s="16"/>
    </row>
    <row r="3076" spans="1:42">
      <c r="A3076" s="1" t="s">
        <v>46</v>
      </c>
      <c r="B3076" s="1" t="s">
        <v>5759</v>
      </c>
      <c r="C3076" s="1" t="s">
        <v>5759</v>
      </c>
      <c r="G3076" s="16"/>
      <c r="I3076">
        <v>81</v>
      </c>
      <c r="M3076">
        <v>1</v>
      </c>
      <c r="N3076">
        <v>114</v>
      </c>
      <c r="O3076">
        <v>0</v>
      </c>
      <c r="P3076">
        <v>38.36</v>
      </c>
      <c r="Q3076">
        <v>4373.22</v>
      </c>
      <c r="R3076" t="s">
        <v>107</v>
      </c>
      <c r="S3076">
        <v>0</v>
      </c>
      <c r="T3076" t="s">
        <v>52</v>
      </c>
      <c r="U3076">
        <v>0</v>
      </c>
      <c r="V3076">
        <v>0</v>
      </c>
      <c r="W3076">
        <v>400013</v>
      </c>
      <c r="X3076" t="s">
        <v>56</v>
      </c>
      <c r="Y3076" t="s">
        <v>57</v>
      </c>
      <c r="AE3076">
        <v>0</v>
      </c>
      <c r="AH3076">
        <v>81</v>
      </c>
      <c r="AP3076" t="s">
        <v>232</v>
      </c>
    </row>
    <row r="3077" spans="1:42">
      <c r="A3077" s="1" t="s">
        <v>46</v>
      </c>
      <c r="B3077" s="1" t="s">
        <v>5760</v>
      </c>
      <c r="C3077" s="1" t="s">
        <v>5760</v>
      </c>
      <c r="G3077" s="16"/>
      <c r="I3077">
        <v>99</v>
      </c>
      <c r="M3077">
        <v>1</v>
      </c>
      <c r="N3077">
        <v>9</v>
      </c>
      <c r="O3077">
        <v>0</v>
      </c>
      <c r="P3077">
        <v>38.36</v>
      </c>
      <c r="Q3077">
        <v>345.25</v>
      </c>
      <c r="R3077" t="s">
        <v>107</v>
      </c>
      <c r="S3077">
        <v>0</v>
      </c>
      <c r="T3077" t="s">
        <v>52</v>
      </c>
      <c r="U3077">
        <v>0</v>
      </c>
      <c r="V3077">
        <v>0</v>
      </c>
      <c r="W3077">
        <v>400013</v>
      </c>
      <c r="AE3077">
        <v>0</v>
      </c>
      <c r="AH3077">
        <v>99</v>
      </c>
      <c r="AP3077" t="s">
        <v>232</v>
      </c>
    </row>
    <row r="3078" spans="1:42">
      <c r="A3078" s="1" t="s">
        <v>46</v>
      </c>
      <c r="B3078" s="1" t="s">
        <v>5761</v>
      </c>
      <c r="C3078" s="1" t="s">
        <v>5761</v>
      </c>
      <c r="G3078" s="16"/>
      <c r="I3078">
        <v>99</v>
      </c>
      <c r="M3078">
        <v>1</v>
      </c>
      <c r="N3078">
        <v>6</v>
      </c>
      <c r="O3078">
        <v>0</v>
      </c>
      <c r="P3078">
        <v>38.36</v>
      </c>
      <c r="Q3078">
        <v>230.17</v>
      </c>
      <c r="R3078" t="s">
        <v>107</v>
      </c>
      <c r="S3078">
        <v>0</v>
      </c>
      <c r="T3078" t="s">
        <v>52</v>
      </c>
      <c r="U3078">
        <v>0</v>
      </c>
      <c r="V3078">
        <v>0</v>
      </c>
      <c r="W3078">
        <v>400013</v>
      </c>
      <c r="AE3078">
        <v>0</v>
      </c>
      <c r="AH3078">
        <v>99</v>
      </c>
      <c r="AP3078" t="s">
        <v>232</v>
      </c>
    </row>
    <row r="3079" spans="1:42">
      <c r="A3079" s="1" t="s">
        <v>46</v>
      </c>
      <c r="B3079" s="1" t="s">
        <v>5762</v>
      </c>
      <c r="C3079" s="1" t="s">
        <v>5762</v>
      </c>
      <c r="G3079" s="16"/>
      <c r="I3079">
        <v>99</v>
      </c>
      <c r="M3079">
        <v>1</v>
      </c>
      <c r="N3079">
        <v>9</v>
      </c>
      <c r="O3079">
        <v>0</v>
      </c>
      <c r="P3079">
        <v>38.36</v>
      </c>
      <c r="Q3079">
        <v>345.25</v>
      </c>
      <c r="R3079" t="s">
        <v>107</v>
      </c>
      <c r="S3079">
        <v>0</v>
      </c>
      <c r="T3079" t="s">
        <v>52</v>
      </c>
      <c r="U3079">
        <v>0</v>
      </c>
      <c r="V3079">
        <v>0</v>
      </c>
      <c r="W3079">
        <v>400013</v>
      </c>
      <c r="X3079" t="s">
        <v>56</v>
      </c>
      <c r="Y3079" t="s">
        <v>57</v>
      </c>
      <c r="AE3079">
        <v>0</v>
      </c>
      <c r="AH3079">
        <v>99</v>
      </c>
      <c r="AP3079" t="s">
        <v>232</v>
      </c>
    </row>
    <row r="3080" spans="1:42">
      <c r="A3080" s="1" t="s">
        <v>46</v>
      </c>
      <c r="B3080" s="1" t="s">
        <v>5763</v>
      </c>
      <c r="C3080" s="1" t="s">
        <v>5763</v>
      </c>
      <c r="G3080" s="16"/>
      <c r="I3080">
        <v>99</v>
      </c>
      <c r="M3080">
        <v>1</v>
      </c>
      <c r="N3080">
        <v>5</v>
      </c>
      <c r="O3080">
        <v>0</v>
      </c>
      <c r="P3080">
        <v>38.36</v>
      </c>
      <c r="Q3080">
        <v>191.81</v>
      </c>
      <c r="R3080" t="s">
        <v>107</v>
      </c>
      <c r="S3080">
        <v>0</v>
      </c>
      <c r="T3080" t="s">
        <v>52</v>
      </c>
      <c r="U3080">
        <v>0</v>
      </c>
      <c r="V3080">
        <v>0</v>
      </c>
      <c r="W3080">
        <v>400214</v>
      </c>
      <c r="X3080" t="s">
        <v>56</v>
      </c>
      <c r="Y3080" t="s">
        <v>57</v>
      </c>
      <c r="AE3080">
        <v>0</v>
      </c>
      <c r="AH3080">
        <v>99</v>
      </c>
      <c r="AP3080" t="s">
        <v>689</v>
      </c>
    </row>
    <row r="3081" spans="1:42">
      <c r="A3081" s="1" t="s">
        <v>46</v>
      </c>
      <c r="B3081" s="1" t="s">
        <v>5764</v>
      </c>
      <c r="C3081" s="1" t="s">
        <v>5764</v>
      </c>
      <c r="G3081" s="16"/>
      <c r="M3081">
        <v>1</v>
      </c>
      <c r="N3081">
        <v>1</v>
      </c>
      <c r="O3081">
        <v>0</v>
      </c>
      <c r="P3081">
        <v>53.15</v>
      </c>
      <c r="Q3081">
        <v>53.15</v>
      </c>
      <c r="R3081" t="s">
        <v>107</v>
      </c>
      <c r="S3081">
        <v>0</v>
      </c>
      <c r="T3081" t="s">
        <v>52</v>
      </c>
      <c r="W3081">
        <v>400022</v>
      </c>
      <c r="AE3081">
        <v>0</v>
      </c>
      <c r="AP3081" t="s">
        <v>3714</v>
      </c>
    </row>
    <row r="3082" spans="1:42">
      <c r="A3082" s="1" t="s">
        <v>46</v>
      </c>
      <c r="B3082" s="1" t="s">
        <v>5765</v>
      </c>
      <c r="C3082" s="1" t="s">
        <v>5765</v>
      </c>
      <c r="G3082" s="16"/>
      <c r="I3082">
        <v>99</v>
      </c>
      <c r="M3082">
        <v>1</v>
      </c>
      <c r="N3082">
        <v>23</v>
      </c>
      <c r="O3082">
        <v>0</v>
      </c>
      <c r="P3082">
        <v>38.36</v>
      </c>
      <c r="Q3082">
        <v>882.32</v>
      </c>
      <c r="R3082" t="s">
        <v>107</v>
      </c>
      <c r="S3082">
        <v>0</v>
      </c>
      <c r="T3082" t="s">
        <v>52</v>
      </c>
      <c r="U3082">
        <v>0</v>
      </c>
      <c r="V3082">
        <v>0</v>
      </c>
      <c r="W3082">
        <v>400013</v>
      </c>
      <c r="X3082" t="s">
        <v>56</v>
      </c>
      <c r="Y3082" t="s">
        <v>57</v>
      </c>
      <c r="AE3082">
        <v>0</v>
      </c>
      <c r="AH3082">
        <v>99</v>
      </c>
      <c r="AP3082" t="s">
        <v>232</v>
      </c>
    </row>
    <row r="3083" spans="1:42">
      <c r="G3083" s="16"/>
    </row>
    <row r="3084" spans="1:42">
      <c r="A3084" s="1" t="s">
        <v>46</v>
      </c>
      <c r="B3084" s="1" t="s">
        <v>5766</v>
      </c>
      <c r="C3084" s="1" t="s">
        <v>5766</v>
      </c>
      <c r="G3084" s="16"/>
      <c r="I3084">
        <v>151.80000000000001</v>
      </c>
      <c r="M3084">
        <v>1</v>
      </c>
      <c r="N3084">
        <v>2</v>
      </c>
      <c r="O3084">
        <v>0</v>
      </c>
      <c r="P3084">
        <v>119.05</v>
      </c>
      <c r="Q3084">
        <v>238.1</v>
      </c>
      <c r="R3084" t="s">
        <v>107</v>
      </c>
      <c r="S3084">
        <v>0</v>
      </c>
      <c r="T3084" t="s">
        <v>52</v>
      </c>
      <c r="U3084">
        <v>0</v>
      </c>
      <c r="V3084">
        <v>0</v>
      </c>
      <c r="W3084">
        <v>400013</v>
      </c>
      <c r="AE3084">
        <v>0</v>
      </c>
      <c r="AH3084">
        <v>151.80000000000001</v>
      </c>
      <c r="AP3084" t="s">
        <v>232</v>
      </c>
    </row>
    <row r="3085" spans="1:42">
      <c r="G3085" s="16"/>
    </row>
    <row r="3086" spans="1:42">
      <c r="A3086" s="1" t="s">
        <v>46</v>
      </c>
      <c r="B3086" s="1" t="s">
        <v>5767</v>
      </c>
      <c r="C3086" s="1" t="s">
        <v>5767</v>
      </c>
      <c r="G3086" s="16"/>
      <c r="I3086">
        <v>176</v>
      </c>
      <c r="M3086">
        <v>1</v>
      </c>
      <c r="N3086">
        <v>1</v>
      </c>
      <c r="O3086">
        <v>0</v>
      </c>
      <c r="P3086">
        <v>124.1</v>
      </c>
      <c r="Q3086">
        <v>124.1</v>
      </c>
      <c r="R3086" t="s">
        <v>107</v>
      </c>
      <c r="S3086">
        <v>0</v>
      </c>
      <c r="T3086" t="s">
        <v>52</v>
      </c>
      <c r="U3086">
        <v>0</v>
      </c>
      <c r="V3086">
        <v>0</v>
      </c>
      <c r="W3086">
        <v>400217</v>
      </c>
      <c r="AE3086">
        <v>0</v>
      </c>
      <c r="AH3086">
        <v>176</v>
      </c>
      <c r="AP3086" t="s">
        <v>2762</v>
      </c>
    </row>
    <row r="3087" spans="1:42">
      <c r="A3087" s="1" t="s">
        <v>46</v>
      </c>
      <c r="B3087" s="1" t="s">
        <v>5768</v>
      </c>
      <c r="C3087" s="1" t="s">
        <v>5768</v>
      </c>
      <c r="G3087" s="16"/>
      <c r="M3087">
        <v>1</v>
      </c>
      <c r="N3087">
        <v>6</v>
      </c>
      <c r="O3087">
        <v>0</v>
      </c>
      <c r="P3087">
        <v>35.96</v>
      </c>
      <c r="Q3087">
        <v>215.78</v>
      </c>
      <c r="R3087">
        <v>0</v>
      </c>
      <c r="S3087">
        <v>0</v>
      </c>
      <c r="T3087" t="s">
        <v>3335</v>
      </c>
      <c r="U3087">
        <v>0</v>
      </c>
      <c r="V3087">
        <v>0</v>
      </c>
      <c r="W3087">
        <v>400207</v>
      </c>
      <c r="AE3087">
        <v>0</v>
      </c>
      <c r="AP3087" t="s">
        <v>483</v>
      </c>
    </row>
    <row r="3088" spans="1:42">
      <c r="A3088" s="1" t="s">
        <v>46</v>
      </c>
      <c r="B3088" s="1" t="s">
        <v>5769</v>
      </c>
      <c r="C3088" s="1" t="s">
        <v>5769</v>
      </c>
      <c r="G3088" s="16"/>
      <c r="I3088">
        <v>182.6</v>
      </c>
      <c r="M3088">
        <v>1</v>
      </c>
      <c r="N3088">
        <v>1</v>
      </c>
      <c r="O3088">
        <v>0</v>
      </c>
      <c r="P3088">
        <v>141.03</v>
      </c>
      <c r="Q3088">
        <v>141.03</v>
      </c>
      <c r="R3088" t="s">
        <v>107</v>
      </c>
      <c r="S3088">
        <v>0</v>
      </c>
      <c r="T3088" t="s">
        <v>52</v>
      </c>
      <c r="U3088">
        <v>0</v>
      </c>
      <c r="V3088">
        <v>0</v>
      </c>
      <c r="W3088">
        <v>400013</v>
      </c>
      <c r="AE3088">
        <v>0</v>
      </c>
      <c r="AH3088">
        <v>182.6</v>
      </c>
      <c r="AP3088" t="s">
        <v>232</v>
      </c>
    </row>
    <row r="3089" spans="1:42">
      <c r="A3089" s="1" t="s">
        <v>46</v>
      </c>
      <c r="B3089" s="1" t="s">
        <v>5770</v>
      </c>
      <c r="C3089" s="1" t="s">
        <v>5770</v>
      </c>
      <c r="G3089" s="16"/>
      <c r="I3089">
        <v>168.3</v>
      </c>
      <c r="M3089">
        <v>1</v>
      </c>
      <c r="N3089">
        <v>8</v>
      </c>
      <c r="O3089">
        <v>0</v>
      </c>
      <c r="P3089">
        <v>153.75</v>
      </c>
      <c r="Q3089">
        <v>1229.97</v>
      </c>
      <c r="R3089" t="s">
        <v>107</v>
      </c>
      <c r="S3089">
        <v>0</v>
      </c>
      <c r="T3089" t="s">
        <v>52</v>
      </c>
      <c r="U3089">
        <v>0</v>
      </c>
      <c r="V3089">
        <v>0</v>
      </c>
      <c r="W3089">
        <v>400202</v>
      </c>
      <c r="AE3089">
        <v>0</v>
      </c>
      <c r="AH3089">
        <v>168.3</v>
      </c>
      <c r="AP3089" t="s">
        <v>5231</v>
      </c>
    </row>
    <row r="3090" spans="1:42">
      <c r="A3090" s="1" t="s">
        <v>46</v>
      </c>
      <c r="B3090" s="1" t="s">
        <v>5771</v>
      </c>
      <c r="C3090" s="1" t="s">
        <v>5771</v>
      </c>
      <c r="G3090" s="16"/>
      <c r="I3090">
        <v>192.5</v>
      </c>
      <c r="M3090">
        <v>1</v>
      </c>
      <c r="N3090">
        <v>3</v>
      </c>
      <c r="O3090">
        <v>0</v>
      </c>
      <c r="P3090">
        <v>153.75</v>
      </c>
      <c r="Q3090">
        <v>461.24</v>
      </c>
      <c r="R3090" t="s">
        <v>107</v>
      </c>
      <c r="S3090">
        <v>0</v>
      </c>
      <c r="T3090" t="s">
        <v>52</v>
      </c>
      <c r="U3090">
        <v>0</v>
      </c>
      <c r="V3090">
        <v>0</v>
      </c>
      <c r="W3090">
        <v>400202</v>
      </c>
      <c r="AE3090">
        <v>0</v>
      </c>
      <c r="AH3090">
        <v>192.5</v>
      </c>
      <c r="AP3090" t="s">
        <v>5231</v>
      </c>
    </row>
    <row r="3091" spans="1:42">
      <c r="A3091" s="1" t="s">
        <v>46</v>
      </c>
      <c r="B3091" s="1" t="s">
        <v>5772</v>
      </c>
      <c r="C3091" s="1" t="s">
        <v>5772</v>
      </c>
      <c r="G3091" s="16"/>
      <c r="M3091">
        <v>1</v>
      </c>
      <c r="N3091">
        <v>371</v>
      </c>
      <c r="O3091">
        <v>0</v>
      </c>
      <c r="P3091">
        <v>74</v>
      </c>
      <c r="Q3091">
        <v>27454</v>
      </c>
      <c r="R3091">
        <v>0</v>
      </c>
      <c r="S3091">
        <v>0</v>
      </c>
      <c r="T3091" t="s">
        <v>52</v>
      </c>
      <c r="U3091">
        <v>0</v>
      </c>
      <c r="V3091">
        <v>0</v>
      </c>
      <c r="W3091">
        <v>400045</v>
      </c>
      <c r="X3091" t="s">
        <v>56</v>
      </c>
      <c r="Y3091" t="s">
        <v>57</v>
      </c>
      <c r="AE3091">
        <v>0</v>
      </c>
      <c r="AP3091" t="s">
        <v>217</v>
      </c>
    </row>
    <row r="3092" spans="1:42">
      <c r="G3092" s="16"/>
    </row>
    <row r="3093" spans="1:42">
      <c r="A3093" s="1" t="s">
        <v>46</v>
      </c>
      <c r="B3093" s="1" t="s">
        <v>5773</v>
      </c>
      <c r="C3093" s="1" t="s">
        <v>5773</v>
      </c>
      <c r="G3093" s="16"/>
      <c r="M3093">
        <v>1</v>
      </c>
      <c r="N3093">
        <v>3</v>
      </c>
      <c r="O3093">
        <v>0</v>
      </c>
      <c r="P3093">
        <v>46.62</v>
      </c>
      <c r="Q3093">
        <v>139.86000000000001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400022</v>
      </c>
      <c r="AE3093">
        <v>0</v>
      </c>
      <c r="AP3093" t="s">
        <v>3714</v>
      </c>
    </row>
    <row r="3094" spans="1:42">
      <c r="A3094" s="1" t="s">
        <v>46</v>
      </c>
      <c r="B3094" s="1" t="s">
        <v>5774</v>
      </c>
      <c r="C3094" s="1" t="s">
        <v>5774</v>
      </c>
      <c r="G3094" s="16"/>
      <c r="I3094">
        <v>25.3</v>
      </c>
      <c r="M3094">
        <v>1</v>
      </c>
      <c r="N3094">
        <v>5</v>
      </c>
      <c r="O3094">
        <v>0</v>
      </c>
      <c r="P3094">
        <v>15.54</v>
      </c>
      <c r="Q3094">
        <v>77.7</v>
      </c>
      <c r="R3094" t="s">
        <v>107</v>
      </c>
      <c r="S3094">
        <v>0</v>
      </c>
      <c r="T3094" t="s">
        <v>52</v>
      </c>
      <c r="U3094">
        <v>0</v>
      </c>
      <c r="V3094">
        <v>0</v>
      </c>
      <c r="W3094">
        <v>400013</v>
      </c>
      <c r="AE3094">
        <v>0</v>
      </c>
      <c r="AH3094">
        <v>25.3</v>
      </c>
      <c r="AP3094" t="s">
        <v>232</v>
      </c>
    </row>
    <row r="3095" spans="1:42">
      <c r="A3095" s="1" t="s">
        <v>46</v>
      </c>
      <c r="B3095" s="1" t="s">
        <v>5775</v>
      </c>
      <c r="C3095" s="1" t="s">
        <v>5775</v>
      </c>
      <c r="G3095" s="16"/>
      <c r="M3095">
        <v>1</v>
      </c>
      <c r="N3095">
        <v>7</v>
      </c>
      <c r="O3095">
        <v>0</v>
      </c>
      <c r="P3095">
        <v>46.62</v>
      </c>
      <c r="Q3095">
        <v>326.33999999999997</v>
      </c>
      <c r="R3095" t="s">
        <v>107</v>
      </c>
      <c r="S3095">
        <v>0</v>
      </c>
      <c r="T3095" t="s">
        <v>52</v>
      </c>
      <c r="U3095">
        <v>0</v>
      </c>
      <c r="V3095">
        <v>0</v>
      </c>
      <c r="W3095">
        <v>400022</v>
      </c>
      <c r="AE3095">
        <v>0</v>
      </c>
      <c r="AP3095" t="s">
        <v>3714</v>
      </c>
    </row>
    <row r="3096" spans="1:42">
      <c r="A3096" s="1" t="s">
        <v>46</v>
      </c>
      <c r="B3096" s="1" t="s">
        <v>5776</v>
      </c>
      <c r="C3096" s="1" t="s">
        <v>5776</v>
      </c>
      <c r="G3096" s="16"/>
      <c r="M3096">
        <v>1</v>
      </c>
      <c r="N3096">
        <v>-1</v>
      </c>
      <c r="O3096">
        <v>0</v>
      </c>
      <c r="P3096">
        <v>55</v>
      </c>
      <c r="Q3096">
        <v>-55</v>
      </c>
      <c r="R3096">
        <v>0</v>
      </c>
      <c r="S3096">
        <v>0</v>
      </c>
      <c r="T3096" t="s">
        <v>52</v>
      </c>
      <c r="W3096">
        <v>400007</v>
      </c>
      <c r="AE3096">
        <v>0</v>
      </c>
      <c r="AP3096" t="s">
        <v>5722</v>
      </c>
    </row>
    <row r="3097" spans="1:42">
      <c r="A3097" s="1" t="s">
        <v>46</v>
      </c>
      <c r="B3097" s="1" t="s">
        <v>5777</v>
      </c>
      <c r="C3097" s="1" t="s">
        <v>5777</v>
      </c>
      <c r="G3097" s="16"/>
      <c r="M3097">
        <v>1</v>
      </c>
      <c r="N3097">
        <v>-10</v>
      </c>
      <c r="O3097">
        <v>0</v>
      </c>
      <c r="P3097">
        <v>1.75</v>
      </c>
      <c r="Q3097">
        <v>-17.5</v>
      </c>
      <c r="R3097">
        <v>0</v>
      </c>
      <c r="S3097">
        <v>0</v>
      </c>
      <c r="T3097" t="s">
        <v>52</v>
      </c>
      <c r="W3097">
        <v>400017</v>
      </c>
      <c r="AE3097">
        <v>0</v>
      </c>
      <c r="AP3097" t="s">
        <v>49</v>
      </c>
    </row>
    <row r="3098" spans="1:42">
      <c r="A3098" s="1" t="s">
        <v>46</v>
      </c>
      <c r="B3098" s="1" t="s">
        <v>5778</v>
      </c>
      <c r="C3098" s="1" t="s">
        <v>5778</v>
      </c>
      <c r="G3098" s="16"/>
      <c r="M3098">
        <v>1</v>
      </c>
      <c r="N3098">
        <v>605</v>
      </c>
      <c r="O3098">
        <v>0</v>
      </c>
      <c r="P3098">
        <v>0.42</v>
      </c>
      <c r="Q3098">
        <v>252.08</v>
      </c>
      <c r="R3098">
        <v>0</v>
      </c>
      <c r="S3098">
        <v>0</v>
      </c>
      <c r="T3098" t="s">
        <v>17</v>
      </c>
      <c r="U3098">
        <v>0</v>
      </c>
      <c r="V3098">
        <v>0</v>
      </c>
      <c r="W3098">
        <v>400017</v>
      </c>
      <c r="X3098" t="s">
        <v>56</v>
      </c>
      <c r="Y3098" t="s">
        <v>57</v>
      </c>
      <c r="AE3098">
        <v>0</v>
      </c>
      <c r="AP3098" t="s">
        <v>49</v>
      </c>
    </row>
    <row r="3099" spans="1:42">
      <c r="A3099" s="1" t="s">
        <v>46</v>
      </c>
      <c r="B3099" s="1" t="s">
        <v>5779</v>
      </c>
      <c r="C3099" s="1" t="s">
        <v>5779</v>
      </c>
      <c r="G3099" s="16"/>
      <c r="M3099">
        <v>1</v>
      </c>
      <c r="N3099">
        <v>-5</v>
      </c>
      <c r="O3099">
        <v>0</v>
      </c>
      <c r="P3099">
        <v>7</v>
      </c>
      <c r="Q3099">
        <v>-35</v>
      </c>
      <c r="R3099">
        <v>0</v>
      </c>
      <c r="S3099">
        <v>0</v>
      </c>
      <c r="T3099" t="s">
        <v>4736</v>
      </c>
      <c r="W3099">
        <v>400074</v>
      </c>
      <c r="AE3099">
        <v>0</v>
      </c>
      <c r="AP3099" t="s">
        <v>5675</v>
      </c>
    </row>
    <row r="3100" spans="1:42">
      <c r="A3100" s="1" t="s">
        <v>46</v>
      </c>
      <c r="B3100" s="1" t="s">
        <v>5780</v>
      </c>
      <c r="C3100" s="1" t="s">
        <v>5780</v>
      </c>
      <c r="G3100" s="16"/>
      <c r="M3100">
        <v>1</v>
      </c>
      <c r="N3100">
        <v>28</v>
      </c>
      <c r="O3100">
        <v>0</v>
      </c>
      <c r="P3100">
        <v>150</v>
      </c>
      <c r="Q3100">
        <v>4200</v>
      </c>
      <c r="R3100">
        <v>0</v>
      </c>
      <c r="S3100">
        <v>0</v>
      </c>
      <c r="T3100" t="s">
        <v>52</v>
      </c>
      <c r="W3100">
        <v>400030</v>
      </c>
      <c r="AE3100">
        <v>0</v>
      </c>
      <c r="AP3100" t="s">
        <v>92</v>
      </c>
    </row>
    <row r="3101" spans="1:42">
      <c r="G3101" s="16"/>
    </row>
    <row r="3102" spans="1:42">
      <c r="G3102" s="16"/>
    </row>
    <row r="3103" spans="1:42">
      <c r="G3103" s="16"/>
    </row>
    <row r="3104" spans="1:42">
      <c r="G3104" s="16"/>
    </row>
    <row r="3105" spans="1:42">
      <c r="G3105" s="16"/>
    </row>
    <row r="3106" spans="1:42">
      <c r="G3106" s="16"/>
    </row>
    <row r="3107" spans="1:42">
      <c r="G3107" s="16"/>
    </row>
    <row r="3108" spans="1:42">
      <c r="A3108" s="1" t="s">
        <v>46</v>
      </c>
      <c r="B3108" s="1" t="s">
        <v>5781</v>
      </c>
      <c r="C3108" s="1" t="s">
        <v>5781</v>
      </c>
      <c r="G3108" s="16"/>
      <c r="M3108">
        <v>1</v>
      </c>
      <c r="N3108">
        <v>-80.5</v>
      </c>
      <c r="O3108">
        <v>0</v>
      </c>
      <c r="P3108">
        <v>6.66</v>
      </c>
      <c r="Q3108">
        <v>-536.13</v>
      </c>
      <c r="R3108">
        <v>0</v>
      </c>
      <c r="S3108">
        <v>0</v>
      </c>
      <c r="T3108" t="s">
        <v>5782</v>
      </c>
      <c r="U3108">
        <v>0</v>
      </c>
      <c r="V3108">
        <v>0</v>
      </c>
      <c r="W3108">
        <v>400020</v>
      </c>
      <c r="AE3108">
        <v>0</v>
      </c>
      <c r="AP3108" t="s">
        <v>1416</v>
      </c>
    </row>
    <row r="3109" spans="1:42">
      <c r="A3109" s="1" t="s">
        <v>46</v>
      </c>
      <c r="B3109" s="1" t="s">
        <v>5783</v>
      </c>
      <c r="C3109" s="1" t="s">
        <v>5783</v>
      </c>
      <c r="G3109" s="16"/>
      <c r="M3109">
        <v>1</v>
      </c>
      <c r="N3109">
        <v>305</v>
      </c>
      <c r="O3109">
        <v>0</v>
      </c>
      <c r="P3109">
        <v>1.36</v>
      </c>
      <c r="Q3109">
        <v>414.19</v>
      </c>
      <c r="R3109">
        <v>0</v>
      </c>
      <c r="S3109">
        <v>0</v>
      </c>
      <c r="T3109" t="s">
        <v>5782</v>
      </c>
      <c r="U3109">
        <v>0</v>
      </c>
      <c r="V3109">
        <v>0</v>
      </c>
      <c r="W3109">
        <v>400203</v>
      </c>
      <c r="AE3109">
        <v>0</v>
      </c>
      <c r="AP3109" t="s">
        <v>837</v>
      </c>
    </row>
    <row r="3110" spans="1:42">
      <c r="G3110" s="16"/>
    </row>
    <row r="3111" spans="1:42">
      <c r="A3111" s="1" t="s">
        <v>46</v>
      </c>
      <c r="B3111" s="1" t="s">
        <v>5784</v>
      </c>
      <c r="C3111" s="1" t="s">
        <v>5784</v>
      </c>
      <c r="G3111" s="16"/>
      <c r="M3111">
        <v>1</v>
      </c>
      <c r="N3111">
        <v>21</v>
      </c>
      <c r="O3111">
        <v>0</v>
      </c>
      <c r="P3111">
        <v>0.5</v>
      </c>
      <c r="Q3111">
        <v>10.5</v>
      </c>
      <c r="R3111">
        <v>0</v>
      </c>
      <c r="S3111">
        <v>0</v>
      </c>
      <c r="T3111" t="s">
        <v>52</v>
      </c>
      <c r="W3111">
        <v>400017</v>
      </c>
      <c r="AE3111">
        <v>0</v>
      </c>
      <c r="AP3111" t="s">
        <v>49</v>
      </c>
    </row>
    <row r="3112" spans="1:42">
      <c r="A3112" s="1" t="s">
        <v>46</v>
      </c>
      <c r="B3112" s="1" t="s">
        <v>5785</v>
      </c>
      <c r="C3112" s="1" t="s">
        <v>5785</v>
      </c>
      <c r="G3112" s="16"/>
      <c r="M3112">
        <v>1</v>
      </c>
      <c r="N3112">
        <v>124</v>
      </c>
      <c r="O3112">
        <v>0</v>
      </c>
      <c r="P3112">
        <v>1.17</v>
      </c>
      <c r="Q3112">
        <v>144.66999999999999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400017</v>
      </c>
      <c r="X3112" t="s">
        <v>56</v>
      </c>
      <c r="Y3112" t="s">
        <v>57</v>
      </c>
      <c r="AE3112">
        <v>0</v>
      </c>
      <c r="AP3112" t="s">
        <v>49</v>
      </c>
    </row>
    <row r="3113" spans="1:42">
      <c r="A3113" s="1" t="s">
        <v>46</v>
      </c>
      <c r="B3113" s="1" t="s">
        <v>5786</v>
      </c>
      <c r="C3113" s="1" t="s">
        <v>5786</v>
      </c>
      <c r="G3113" s="16"/>
      <c r="M3113">
        <v>1</v>
      </c>
      <c r="N3113">
        <v>67</v>
      </c>
      <c r="O3113">
        <v>0</v>
      </c>
      <c r="P3113">
        <v>0.6</v>
      </c>
      <c r="Q3113">
        <v>40.200000000000003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400158</v>
      </c>
      <c r="X3113" t="s">
        <v>56</v>
      </c>
      <c r="Y3113" t="s">
        <v>57</v>
      </c>
      <c r="AE3113">
        <v>0</v>
      </c>
      <c r="AP3113" t="s">
        <v>61</v>
      </c>
    </row>
    <row r="3114" spans="1:42">
      <c r="A3114" s="1" t="s">
        <v>46</v>
      </c>
      <c r="B3114" s="1" t="s">
        <v>5787</v>
      </c>
      <c r="C3114" s="1" t="s">
        <v>5787</v>
      </c>
      <c r="G3114" s="16"/>
      <c r="M3114">
        <v>1</v>
      </c>
      <c r="N3114">
        <v>79</v>
      </c>
      <c r="O3114">
        <v>0</v>
      </c>
      <c r="P3114">
        <v>1</v>
      </c>
      <c r="Q3114">
        <v>79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400017</v>
      </c>
      <c r="X3114" t="s">
        <v>56</v>
      </c>
      <c r="Y3114" t="s">
        <v>57</v>
      </c>
      <c r="AE3114">
        <v>0</v>
      </c>
      <c r="AP3114" t="s">
        <v>49</v>
      </c>
    </row>
    <row r="3115" spans="1:42">
      <c r="A3115" s="1" t="s">
        <v>46</v>
      </c>
      <c r="B3115" s="1" t="s">
        <v>5788</v>
      </c>
      <c r="C3115" s="1" t="s">
        <v>5788</v>
      </c>
      <c r="G3115" s="16"/>
      <c r="M3115">
        <v>1</v>
      </c>
      <c r="N3115">
        <v>35</v>
      </c>
      <c r="O3115">
        <v>0</v>
      </c>
      <c r="P3115">
        <v>1.25</v>
      </c>
      <c r="Q3115">
        <v>43.75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400017</v>
      </c>
      <c r="X3115" t="s">
        <v>56</v>
      </c>
      <c r="Y3115" t="s">
        <v>57</v>
      </c>
      <c r="AE3115">
        <v>0</v>
      </c>
      <c r="AP3115" t="s">
        <v>49</v>
      </c>
    </row>
    <row r="3116" spans="1:42">
      <c r="A3116" s="1" t="s">
        <v>46</v>
      </c>
      <c r="B3116" s="1" t="s">
        <v>5789</v>
      </c>
      <c r="C3116" s="1" t="s">
        <v>5789</v>
      </c>
      <c r="G3116" s="16"/>
      <c r="M3116">
        <v>1</v>
      </c>
      <c r="N3116">
        <v>5</v>
      </c>
      <c r="O3116">
        <v>0</v>
      </c>
      <c r="P3116">
        <v>0.65</v>
      </c>
      <c r="Q3116">
        <v>3.25</v>
      </c>
      <c r="R3116">
        <v>0</v>
      </c>
      <c r="S3116">
        <v>0</v>
      </c>
      <c r="T3116" t="s">
        <v>17</v>
      </c>
      <c r="U3116">
        <v>0</v>
      </c>
      <c r="V3116">
        <v>0</v>
      </c>
      <c r="W3116">
        <v>400017</v>
      </c>
      <c r="X3116" t="s">
        <v>56</v>
      </c>
      <c r="Y3116" t="s">
        <v>57</v>
      </c>
      <c r="AE3116">
        <v>0</v>
      </c>
      <c r="AP3116" t="s">
        <v>49</v>
      </c>
    </row>
    <row r="3117" spans="1:42">
      <c r="G3117" s="16"/>
    </row>
    <row r="3118" spans="1:42">
      <c r="G3118" s="16"/>
    </row>
    <row r="3119" spans="1:42">
      <c r="G3119" s="16"/>
    </row>
    <row r="3120" spans="1:42">
      <c r="G3120" s="16"/>
    </row>
    <row r="3121" spans="1:42">
      <c r="G3121" s="16"/>
    </row>
    <row r="3122" spans="1:42">
      <c r="G3122" s="16"/>
    </row>
    <row r="3123" spans="1:42">
      <c r="A3123" s="1" t="s">
        <v>46</v>
      </c>
      <c r="B3123" s="1" t="s">
        <v>5790</v>
      </c>
      <c r="C3123" s="1" t="s">
        <v>5790</v>
      </c>
      <c r="G3123" s="16"/>
      <c r="M3123">
        <v>1</v>
      </c>
      <c r="N3123">
        <v>-4</v>
      </c>
      <c r="O3123">
        <v>0</v>
      </c>
      <c r="AE3123">
        <v>0</v>
      </c>
    </row>
    <row r="3124" spans="1:42">
      <c r="G3124" s="16"/>
    </row>
    <row r="3125" spans="1:42">
      <c r="G3125" s="16"/>
    </row>
    <row r="3126" spans="1:42">
      <c r="G3126" s="16"/>
    </row>
    <row r="3127" spans="1:42">
      <c r="G3127" s="16"/>
    </row>
    <row r="3128" spans="1:42">
      <c r="G3128" s="16"/>
    </row>
    <row r="3129" spans="1:42">
      <c r="G3129" s="16"/>
    </row>
    <row r="3130" spans="1:42">
      <c r="A3130" s="1" t="s">
        <v>46</v>
      </c>
      <c r="B3130" s="1" t="s">
        <v>5791</v>
      </c>
      <c r="C3130" s="1" t="s">
        <v>5791</v>
      </c>
      <c r="G3130" s="16"/>
      <c r="M3130">
        <v>1</v>
      </c>
      <c r="N3130">
        <v>119</v>
      </c>
      <c r="O3130">
        <v>0</v>
      </c>
      <c r="P3130">
        <v>3.39</v>
      </c>
      <c r="Q3130">
        <v>402.93</v>
      </c>
      <c r="R3130" t="s">
        <v>2504</v>
      </c>
      <c r="S3130">
        <v>0</v>
      </c>
      <c r="T3130" t="s">
        <v>52</v>
      </c>
      <c r="U3130">
        <v>0</v>
      </c>
      <c r="V3130">
        <v>0</v>
      </c>
      <c r="W3130">
        <v>410302</v>
      </c>
      <c r="AE3130">
        <v>0</v>
      </c>
      <c r="AP3130" t="s">
        <v>177</v>
      </c>
    </row>
    <row r="3131" spans="1:42">
      <c r="G3131" s="16"/>
    </row>
    <row r="3132" spans="1:42">
      <c r="G3132" s="16"/>
    </row>
    <row r="3133" spans="1:42">
      <c r="G3133" s="16"/>
    </row>
    <row r="3134" spans="1:42">
      <c r="G3134" s="16"/>
    </row>
    <row r="3135" spans="1:42">
      <c r="G3135" s="16"/>
    </row>
    <row r="3136" spans="1:42">
      <c r="G3136" s="16"/>
    </row>
    <row r="3137" spans="1:42">
      <c r="G3137" s="16"/>
    </row>
    <row r="3138" spans="1:42">
      <c r="G3138" s="16"/>
    </row>
    <row r="3139" spans="1:42">
      <c r="G3139" s="16"/>
    </row>
    <row r="3140" spans="1:42">
      <c r="G3140" s="16"/>
    </row>
    <row r="3141" spans="1:42">
      <c r="G3141" s="16"/>
    </row>
    <row r="3142" spans="1:42">
      <c r="G3142" s="16"/>
    </row>
    <row r="3143" spans="1:42">
      <c r="G3143" s="16"/>
    </row>
    <row r="3144" spans="1:42">
      <c r="A3144" s="1" t="s">
        <v>46</v>
      </c>
      <c r="B3144" s="1" t="s">
        <v>5792</v>
      </c>
      <c r="C3144" s="1" t="s">
        <v>5792</v>
      </c>
      <c r="G3144" s="16"/>
      <c r="M3144">
        <v>1</v>
      </c>
      <c r="N3144">
        <v>21</v>
      </c>
      <c r="O3144">
        <v>0</v>
      </c>
      <c r="P3144">
        <v>2.82</v>
      </c>
      <c r="Q3144">
        <v>59.22</v>
      </c>
      <c r="R3144" t="s">
        <v>176</v>
      </c>
      <c r="S3144">
        <v>0</v>
      </c>
      <c r="T3144" t="s">
        <v>227</v>
      </c>
      <c r="U3144">
        <v>0</v>
      </c>
      <c r="V3144">
        <v>0</v>
      </c>
      <c r="W3144">
        <v>400061</v>
      </c>
      <c r="X3144" t="s">
        <v>56</v>
      </c>
      <c r="Y3144" t="s">
        <v>57</v>
      </c>
      <c r="AE3144">
        <v>0</v>
      </c>
      <c r="AP3144" t="s">
        <v>169</v>
      </c>
    </row>
    <row r="3145" spans="1:42">
      <c r="A3145" s="1" t="s">
        <v>46</v>
      </c>
      <c r="B3145" s="1" t="s">
        <v>5793</v>
      </c>
      <c r="C3145" s="1" t="s">
        <v>5793</v>
      </c>
      <c r="G3145" s="16"/>
      <c r="M3145">
        <v>1</v>
      </c>
      <c r="N3145">
        <v>1</v>
      </c>
      <c r="O3145">
        <v>0</v>
      </c>
      <c r="P3145">
        <v>12</v>
      </c>
      <c r="Q3145">
        <v>12</v>
      </c>
      <c r="W3145">
        <v>400120</v>
      </c>
      <c r="AE3145">
        <v>0</v>
      </c>
      <c r="AP3145" t="s">
        <v>468</v>
      </c>
    </row>
    <row r="3146" spans="1:42">
      <c r="G3146" s="16"/>
    </row>
    <row r="3147" spans="1:42">
      <c r="G3147" s="16"/>
    </row>
    <row r="3148" spans="1:42">
      <c r="G3148" s="16"/>
    </row>
    <row r="3149" spans="1:42">
      <c r="G3149" s="16"/>
    </row>
    <row r="3150" spans="1:42">
      <c r="G3150" s="16"/>
    </row>
    <row r="3151" spans="1:42">
      <c r="G3151" s="16"/>
    </row>
    <row r="3152" spans="1:42">
      <c r="G3152" s="16"/>
    </row>
    <row r="3153" spans="1:42">
      <c r="G3153" s="16"/>
    </row>
    <row r="3154" spans="1:42">
      <c r="G3154" s="16"/>
    </row>
    <row r="3155" spans="1:42">
      <c r="G3155" s="16"/>
    </row>
    <row r="3156" spans="1:42">
      <c r="G3156" s="16"/>
    </row>
    <row r="3157" spans="1:42">
      <c r="G3157" s="16"/>
    </row>
    <row r="3158" spans="1:42">
      <c r="G3158" s="16"/>
    </row>
    <row r="3159" spans="1:42">
      <c r="A3159" s="1" t="s">
        <v>46</v>
      </c>
      <c r="B3159" s="1" t="s">
        <v>5794</v>
      </c>
      <c r="C3159" s="1" t="s">
        <v>5794</v>
      </c>
      <c r="G3159" s="16"/>
      <c r="M3159">
        <v>1</v>
      </c>
      <c r="N3159">
        <v>-3</v>
      </c>
      <c r="O3159">
        <v>0</v>
      </c>
      <c r="P3159">
        <v>100</v>
      </c>
      <c r="Q3159">
        <v>-300</v>
      </c>
      <c r="R3159">
        <v>0</v>
      </c>
      <c r="S3159">
        <v>0</v>
      </c>
      <c r="T3159">
        <v>0</v>
      </c>
      <c r="W3159">
        <v>400044</v>
      </c>
      <c r="AE3159">
        <v>0</v>
      </c>
      <c r="AP3159" t="s">
        <v>628</v>
      </c>
    </row>
    <row r="3160" spans="1:42">
      <c r="A3160" s="1" t="s">
        <v>46</v>
      </c>
      <c r="B3160" s="1" t="s">
        <v>5795</v>
      </c>
      <c r="C3160" s="1" t="s">
        <v>5795</v>
      </c>
      <c r="G3160" s="16"/>
      <c r="M3160">
        <v>1</v>
      </c>
      <c r="N3160">
        <v>1</v>
      </c>
      <c r="O3160">
        <v>0</v>
      </c>
      <c r="P3160">
        <v>5</v>
      </c>
      <c r="Q3160">
        <v>5</v>
      </c>
      <c r="W3160">
        <v>400017</v>
      </c>
      <c r="AE3160">
        <v>0</v>
      </c>
      <c r="AP3160" t="s">
        <v>49</v>
      </c>
    </row>
    <row r="3161" spans="1:42">
      <c r="A3161" s="1" t="s">
        <v>46</v>
      </c>
      <c r="B3161" s="1" t="s">
        <v>5796</v>
      </c>
      <c r="C3161" s="1" t="s">
        <v>5796</v>
      </c>
      <c r="G3161" s="16"/>
      <c r="M3161">
        <v>1</v>
      </c>
      <c r="N3161">
        <v>2</v>
      </c>
      <c r="O3161">
        <v>0</v>
      </c>
      <c r="P3161">
        <v>55</v>
      </c>
      <c r="Q3161">
        <v>110</v>
      </c>
      <c r="R3161">
        <v>0</v>
      </c>
      <c r="S3161">
        <v>0</v>
      </c>
      <c r="T3161" t="s">
        <v>17</v>
      </c>
      <c r="U3161">
        <v>0</v>
      </c>
      <c r="V3161">
        <v>0</v>
      </c>
      <c r="W3161">
        <v>400139</v>
      </c>
      <c r="X3161" t="s">
        <v>56</v>
      </c>
      <c r="Y3161" t="s">
        <v>57</v>
      </c>
      <c r="AE3161">
        <v>0</v>
      </c>
      <c r="AP3161" t="s">
        <v>1233</v>
      </c>
    </row>
    <row r="3162" spans="1:42">
      <c r="A3162" s="1" t="s">
        <v>46</v>
      </c>
      <c r="B3162" s="1" t="s">
        <v>5797</v>
      </c>
      <c r="C3162" s="1" t="s">
        <v>5797</v>
      </c>
      <c r="G3162" s="16"/>
      <c r="M3162">
        <v>1</v>
      </c>
      <c r="N3162">
        <v>183</v>
      </c>
      <c r="O3162">
        <v>0</v>
      </c>
      <c r="P3162">
        <v>3</v>
      </c>
      <c r="Q3162">
        <v>549</v>
      </c>
      <c r="R3162">
        <v>0</v>
      </c>
      <c r="S3162">
        <v>0</v>
      </c>
      <c r="T3162" t="s">
        <v>52</v>
      </c>
      <c r="U3162">
        <v>0</v>
      </c>
      <c r="V3162">
        <v>0</v>
      </c>
      <c r="W3162">
        <v>400158</v>
      </c>
      <c r="X3162" t="s">
        <v>56</v>
      </c>
      <c r="Y3162" t="s">
        <v>57</v>
      </c>
      <c r="AE3162">
        <v>0</v>
      </c>
      <c r="AP3162" t="s">
        <v>61</v>
      </c>
    </row>
    <row r="3163" spans="1:42">
      <c r="A3163" s="1" t="s">
        <v>46</v>
      </c>
      <c r="B3163" s="1" t="s">
        <v>5798</v>
      </c>
      <c r="C3163" s="1" t="s">
        <v>5798</v>
      </c>
      <c r="G3163" s="16"/>
      <c r="M3163">
        <v>1</v>
      </c>
      <c r="N3163">
        <v>-4</v>
      </c>
      <c r="O3163">
        <v>0</v>
      </c>
      <c r="P3163">
        <v>6.85</v>
      </c>
      <c r="Q3163">
        <v>-27.42</v>
      </c>
      <c r="R3163">
        <v>0</v>
      </c>
      <c r="S3163">
        <v>0</v>
      </c>
      <c r="T3163" t="s">
        <v>17</v>
      </c>
      <c r="W3163">
        <v>400068</v>
      </c>
      <c r="AE3163">
        <v>0</v>
      </c>
      <c r="AP3163" t="s">
        <v>872</v>
      </c>
    </row>
    <row r="3164" spans="1:42">
      <c r="A3164" s="1" t="s">
        <v>46</v>
      </c>
      <c r="B3164" s="1" t="s">
        <v>5799</v>
      </c>
      <c r="C3164" s="1" t="s">
        <v>5799</v>
      </c>
      <c r="G3164" s="16"/>
      <c r="M3164">
        <v>1</v>
      </c>
      <c r="N3164">
        <v>37</v>
      </c>
      <c r="O3164">
        <v>0</v>
      </c>
      <c r="P3164">
        <v>0.35</v>
      </c>
      <c r="Q3164">
        <v>12.95</v>
      </c>
      <c r="R3164">
        <v>0</v>
      </c>
      <c r="S3164">
        <v>0</v>
      </c>
      <c r="T3164" t="s">
        <v>52</v>
      </c>
      <c r="W3164">
        <v>400017</v>
      </c>
      <c r="AE3164">
        <v>0</v>
      </c>
      <c r="AP3164" t="s">
        <v>49</v>
      </c>
    </row>
    <row r="3165" spans="1:42">
      <c r="A3165" s="1" t="s">
        <v>46</v>
      </c>
      <c r="B3165" s="1" t="s">
        <v>5800</v>
      </c>
      <c r="C3165" s="1" t="s">
        <v>5800</v>
      </c>
      <c r="G3165" s="16"/>
      <c r="M3165">
        <v>1</v>
      </c>
      <c r="N3165">
        <v>10</v>
      </c>
      <c r="O3165">
        <v>0</v>
      </c>
      <c r="P3165">
        <v>11.1</v>
      </c>
      <c r="Q3165">
        <v>111</v>
      </c>
      <c r="R3165">
        <v>0</v>
      </c>
      <c r="S3165">
        <v>0</v>
      </c>
      <c r="T3165" t="s">
        <v>52</v>
      </c>
      <c r="W3165">
        <v>400046</v>
      </c>
      <c r="AE3165">
        <v>0</v>
      </c>
      <c r="AP3165" t="s">
        <v>407</v>
      </c>
    </row>
    <row r="3166" spans="1:42">
      <c r="A3166" s="1" t="s">
        <v>46</v>
      </c>
      <c r="B3166" s="1" t="s">
        <v>5801</v>
      </c>
      <c r="C3166" s="1" t="s">
        <v>5801</v>
      </c>
      <c r="G3166" s="16"/>
      <c r="M3166">
        <v>1</v>
      </c>
      <c r="N3166">
        <v>18</v>
      </c>
      <c r="O3166">
        <v>0</v>
      </c>
      <c r="P3166">
        <v>2.25</v>
      </c>
      <c r="Q3166">
        <v>40.5</v>
      </c>
      <c r="R3166">
        <v>0</v>
      </c>
      <c r="S3166">
        <v>0</v>
      </c>
      <c r="T3166" t="s">
        <v>52</v>
      </c>
      <c r="U3166">
        <v>0</v>
      </c>
      <c r="V3166">
        <v>0</v>
      </c>
      <c r="W3166">
        <v>400017</v>
      </c>
      <c r="X3166" t="s">
        <v>56</v>
      </c>
      <c r="Y3166" t="s">
        <v>57</v>
      </c>
      <c r="AE3166">
        <v>0</v>
      </c>
      <c r="AP3166" t="s">
        <v>49</v>
      </c>
    </row>
    <row r="3167" spans="1:42">
      <c r="A3167" s="1" t="s">
        <v>46</v>
      </c>
      <c r="B3167" s="1" t="s">
        <v>5802</v>
      </c>
      <c r="C3167" s="1" t="s">
        <v>5802</v>
      </c>
      <c r="G3167" s="16"/>
      <c r="M3167">
        <v>1</v>
      </c>
      <c r="N3167">
        <v>641</v>
      </c>
      <c r="O3167">
        <v>0</v>
      </c>
      <c r="P3167">
        <v>1.4</v>
      </c>
      <c r="Q3167">
        <v>897.4</v>
      </c>
      <c r="R3167">
        <v>0</v>
      </c>
      <c r="S3167">
        <v>0</v>
      </c>
      <c r="T3167" t="s">
        <v>4637</v>
      </c>
      <c r="U3167">
        <v>0</v>
      </c>
      <c r="V3167">
        <v>0</v>
      </c>
      <c r="W3167">
        <v>400158</v>
      </c>
      <c r="X3167" t="s">
        <v>56</v>
      </c>
      <c r="Y3167" t="s">
        <v>57</v>
      </c>
      <c r="AE3167">
        <v>0</v>
      </c>
      <c r="AP3167" t="s">
        <v>61</v>
      </c>
    </row>
    <row r="3168" spans="1:42">
      <c r="A3168" s="1" t="s">
        <v>46</v>
      </c>
      <c r="B3168" s="1" t="s">
        <v>5803</v>
      </c>
      <c r="C3168" s="1" t="s">
        <v>5803</v>
      </c>
      <c r="G3168" s="16"/>
      <c r="M3168">
        <v>1</v>
      </c>
      <c r="N3168">
        <v>85</v>
      </c>
      <c r="O3168">
        <v>0</v>
      </c>
      <c r="P3168">
        <v>4.5</v>
      </c>
      <c r="Q3168">
        <v>382.5</v>
      </c>
      <c r="R3168">
        <v>0</v>
      </c>
      <c r="S3168">
        <v>0</v>
      </c>
      <c r="T3168" t="s">
        <v>209</v>
      </c>
      <c r="U3168">
        <v>0</v>
      </c>
      <c r="V3168">
        <v>0</v>
      </c>
      <c r="W3168">
        <v>400017</v>
      </c>
      <c r="X3168" t="s">
        <v>56</v>
      </c>
      <c r="Y3168" t="s">
        <v>57</v>
      </c>
      <c r="AE3168">
        <v>0</v>
      </c>
      <c r="AP3168" t="s">
        <v>49</v>
      </c>
    </row>
    <row r="3169" spans="1:42">
      <c r="A3169" s="1" t="s">
        <v>46</v>
      </c>
      <c r="B3169" s="1" t="s">
        <v>5804</v>
      </c>
      <c r="C3169" s="1" t="s">
        <v>5804</v>
      </c>
      <c r="G3169" s="16"/>
      <c r="M3169">
        <v>1</v>
      </c>
      <c r="N3169">
        <v>163</v>
      </c>
      <c r="O3169">
        <v>0</v>
      </c>
      <c r="P3169">
        <v>3.25</v>
      </c>
      <c r="Q3169">
        <v>529.75</v>
      </c>
      <c r="R3169">
        <v>0</v>
      </c>
      <c r="S3169">
        <v>0</v>
      </c>
      <c r="T3169" t="s">
        <v>52</v>
      </c>
      <c r="U3169">
        <v>0</v>
      </c>
      <c r="V3169">
        <v>0</v>
      </c>
      <c r="W3169">
        <v>400017</v>
      </c>
      <c r="X3169" t="s">
        <v>56</v>
      </c>
      <c r="Y3169" t="s">
        <v>57</v>
      </c>
      <c r="AE3169">
        <v>0</v>
      </c>
      <c r="AP3169" t="s">
        <v>49</v>
      </c>
    </row>
    <row r="3170" spans="1:42">
      <c r="A3170" s="1" t="s">
        <v>46</v>
      </c>
      <c r="B3170" s="1" t="s">
        <v>5805</v>
      </c>
      <c r="C3170" s="1" t="s">
        <v>5805</v>
      </c>
      <c r="G3170" s="16"/>
      <c r="M3170">
        <v>1</v>
      </c>
      <c r="N3170">
        <v>1000</v>
      </c>
      <c r="O3170">
        <v>0</v>
      </c>
      <c r="P3170">
        <v>0.01</v>
      </c>
      <c r="Q3170">
        <v>10</v>
      </c>
      <c r="R3170">
        <v>0</v>
      </c>
      <c r="S3170">
        <v>0</v>
      </c>
      <c r="T3170" t="s">
        <v>52</v>
      </c>
      <c r="U3170">
        <v>0</v>
      </c>
      <c r="V3170">
        <v>0</v>
      </c>
      <c r="W3170">
        <v>400017</v>
      </c>
      <c r="X3170" t="s">
        <v>56</v>
      </c>
      <c r="Y3170" t="s">
        <v>57</v>
      </c>
      <c r="AE3170">
        <v>0</v>
      </c>
      <c r="AP3170" t="s">
        <v>49</v>
      </c>
    </row>
    <row r="3171" spans="1:42">
      <c r="A3171" s="1" t="s">
        <v>46</v>
      </c>
      <c r="B3171" s="1" t="s">
        <v>5806</v>
      </c>
      <c r="C3171" s="1" t="s">
        <v>5806</v>
      </c>
      <c r="G3171" s="16"/>
      <c r="M3171">
        <v>1</v>
      </c>
      <c r="N3171">
        <v>-5</v>
      </c>
      <c r="O3171">
        <v>0</v>
      </c>
      <c r="P3171">
        <v>0.75</v>
      </c>
      <c r="Q3171">
        <v>-3.75</v>
      </c>
      <c r="R3171">
        <v>0</v>
      </c>
      <c r="S3171">
        <v>0</v>
      </c>
      <c r="T3171" t="s">
        <v>52</v>
      </c>
      <c r="W3171">
        <v>400002</v>
      </c>
      <c r="AE3171">
        <v>0</v>
      </c>
      <c r="AP3171" t="s">
        <v>116</v>
      </c>
    </row>
    <row r="3172" spans="1:42">
      <c r="A3172" s="1" t="s">
        <v>46</v>
      </c>
      <c r="B3172" s="1" t="s">
        <v>5807</v>
      </c>
      <c r="C3172" s="1" t="s">
        <v>5807</v>
      </c>
      <c r="G3172" s="16"/>
      <c r="M3172">
        <v>1</v>
      </c>
      <c r="N3172">
        <v>141</v>
      </c>
      <c r="O3172">
        <v>0</v>
      </c>
      <c r="P3172">
        <v>0.5</v>
      </c>
      <c r="Q3172">
        <v>70.5</v>
      </c>
      <c r="R3172">
        <v>0</v>
      </c>
      <c r="S3172">
        <v>0</v>
      </c>
      <c r="T3172" t="s">
        <v>17</v>
      </c>
      <c r="W3172">
        <v>400017</v>
      </c>
      <c r="AE3172">
        <v>0</v>
      </c>
      <c r="AP3172" t="s">
        <v>49</v>
      </c>
    </row>
    <row r="3173" spans="1:42">
      <c r="A3173" s="1" t="s">
        <v>46</v>
      </c>
      <c r="B3173" s="1" t="s">
        <v>5808</v>
      </c>
      <c r="C3173" s="1" t="s">
        <v>5808</v>
      </c>
      <c r="G3173" s="16"/>
      <c r="M3173">
        <v>1</v>
      </c>
      <c r="N3173">
        <v>88</v>
      </c>
      <c r="O3173">
        <v>0</v>
      </c>
      <c r="P3173">
        <v>0.75</v>
      </c>
      <c r="Q3173">
        <v>66</v>
      </c>
      <c r="R3173">
        <v>0</v>
      </c>
      <c r="S3173">
        <v>0</v>
      </c>
      <c r="T3173" t="s">
        <v>17</v>
      </c>
      <c r="W3173">
        <v>400017</v>
      </c>
      <c r="AE3173">
        <v>0</v>
      </c>
      <c r="AP3173" t="s">
        <v>49</v>
      </c>
    </row>
    <row r="3174" spans="1:42">
      <c r="A3174" s="1" t="s">
        <v>46</v>
      </c>
      <c r="B3174" s="1" t="s">
        <v>5809</v>
      </c>
      <c r="C3174" s="1" t="s">
        <v>5809</v>
      </c>
      <c r="G3174" s="16"/>
      <c r="M3174">
        <v>1</v>
      </c>
      <c r="N3174">
        <v>21</v>
      </c>
      <c r="O3174">
        <v>0</v>
      </c>
      <c r="P3174">
        <v>10</v>
      </c>
      <c r="Q3174">
        <v>210</v>
      </c>
      <c r="R3174">
        <v>0</v>
      </c>
      <c r="S3174">
        <v>0</v>
      </c>
      <c r="T3174" t="s">
        <v>52</v>
      </c>
      <c r="U3174">
        <v>0</v>
      </c>
      <c r="V3174">
        <v>0</v>
      </c>
      <c r="W3174">
        <v>410302</v>
      </c>
      <c r="X3174" t="s">
        <v>56</v>
      </c>
      <c r="Y3174" t="s">
        <v>57</v>
      </c>
      <c r="AE3174">
        <v>0</v>
      </c>
      <c r="AP3174" t="s">
        <v>177</v>
      </c>
    </row>
    <row r="3175" spans="1:42">
      <c r="A3175" s="1" t="s">
        <v>46</v>
      </c>
      <c r="B3175" s="1" t="s">
        <v>5810</v>
      </c>
      <c r="C3175" s="1" t="s">
        <v>5810</v>
      </c>
      <c r="G3175" s="16"/>
      <c r="M3175">
        <v>1</v>
      </c>
      <c r="N3175">
        <v>242</v>
      </c>
      <c r="O3175">
        <v>0</v>
      </c>
      <c r="P3175">
        <v>7.25</v>
      </c>
      <c r="Q3175">
        <v>1754.5</v>
      </c>
      <c r="R3175">
        <v>0</v>
      </c>
      <c r="S3175">
        <v>0</v>
      </c>
      <c r="T3175" t="s">
        <v>52</v>
      </c>
      <c r="U3175">
        <v>0</v>
      </c>
      <c r="V3175">
        <v>0</v>
      </c>
      <c r="W3175">
        <v>400032</v>
      </c>
      <c r="X3175" t="s">
        <v>56</v>
      </c>
      <c r="Y3175" t="s">
        <v>57</v>
      </c>
      <c r="AE3175">
        <v>0</v>
      </c>
      <c r="AP3175" t="s">
        <v>404</v>
      </c>
    </row>
    <row r="3176" spans="1:42">
      <c r="A3176" s="1" t="s">
        <v>46</v>
      </c>
      <c r="B3176" s="1" t="s">
        <v>5811</v>
      </c>
      <c r="C3176" s="1" t="s">
        <v>5811</v>
      </c>
      <c r="G3176" s="16"/>
      <c r="M3176">
        <v>1</v>
      </c>
      <c r="N3176">
        <v>517</v>
      </c>
      <c r="O3176">
        <v>0</v>
      </c>
      <c r="P3176">
        <v>45</v>
      </c>
      <c r="Q3176">
        <v>23265</v>
      </c>
      <c r="R3176">
        <v>0</v>
      </c>
      <c r="S3176">
        <v>0</v>
      </c>
      <c r="T3176" t="s">
        <v>52</v>
      </c>
      <c r="U3176" t="s">
        <v>52</v>
      </c>
      <c r="V3176">
        <v>0</v>
      </c>
      <c r="W3176">
        <v>400158</v>
      </c>
      <c r="AE3176">
        <v>0</v>
      </c>
      <c r="AP3176" t="s">
        <v>61</v>
      </c>
    </row>
    <row r="3177" spans="1:42">
      <c r="A3177" s="1" t="s">
        <v>46</v>
      </c>
      <c r="B3177" s="1" t="s">
        <v>5812</v>
      </c>
      <c r="C3177" s="1" t="s">
        <v>5812</v>
      </c>
      <c r="G3177" s="16"/>
      <c r="M3177">
        <v>1</v>
      </c>
      <c r="N3177">
        <v>300</v>
      </c>
      <c r="O3177">
        <v>0</v>
      </c>
      <c r="P3177">
        <v>0.55000000000000004</v>
      </c>
      <c r="Q3177">
        <v>165</v>
      </c>
      <c r="R3177">
        <v>0</v>
      </c>
      <c r="S3177">
        <v>0</v>
      </c>
      <c r="T3177" t="s">
        <v>52</v>
      </c>
      <c r="U3177">
        <v>0</v>
      </c>
      <c r="V3177">
        <v>0</v>
      </c>
      <c r="W3177">
        <v>400158</v>
      </c>
      <c r="X3177" t="s">
        <v>56</v>
      </c>
      <c r="Y3177" t="s">
        <v>57</v>
      </c>
      <c r="AE3177">
        <v>0</v>
      </c>
      <c r="AP3177" t="s">
        <v>61</v>
      </c>
    </row>
    <row r="3178" spans="1:42">
      <c r="A3178" s="1" t="s">
        <v>46</v>
      </c>
      <c r="B3178" s="1" t="s">
        <v>5813</v>
      </c>
      <c r="C3178" s="1" t="s">
        <v>5813</v>
      </c>
      <c r="G3178" s="16"/>
      <c r="M3178">
        <v>1</v>
      </c>
      <c r="N3178">
        <v>88</v>
      </c>
      <c r="O3178">
        <v>0</v>
      </c>
      <c r="P3178">
        <v>0.75</v>
      </c>
      <c r="Q3178">
        <v>66</v>
      </c>
      <c r="W3178">
        <v>400158</v>
      </c>
      <c r="AE3178">
        <v>0</v>
      </c>
      <c r="AP3178" t="s">
        <v>61</v>
      </c>
    </row>
    <row r="3179" spans="1:42">
      <c r="A3179" s="1" t="s">
        <v>46</v>
      </c>
      <c r="B3179" s="1" t="s">
        <v>5814</v>
      </c>
      <c r="C3179" s="1" t="s">
        <v>5814</v>
      </c>
      <c r="G3179" s="16"/>
      <c r="M3179">
        <v>1</v>
      </c>
      <c r="N3179">
        <v>100</v>
      </c>
      <c r="O3179">
        <v>0</v>
      </c>
      <c r="P3179">
        <v>0.6</v>
      </c>
      <c r="Q3179">
        <v>60</v>
      </c>
      <c r="W3179">
        <v>400158</v>
      </c>
      <c r="AE3179">
        <v>0</v>
      </c>
      <c r="AP3179" t="s">
        <v>61</v>
      </c>
    </row>
    <row r="3180" spans="1:42">
      <c r="A3180" s="1" t="s">
        <v>46</v>
      </c>
      <c r="B3180" s="1" t="s">
        <v>5815</v>
      </c>
      <c r="C3180" s="1" t="s">
        <v>5815</v>
      </c>
      <c r="G3180" s="16"/>
      <c r="M3180">
        <v>1</v>
      </c>
      <c r="N3180">
        <v>117</v>
      </c>
      <c r="O3180">
        <v>0</v>
      </c>
      <c r="P3180">
        <v>0.9</v>
      </c>
      <c r="Q3180">
        <v>105.3</v>
      </c>
      <c r="R3180">
        <v>0</v>
      </c>
      <c r="S3180">
        <v>0</v>
      </c>
      <c r="T3180">
        <v>0</v>
      </c>
      <c r="W3180">
        <v>400110</v>
      </c>
      <c r="AE3180">
        <v>0</v>
      </c>
      <c r="AP3180" t="s">
        <v>344</v>
      </c>
    </row>
    <row r="3181" spans="1:42">
      <c r="A3181" s="1" t="s">
        <v>46</v>
      </c>
      <c r="B3181" s="1" t="s">
        <v>5816</v>
      </c>
      <c r="C3181" s="1" t="s">
        <v>5816</v>
      </c>
      <c r="G3181" s="16"/>
      <c r="M3181">
        <v>1</v>
      </c>
      <c r="N3181">
        <v>335</v>
      </c>
      <c r="O3181">
        <v>0</v>
      </c>
      <c r="P3181">
        <v>0.75</v>
      </c>
      <c r="Q3181">
        <v>251.25</v>
      </c>
      <c r="R3181" t="s">
        <v>492</v>
      </c>
      <c r="S3181">
        <v>0</v>
      </c>
      <c r="T3181" t="s">
        <v>52</v>
      </c>
      <c r="U3181">
        <v>0</v>
      </c>
      <c r="V3181">
        <v>0</v>
      </c>
      <c r="W3181">
        <v>400158</v>
      </c>
      <c r="X3181" t="s">
        <v>56</v>
      </c>
      <c r="Y3181" t="s">
        <v>57</v>
      </c>
      <c r="AE3181">
        <v>0</v>
      </c>
      <c r="AP3181" t="s">
        <v>61</v>
      </c>
    </row>
    <row r="3182" spans="1:42">
      <c r="A3182" s="1" t="s">
        <v>46</v>
      </c>
      <c r="B3182" s="1" t="s">
        <v>5817</v>
      </c>
      <c r="C3182" s="1" t="s">
        <v>5817</v>
      </c>
      <c r="G3182" s="16"/>
      <c r="M3182">
        <v>1</v>
      </c>
      <c r="N3182">
        <v>150</v>
      </c>
      <c r="O3182">
        <v>0</v>
      </c>
      <c r="P3182">
        <v>0.85</v>
      </c>
      <c r="Q3182">
        <v>127.5</v>
      </c>
      <c r="R3182" t="s">
        <v>492</v>
      </c>
      <c r="S3182">
        <v>0</v>
      </c>
      <c r="T3182" t="s">
        <v>52</v>
      </c>
      <c r="U3182">
        <v>0</v>
      </c>
      <c r="V3182">
        <v>0</v>
      </c>
      <c r="W3182">
        <v>400158</v>
      </c>
      <c r="X3182" t="s">
        <v>56</v>
      </c>
      <c r="Y3182" t="s">
        <v>57</v>
      </c>
      <c r="AE3182">
        <v>0</v>
      </c>
      <c r="AP3182" t="s">
        <v>61</v>
      </c>
    </row>
    <row r="3183" spans="1:42">
      <c r="A3183" s="1" t="s">
        <v>46</v>
      </c>
      <c r="B3183" s="1" t="s">
        <v>5818</v>
      </c>
      <c r="C3183" s="1" t="s">
        <v>5818</v>
      </c>
      <c r="G3183" s="16"/>
      <c r="M3183">
        <v>1</v>
      </c>
      <c r="N3183">
        <v>106</v>
      </c>
      <c r="O3183">
        <v>0</v>
      </c>
      <c r="P3183">
        <v>1.7</v>
      </c>
      <c r="Q3183">
        <v>180.2</v>
      </c>
      <c r="R3183">
        <v>0</v>
      </c>
      <c r="S3183">
        <v>0</v>
      </c>
      <c r="T3183">
        <v>0</v>
      </c>
      <c r="W3183">
        <v>400067</v>
      </c>
      <c r="AE3183">
        <v>0</v>
      </c>
      <c r="AP3183" t="s">
        <v>5819</v>
      </c>
    </row>
    <row r="3184" spans="1:42">
      <c r="A3184" s="1" t="s">
        <v>46</v>
      </c>
      <c r="B3184" s="1" t="s">
        <v>5820</v>
      </c>
      <c r="C3184" s="1" t="s">
        <v>5820</v>
      </c>
      <c r="G3184" s="16"/>
      <c r="M3184">
        <v>1</v>
      </c>
      <c r="N3184">
        <v>240</v>
      </c>
      <c r="O3184">
        <v>0</v>
      </c>
      <c r="P3184">
        <v>1.1000000000000001</v>
      </c>
      <c r="Q3184">
        <v>264</v>
      </c>
      <c r="R3184" t="s">
        <v>492</v>
      </c>
      <c r="S3184">
        <v>0</v>
      </c>
      <c r="T3184" t="s">
        <v>52</v>
      </c>
      <c r="U3184">
        <v>0</v>
      </c>
      <c r="V3184">
        <v>0</v>
      </c>
      <c r="W3184">
        <v>400158</v>
      </c>
      <c r="X3184" t="s">
        <v>56</v>
      </c>
      <c r="Y3184" t="s">
        <v>57</v>
      </c>
      <c r="AE3184">
        <v>0</v>
      </c>
      <c r="AP3184" t="s">
        <v>61</v>
      </c>
    </row>
    <row r="3185" spans="1:42">
      <c r="A3185" s="1" t="s">
        <v>46</v>
      </c>
      <c r="B3185" s="1" t="s">
        <v>5821</v>
      </c>
      <c r="C3185" s="1" t="s">
        <v>5821</v>
      </c>
      <c r="G3185" s="16"/>
      <c r="M3185">
        <v>1</v>
      </c>
      <c r="N3185">
        <v>148</v>
      </c>
      <c r="O3185">
        <v>0</v>
      </c>
      <c r="P3185">
        <v>1.25</v>
      </c>
      <c r="Q3185">
        <v>185</v>
      </c>
      <c r="R3185">
        <v>0</v>
      </c>
      <c r="S3185">
        <v>0</v>
      </c>
      <c r="T3185" t="s">
        <v>52</v>
      </c>
      <c r="U3185" t="s">
        <v>52</v>
      </c>
      <c r="V3185">
        <v>0</v>
      </c>
      <c r="W3185">
        <v>400158</v>
      </c>
      <c r="X3185" t="s">
        <v>56</v>
      </c>
      <c r="Y3185" t="s">
        <v>57</v>
      </c>
      <c r="AE3185">
        <v>0</v>
      </c>
      <c r="AP3185" t="s">
        <v>61</v>
      </c>
    </row>
    <row r="3186" spans="1:42">
      <c r="G3186" s="16"/>
    </row>
    <row r="3187" spans="1:42">
      <c r="G3187" s="16"/>
    </row>
    <row r="3188" spans="1:42">
      <c r="G3188" s="16"/>
    </row>
    <row r="3189" spans="1:42">
      <c r="G3189" s="16"/>
    </row>
    <row r="3190" spans="1:42">
      <c r="G3190" s="16"/>
    </row>
    <row r="3191" spans="1:42">
      <c r="G3191" s="16"/>
    </row>
    <row r="3192" spans="1:42">
      <c r="G3192" s="16"/>
    </row>
    <row r="3193" spans="1:42">
      <c r="A3193" s="1" t="s">
        <v>46</v>
      </c>
      <c r="B3193" s="1" t="s">
        <v>5822</v>
      </c>
      <c r="C3193" s="1" t="s">
        <v>5822</v>
      </c>
      <c r="G3193" s="16"/>
      <c r="M3193">
        <v>1</v>
      </c>
      <c r="N3193">
        <v>-2</v>
      </c>
      <c r="O3193">
        <v>0</v>
      </c>
      <c r="R3193">
        <v>0</v>
      </c>
      <c r="S3193">
        <v>0</v>
      </c>
      <c r="T3193">
        <v>0</v>
      </c>
      <c r="W3193">
        <v>400017</v>
      </c>
      <c r="AE3193">
        <v>0</v>
      </c>
      <c r="AP3193" t="s">
        <v>49</v>
      </c>
    </row>
    <row r="3194" spans="1:42">
      <c r="A3194" s="1" t="s">
        <v>46</v>
      </c>
      <c r="B3194" s="1" t="s">
        <v>5823</v>
      </c>
      <c r="C3194" s="1" t="s">
        <v>5823</v>
      </c>
      <c r="G3194" s="16"/>
      <c r="M3194">
        <v>1</v>
      </c>
      <c r="N3194">
        <v>53</v>
      </c>
      <c r="O3194">
        <v>0</v>
      </c>
      <c r="P3194">
        <v>1.25</v>
      </c>
      <c r="Q3194">
        <v>66.25</v>
      </c>
      <c r="R3194">
        <v>0</v>
      </c>
      <c r="S3194">
        <v>0</v>
      </c>
      <c r="T3194" t="s">
        <v>52</v>
      </c>
      <c r="U3194">
        <v>0</v>
      </c>
      <c r="V3194">
        <v>0</v>
      </c>
      <c r="W3194">
        <v>400017</v>
      </c>
      <c r="X3194" t="s">
        <v>56</v>
      </c>
      <c r="Y3194" t="s">
        <v>57</v>
      </c>
      <c r="AE3194">
        <v>0</v>
      </c>
      <c r="AP3194" t="s">
        <v>49</v>
      </c>
    </row>
    <row r="3195" spans="1:42">
      <c r="A3195" s="1" t="s">
        <v>46</v>
      </c>
      <c r="B3195" s="1" t="s">
        <v>5824</v>
      </c>
      <c r="C3195" s="1" t="s">
        <v>5824</v>
      </c>
      <c r="G3195" s="16"/>
      <c r="M3195">
        <v>1</v>
      </c>
      <c r="N3195">
        <v>494</v>
      </c>
      <c r="O3195">
        <v>0</v>
      </c>
      <c r="P3195">
        <v>3.75</v>
      </c>
      <c r="Q3195">
        <v>1852.5</v>
      </c>
      <c r="R3195">
        <v>0</v>
      </c>
      <c r="S3195">
        <v>0</v>
      </c>
      <c r="T3195" t="s">
        <v>52</v>
      </c>
      <c r="W3195">
        <v>400135</v>
      </c>
      <c r="AE3195">
        <v>0</v>
      </c>
      <c r="AP3195" t="s">
        <v>5698</v>
      </c>
    </row>
    <row r="3196" spans="1:42">
      <c r="A3196" s="1" t="s">
        <v>46</v>
      </c>
      <c r="B3196" s="1" t="s">
        <v>5825</v>
      </c>
      <c r="C3196" s="1" t="s">
        <v>5825</v>
      </c>
      <c r="G3196" s="16"/>
      <c r="M3196">
        <v>1</v>
      </c>
      <c r="N3196">
        <v>-173</v>
      </c>
      <c r="O3196">
        <v>0</v>
      </c>
      <c r="P3196">
        <v>0.75</v>
      </c>
      <c r="Q3196">
        <v>-129.75</v>
      </c>
      <c r="R3196">
        <v>0</v>
      </c>
      <c r="S3196">
        <v>0</v>
      </c>
      <c r="T3196" t="s">
        <v>52</v>
      </c>
      <c r="U3196">
        <v>0</v>
      </c>
      <c r="V3196">
        <v>0</v>
      </c>
      <c r="W3196">
        <v>400002</v>
      </c>
      <c r="X3196" t="s">
        <v>56</v>
      </c>
      <c r="Y3196" t="s">
        <v>57</v>
      </c>
      <c r="AE3196">
        <v>0</v>
      </c>
      <c r="AP3196" t="s">
        <v>116</v>
      </c>
    </row>
    <row r="3197" spans="1:42">
      <c r="A3197" s="1" t="s">
        <v>46</v>
      </c>
      <c r="B3197" s="1" t="s">
        <v>5826</v>
      </c>
      <c r="C3197" s="1" t="s">
        <v>5826</v>
      </c>
      <c r="G3197" s="16"/>
      <c r="M3197">
        <v>1</v>
      </c>
      <c r="N3197">
        <v>3</v>
      </c>
      <c r="O3197">
        <v>0</v>
      </c>
      <c r="P3197">
        <v>190</v>
      </c>
      <c r="Q3197">
        <v>570</v>
      </c>
      <c r="AE3197">
        <v>0</v>
      </c>
    </row>
    <row r="3198" spans="1:42">
      <c r="A3198" s="1" t="s">
        <v>46</v>
      </c>
      <c r="B3198" s="1" t="s">
        <v>5827</v>
      </c>
      <c r="C3198" s="1" t="s">
        <v>5827</v>
      </c>
      <c r="G3198" s="16"/>
      <c r="M3198">
        <v>1</v>
      </c>
      <c r="N3198">
        <v>97</v>
      </c>
      <c r="O3198">
        <v>0</v>
      </c>
      <c r="P3198">
        <v>1.75</v>
      </c>
      <c r="Q3198">
        <v>169.75</v>
      </c>
      <c r="R3198">
        <v>0</v>
      </c>
      <c r="S3198">
        <v>0</v>
      </c>
      <c r="T3198" t="s">
        <v>52</v>
      </c>
      <c r="U3198">
        <v>0</v>
      </c>
      <c r="V3198">
        <v>0</v>
      </c>
      <c r="W3198">
        <v>400017</v>
      </c>
      <c r="X3198" t="s">
        <v>56</v>
      </c>
      <c r="Y3198" t="s">
        <v>57</v>
      </c>
      <c r="AE3198">
        <v>0</v>
      </c>
      <c r="AP3198" t="s">
        <v>49</v>
      </c>
    </row>
    <row r="3199" spans="1:42">
      <c r="A3199" s="1" t="s">
        <v>46</v>
      </c>
      <c r="B3199" s="1" t="s">
        <v>5828</v>
      </c>
      <c r="C3199" s="1" t="s">
        <v>5828</v>
      </c>
      <c r="G3199" s="16"/>
      <c r="M3199">
        <v>1</v>
      </c>
      <c r="N3199">
        <v>82</v>
      </c>
      <c r="O3199">
        <v>0</v>
      </c>
      <c r="P3199">
        <v>1.5</v>
      </c>
      <c r="Q3199">
        <v>123</v>
      </c>
      <c r="R3199">
        <v>0</v>
      </c>
      <c r="S3199">
        <v>0</v>
      </c>
      <c r="T3199">
        <v>0</v>
      </c>
      <c r="W3199">
        <v>400135</v>
      </c>
      <c r="AE3199">
        <v>0</v>
      </c>
      <c r="AP3199" t="s">
        <v>5698</v>
      </c>
    </row>
    <row r="3200" spans="1:42">
      <c r="A3200" s="1" t="s">
        <v>46</v>
      </c>
      <c r="B3200" s="1" t="s">
        <v>5829</v>
      </c>
      <c r="C3200" s="1" t="s">
        <v>5829</v>
      </c>
      <c r="G3200" s="16"/>
      <c r="M3200">
        <v>1</v>
      </c>
      <c r="N3200">
        <v>2</v>
      </c>
      <c r="O3200">
        <v>0</v>
      </c>
      <c r="P3200">
        <v>1.25</v>
      </c>
      <c r="Q3200">
        <v>2.5</v>
      </c>
      <c r="R3200">
        <v>0</v>
      </c>
      <c r="S3200">
        <v>0</v>
      </c>
      <c r="T3200" t="s">
        <v>52</v>
      </c>
      <c r="W3200">
        <v>400017</v>
      </c>
      <c r="AE3200">
        <v>0</v>
      </c>
      <c r="AP3200" t="s">
        <v>49</v>
      </c>
    </row>
    <row r="3201" spans="1:42">
      <c r="A3201" s="1" t="s">
        <v>46</v>
      </c>
      <c r="B3201" s="1" t="s">
        <v>5830</v>
      </c>
      <c r="C3201" s="1" t="s">
        <v>5830</v>
      </c>
      <c r="G3201" s="16"/>
      <c r="M3201">
        <v>1</v>
      </c>
      <c r="N3201">
        <v>29</v>
      </c>
      <c r="O3201">
        <v>0</v>
      </c>
      <c r="P3201">
        <v>13</v>
      </c>
      <c r="Q3201">
        <v>377</v>
      </c>
      <c r="R3201">
        <v>0</v>
      </c>
      <c r="S3201">
        <v>0</v>
      </c>
      <c r="T3201" t="s">
        <v>52</v>
      </c>
      <c r="U3201">
        <v>0</v>
      </c>
      <c r="V3201">
        <v>0</v>
      </c>
      <c r="W3201">
        <v>410120</v>
      </c>
      <c r="X3201" t="s">
        <v>56</v>
      </c>
      <c r="Y3201" t="s">
        <v>57</v>
      </c>
      <c r="AE3201">
        <v>0</v>
      </c>
      <c r="AP3201" t="s">
        <v>112</v>
      </c>
    </row>
    <row r="3202" spans="1:42">
      <c r="A3202" s="1" t="s">
        <v>46</v>
      </c>
      <c r="B3202" s="1" t="s">
        <v>5831</v>
      </c>
      <c r="C3202" s="1" t="s">
        <v>5831</v>
      </c>
      <c r="G3202" s="16"/>
      <c r="I3202">
        <v>80.3</v>
      </c>
      <c r="M3202">
        <v>1</v>
      </c>
      <c r="N3202">
        <v>3</v>
      </c>
      <c r="O3202">
        <v>0</v>
      </c>
      <c r="P3202">
        <v>83.07</v>
      </c>
      <c r="Q3202">
        <v>249.21</v>
      </c>
      <c r="R3202" t="s">
        <v>107</v>
      </c>
      <c r="S3202">
        <v>0</v>
      </c>
      <c r="T3202" t="s">
        <v>52</v>
      </c>
      <c r="U3202">
        <v>0</v>
      </c>
      <c r="V3202">
        <v>0</v>
      </c>
      <c r="W3202">
        <v>400010</v>
      </c>
      <c r="AE3202">
        <v>0</v>
      </c>
      <c r="AH3202">
        <v>80.3</v>
      </c>
      <c r="AP3202" t="s">
        <v>66</v>
      </c>
    </row>
    <row r="3203" spans="1:42">
      <c r="A3203" s="1" t="s">
        <v>46</v>
      </c>
      <c r="B3203" s="1" t="s">
        <v>5832</v>
      </c>
      <c r="C3203" s="1" t="s">
        <v>5832</v>
      </c>
      <c r="G3203" s="16"/>
      <c r="I3203">
        <v>80.3</v>
      </c>
      <c r="M3203">
        <v>1</v>
      </c>
      <c r="N3203">
        <v>-3</v>
      </c>
      <c r="O3203">
        <v>0</v>
      </c>
      <c r="P3203">
        <v>61.76</v>
      </c>
      <c r="Q3203">
        <v>-185.28</v>
      </c>
      <c r="R3203" t="s">
        <v>107</v>
      </c>
      <c r="S3203">
        <v>0</v>
      </c>
      <c r="T3203" t="s">
        <v>52</v>
      </c>
      <c r="U3203">
        <v>0</v>
      </c>
      <c r="V3203">
        <v>0</v>
      </c>
      <c r="W3203">
        <v>400013</v>
      </c>
      <c r="AE3203">
        <v>0</v>
      </c>
      <c r="AH3203">
        <v>80.3</v>
      </c>
      <c r="AP3203" t="s">
        <v>232</v>
      </c>
    </row>
    <row r="3204" spans="1:42">
      <c r="A3204" s="1" t="s">
        <v>46</v>
      </c>
      <c r="B3204" s="1" t="s">
        <v>3335</v>
      </c>
      <c r="C3204" s="1" t="s">
        <v>3335</v>
      </c>
      <c r="G3204" s="16"/>
      <c r="M3204">
        <v>1</v>
      </c>
      <c r="N3204">
        <v>1724</v>
      </c>
      <c r="O3204">
        <v>0</v>
      </c>
      <c r="P3204">
        <v>1.08</v>
      </c>
      <c r="Q3204">
        <v>1867.67</v>
      </c>
      <c r="R3204">
        <v>0</v>
      </c>
      <c r="S3204">
        <v>0</v>
      </c>
      <c r="T3204" t="s">
        <v>52</v>
      </c>
      <c r="U3204">
        <v>0</v>
      </c>
      <c r="V3204">
        <v>0</v>
      </c>
      <c r="W3204">
        <v>400017</v>
      </c>
      <c r="X3204" t="s">
        <v>56</v>
      </c>
      <c r="Y3204" t="s">
        <v>57</v>
      </c>
      <c r="AE3204">
        <v>0</v>
      </c>
      <c r="AP3204" t="s">
        <v>49</v>
      </c>
    </row>
    <row r="3205" spans="1:42">
      <c r="A3205" s="1" t="s">
        <v>46</v>
      </c>
      <c r="B3205" s="1" t="s">
        <v>5833</v>
      </c>
      <c r="C3205" s="1" t="s">
        <v>5833</v>
      </c>
      <c r="G3205" s="16"/>
      <c r="M3205">
        <v>1</v>
      </c>
      <c r="N3205">
        <v>-7</v>
      </c>
      <c r="O3205">
        <v>0</v>
      </c>
      <c r="R3205">
        <v>0</v>
      </c>
      <c r="S3205">
        <v>0</v>
      </c>
      <c r="T3205">
        <v>0</v>
      </c>
      <c r="W3205">
        <v>400002</v>
      </c>
      <c r="AE3205">
        <v>0</v>
      </c>
      <c r="AP3205" t="s">
        <v>116</v>
      </c>
    </row>
    <row r="3206" spans="1:42">
      <c r="A3206" s="1" t="s">
        <v>46</v>
      </c>
      <c r="B3206" s="1" t="s">
        <v>5834</v>
      </c>
      <c r="C3206" s="1" t="s">
        <v>5834</v>
      </c>
      <c r="G3206" s="16"/>
      <c r="M3206">
        <v>1</v>
      </c>
      <c r="N3206">
        <v>77</v>
      </c>
      <c r="O3206">
        <v>0</v>
      </c>
      <c r="P3206">
        <v>11.2</v>
      </c>
      <c r="Q3206">
        <v>862.42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400002</v>
      </c>
      <c r="AE3206">
        <v>0</v>
      </c>
      <c r="AP3206" t="s">
        <v>116</v>
      </c>
    </row>
    <row r="3207" spans="1:42">
      <c r="A3207" s="1" t="s">
        <v>46</v>
      </c>
      <c r="B3207" s="1" t="s">
        <v>5835</v>
      </c>
      <c r="C3207" s="1" t="s">
        <v>5835</v>
      </c>
      <c r="G3207" s="16"/>
      <c r="M3207">
        <v>1</v>
      </c>
      <c r="N3207">
        <v>121</v>
      </c>
      <c r="O3207">
        <v>0</v>
      </c>
      <c r="P3207">
        <v>5.6</v>
      </c>
      <c r="Q3207">
        <v>677.6</v>
      </c>
      <c r="R3207" t="s">
        <v>115</v>
      </c>
      <c r="S3207">
        <v>0</v>
      </c>
      <c r="T3207" t="s">
        <v>17</v>
      </c>
      <c r="U3207">
        <v>0</v>
      </c>
      <c r="V3207">
        <v>0</v>
      </c>
      <c r="W3207">
        <v>400002</v>
      </c>
      <c r="AE3207">
        <v>0</v>
      </c>
      <c r="AP3207" t="s">
        <v>116</v>
      </c>
    </row>
    <row r="3208" spans="1:42">
      <c r="A3208" s="1" t="s">
        <v>46</v>
      </c>
      <c r="B3208" s="1" t="s">
        <v>5836</v>
      </c>
      <c r="C3208" s="1" t="s">
        <v>5836</v>
      </c>
      <c r="G3208" s="16"/>
      <c r="M3208">
        <v>1</v>
      </c>
      <c r="N3208">
        <v>27</v>
      </c>
      <c r="O3208">
        <v>0</v>
      </c>
      <c r="P3208">
        <v>12.8</v>
      </c>
      <c r="Q3208">
        <v>345.6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400002</v>
      </c>
      <c r="AE3208">
        <v>0</v>
      </c>
      <c r="AP3208" t="s">
        <v>116</v>
      </c>
    </row>
    <row r="3209" spans="1:42">
      <c r="A3209" s="1" t="s">
        <v>46</v>
      </c>
      <c r="B3209" s="1" t="s">
        <v>5837</v>
      </c>
      <c r="C3209" s="1" t="s">
        <v>5837</v>
      </c>
      <c r="G3209" s="16"/>
      <c r="M3209">
        <v>1</v>
      </c>
      <c r="N3209">
        <v>51</v>
      </c>
      <c r="O3209">
        <v>0</v>
      </c>
      <c r="P3209">
        <v>5</v>
      </c>
      <c r="Q3209">
        <v>255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400045</v>
      </c>
      <c r="AE3209">
        <v>0</v>
      </c>
      <c r="AP3209" t="s">
        <v>217</v>
      </c>
    </row>
    <row r="3210" spans="1:42">
      <c r="G3210" s="16"/>
    </row>
    <row r="3211" spans="1:42">
      <c r="G3211" s="16"/>
    </row>
    <row r="3212" spans="1:42">
      <c r="G3212" s="16"/>
    </row>
    <row r="3213" spans="1:42">
      <c r="G3213" s="16"/>
    </row>
    <row r="3214" spans="1:42">
      <c r="G3214" s="16"/>
    </row>
    <row r="3215" spans="1:42">
      <c r="A3215" s="1" t="s">
        <v>46</v>
      </c>
      <c r="B3215" s="1" t="s">
        <v>5838</v>
      </c>
      <c r="C3215" s="1" t="s">
        <v>5838</v>
      </c>
      <c r="G3215" s="16"/>
      <c r="M3215">
        <v>1</v>
      </c>
      <c r="N3215">
        <v>168</v>
      </c>
      <c r="O3215">
        <v>0</v>
      </c>
      <c r="P3215">
        <v>15</v>
      </c>
      <c r="Q3215">
        <v>2520</v>
      </c>
      <c r="R3215">
        <v>0</v>
      </c>
      <c r="S3215">
        <v>0</v>
      </c>
      <c r="T3215" t="s">
        <v>52</v>
      </c>
      <c r="U3215">
        <v>0</v>
      </c>
      <c r="V3215">
        <v>0</v>
      </c>
      <c r="W3215">
        <v>410120</v>
      </c>
      <c r="AE3215">
        <v>0</v>
      </c>
      <c r="AP3215" t="s">
        <v>112</v>
      </c>
    </row>
    <row r="3216" spans="1:42">
      <c r="A3216" s="1" t="s">
        <v>46</v>
      </c>
      <c r="B3216" s="1" t="s">
        <v>5839</v>
      </c>
      <c r="C3216" s="1" t="s">
        <v>5839</v>
      </c>
      <c r="G3216" s="16"/>
      <c r="M3216">
        <v>1</v>
      </c>
      <c r="N3216">
        <v>-2</v>
      </c>
      <c r="O3216">
        <v>0</v>
      </c>
      <c r="P3216">
        <v>15</v>
      </c>
      <c r="Q3216">
        <v>-30</v>
      </c>
      <c r="W3216">
        <v>410120</v>
      </c>
      <c r="AE3216">
        <v>0</v>
      </c>
      <c r="AP3216" t="s">
        <v>112</v>
      </c>
    </row>
    <row r="3217" spans="1:42">
      <c r="A3217" s="1" t="s">
        <v>46</v>
      </c>
      <c r="B3217" s="1" t="s">
        <v>5840</v>
      </c>
      <c r="C3217" s="1" t="s">
        <v>5840</v>
      </c>
      <c r="G3217" s="16"/>
      <c r="M3217">
        <v>1</v>
      </c>
      <c r="N3217">
        <v>3</v>
      </c>
      <c r="O3217">
        <v>0</v>
      </c>
      <c r="P3217">
        <v>3.5</v>
      </c>
      <c r="Q3217">
        <v>10.5</v>
      </c>
      <c r="R3217">
        <v>0</v>
      </c>
      <c r="S3217">
        <v>0</v>
      </c>
      <c r="T3217" t="s">
        <v>52</v>
      </c>
      <c r="U3217">
        <v>0</v>
      </c>
      <c r="V3217">
        <v>0</v>
      </c>
      <c r="W3217">
        <v>400017</v>
      </c>
      <c r="X3217" t="s">
        <v>56</v>
      </c>
      <c r="Y3217" t="s">
        <v>57</v>
      </c>
      <c r="AE3217">
        <v>0</v>
      </c>
      <c r="AP3217" t="s">
        <v>49</v>
      </c>
    </row>
    <row r="3218" spans="1:42">
      <c r="A3218" s="1" t="s">
        <v>46</v>
      </c>
      <c r="B3218" s="1" t="s">
        <v>5841</v>
      </c>
      <c r="C3218" s="1" t="s">
        <v>5841</v>
      </c>
      <c r="G3218" s="16"/>
      <c r="M3218">
        <v>1</v>
      </c>
      <c r="N3218">
        <v>46</v>
      </c>
      <c r="O3218">
        <v>0</v>
      </c>
      <c r="P3218">
        <v>0.83</v>
      </c>
      <c r="Q3218">
        <v>38.33</v>
      </c>
      <c r="R3218">
        <v>0</v>
      </c>
      <c r="S3218">
        <v>0</v>
      </c>
      <c r="T3218" t="s">
        <v>52</v>
      </c>
      <c r="U3218">
        <v>0</v>
      </c>
      <c r="V3218">
        <v>0</v>
      </c>
      <c r="W3218">
        <v>400017</v>
      </c>
      <c r="X3218" t="s">
        <v>56</v>
      </c>
      <c r="Y3218" t="s">
        <v>57</v>
      </c>
      <c r="AE3218">
        <v>0</v>
      </c>
      <c r="AP3218" t="s">
        <v>49</v>
      </c>
    </row>
    <row r="3219" spans="1:42">
      <c r="A3219" s="1" t="s">
        <v>46</v>
      </c>
      <c r="B3219" s="1" t="s">
        <v>5842</v>
      </c>
      <c r="C3219" s="1" t="s">
        <v>5842</v>
      </c>
      <c r="G3219" s="16"/>
      <c r="M3219">
        <v>1</v>
      </c>
      <c r="N3219">
        <v>5</v>
      </c>
      <c r="O3219">
        <v>0</v>
      </c>
      <c r="P3219">
        <v>47.95</v>
      </c>
      <c r="Q3219">
        <v>239.76</v>
      </c>
      <c r="R3219" t="s">
        <v>579</v>
      </c>
      <c r="S3219">
        <v>0</v>
      </c>
      <c r="T3219" t="s">
        <v>52</v>
      </c>
      <c r="U3219">
        <v>0</v>
      </c>
      <c r="V3219">
        <v>0</v>
      </c>
      <c r="W3219">
        <v>400013</v>
      </c>
      <c r="AE3219">
        <v>0</v>
      </c>
      <c r="AP3219" t="s">
        <v>232</v>
      </c>
    </row>
    <row r="3220" spans="1:42">
      <c r="A3220" s="1" t="s">
        <v>46</v>
      </c>
      <c r="B3220" s="1" t="s">
        <v>5843</v>
      </c>
      <c r="C3220" s="1" t="s">
        <v>5843</v>
      </c>
      <c r="G3220" s="16"/>
      <c r="M3220">
        <v>1</v>
      </c>
      <c r="N3220">
        <v>-1</v>
      </c>
      <c r="O3220">
        <v>0</v>
      </c>
      <c r="P3220">
        <v>6.25</v>
      </c>
      <c r="Q3220">
        <v>-6.25</v>
      </c>
      <c r="R3220">
        <v>0</v>
      </c>
      <c r="S3220">
        <v>0</v>
      </c>
      <c r="T3220" t="s">
        <v>52</v>
      </c>
      <c r="AE3220">
        <v>0</v>
      </c>
    </row>
    <row r="3221" spans="1:42">
      <c r="A3221" s="1" t="s">
        <v>46</v>
      </c>
      <c r="B3221" s="1" t="s">
        <v>5844</v>
      </c>
      <c r="C3221" s="1" t="s">
        <v>5844</v>
      </c>
      <c r="G3221" s="16"/>
      <c r="M3221">
        <v>1</v>
      </c>
      <c r="N3221">
        <v>35</v>
      </c>
      <c r="O3221">
        <v>0</v>
      </c>
      <c r="P3221">
        <v>180.65</v>
      </c>
      <c r="Q3221">
        <v>6322.84</v>
      </c>
      <c r="R3221">
        <v>0</v>
      </c>
      <c r="S3221">
        <v>0</v>
      </c>
      <c r="T3221" t="s">
        <v>52</v>
      </c>
      <c r="W3221">
        <v>400125</v>
      </c>
      <c r="AE3221">
        <v>0</v>
      </c>
      <c r="AP3221" t="s">
        <v>184</v>
      </c>
    </row>
    <row r="3222" spans="1:42">
      <c r="G3222" s="16"/>
    </row>
    <row r="3223" spans="1:42">
      <c r="A3223" s="1" t="s">
        <v>46</v>
      </c>
      <c r="B3223" s="1" t="s">
        <v>5845</v>
      </c>
      <c r="C3223" s="1" t="s">
        <v>5845</v>
      </c>
      <c r="G3223" s="16"/>
      <c r="M3223">
        <v>1</v>
      </c>
      <c r="N3223">
        <v>289</v>
      </c>
      <c r="O3223">
        <v>0</v>
      </c>
      <c r="P3223">
        <v>16</v>
      </c>
      <c r="Q3223">
        <v>4624</v>
      </c>
      <c r="R3223">
        <v>0</v>
      </c>
      <c r="S3223">
        <v>0</v>
      </c>
      <c r="T3223" t="s">
        <v>52</v>
      </c>
      <c r="U3223">
        <v>0</v>
      </c>
      <c r="V3223">
        <v>0</v>
      </c>
      <c r="W3223">
        <v>410120</v>
      </c>
      <c r="X3223" t="s">
        <v>56</v>
      </c>
      <c r="Y3223" t="s">
        <v>57</v>
      </c>
      <c r="AE3223">
        <v>0</v>
      </c>
      <c r="AP3223" t="s">
        <v>112</v>
      </c>
    </row>
    <row r="3224" spans="1:42">
      <c r="G3224" s="16"/>
    </row>
    <row r="3225" spans="1:42">
      <c r="A3225" s="1" t="s">
        <v>46</v>
      </c>
      <c r="B3225" s="1" t="s">
        <v>5846</v>
      </c>
      <c r="C3225" s="1" t="s">
        <v>5846</v>
      </c>
      <c r="G3225" s="16"/>
      <c r="M3225">
        <v>1</v>
      </c>
      <c r="N3225">
        <v>20</v>
      </c>
      <c r="O3225">
        <v>0</v>
      </c>
      <c r="P3225">
        <v>140</v>
      </c>
      <c r="Q3225">
        <v>2800</v>
      </c>
      <c r="R3225">
        <v>0</v>
      </c>
      <c r="S3225">
        <v>0</v>
      </c>
      <c r="T3225" t="s">
        <v>52</v>
      </c>
      <c r="W3225">
        <v>400013</v>
      </c>
      <c r="AE3225">
        <v>0</v>
      </c>
      <c r="AP3225" t="s">
        <v>232</v>
      </c>
    </row>
    <row r="3226" spans="1:42">
      <c r="G3226" s="16"/>
    </row>
    <row r="3227" spans="1:42">
      <c r="A3227" s="1" t="s">
        <v>46</v>
      </c>
      <c r="B3227" s="1" t="s">
        <v>5847</v>
      </c>
      <c r="C3227" s="1" t="s">
        <v>5847</v>
      </c>
      <c r="G3227" s="16"/>
      <c r="M3227">
        <v>1</v>
      </c>
      <c r="N3227">
        <v>2211</v>
      </c>
      <c r="O3227">
        <v>0</v>
      </c>
      <c r="P3227">
        <v>70.94</v>
      </c>
      <c r="Q3227">
        <v>156851.63</v>
      </c>
      <c r="R3227">
        <v>0</v>
      </c>
      <c r="S3227">
        <v>0</v>
      </c>
      <c r="T3227" t="s">
        <v>17</v>
      </c>
      <c r="U3227">
        <v>0</v>
      </c>
      <c r="V3227">
        <v>0</v>
      </c>
      <c r="W3227">
        <v>400184</v>
      </c>
      <c r="X3227" t="s">
        <v>56</v>
      </c>
      <c r="Y3227" t="s">
        <v>57</v>
      </c>
      <c r="AE3227">
        <v>0</v>
      </c>
      <c r="AP3227" t="s">
        <v>136</v>
      </c>
    </row>
    <row r="3228" spans="1:42">
      <c r="G3228" s="16"/>
    </row>
    <row r="3229" spans="1:42">
      <c r="G3229" s="16"/>
    </row>
    <row r="3230" spans="1:42">
      <c r="G3230" s="16"/>
    </row>
    <row r="3231" spans="1:42">
      <c r="G3231" s="16"/>
    </row>
    <row r="3232" spans="1:42">
      <c r="A3232" s="1" t="s">
        <v>46</v>
      </c>
      <c r="B3232" s="1" t="s">
        <v>5848</v>
      </c>
      <c r="C3232" s="1" t="s">
        <v>5848</v>
      </c>
      <c r="G3232" s="16"/>
      <c r="M3232">
        <v>1</v>
      </c>
      <c r="N3232">
        <v>84</v>
      </c>
      <c r="O3232">
        <v>0</v>
      </c>
      <c r="P3232">
        <v>27.74</v>
      </c>
      <c r="Q3232">
        <v>2330.1999999999998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400120</v>
      </c>
      <c r="AE3232">
        <v>0</v>
      </c>
      <c r="AP3232" t="s">
        <v>468</v>
      </c>
    </row>
    <row r="3233" spans="1:42">
      <c r="G3233" s="16"/>
    </row>
    <row r="3234" spans="1:42">
      <c r="G3234" s="16"/>
    </row>
    <row r="3235" spans="1:42">
      <c r="G3235" s="16"/>
    </row>
    <row r="3236" spans="1:42">
      <c r="A3236" s="1" t="s">
        <v>46</v>
      </c>
      <c r="B3236" s="1" t="s">
        <v>5849</v>
      </c>
      <c r="C3236" s="1" t="s">
        <v>5849</v>
      </c>
      <c r="G3236" s="16"/>
      <c r="M3236">
        <v>1</v>
      </c>
      <c r="N3236">
        <v>3089</v>
      </c>
      <c r="O3236">
        <v>0</v>
      </c>
      <c r="P3236">
        <v>6.75</v>
      </c>
      <c r="Q3236">
        <v>20850.75</v>
      </c>
      <c r="R3236">
        <v>0</v>
      </c>
      <c r="S3236">
        <v>0</v>
      </c>
      <c r="T3236" t="s">
        <v>17</v>
      </c>
      <c r="U3236">
        <v>0</v>
      </c>
      <c r="V3236">
        <v>0</v>
      </c>
      <c r="W3236">
        <v>400184</v>
      </c>
      <c r="X3236" t="s">
        <v>56</v>
      </c>
      <c r="Y3236" t="s">
        <v>57</v>
      </c>
      <c r="AE3236">
        <v>0</v>
      </c>
      <c r="AP3236" t="s">
        <v>136</v>
      </c>
    </row>
    <row r="3237" spans="1:42">
      <c r="A3237" s="1" t="s">
        <v>46</v>
      </c>
      <c r="B3237" s="1" t="s">
        <v>5850</v>
      </c>
      <c r="C3237" s="1" t="s">
        <v>5850</v>
      </c>
      <c r="G3237" s="16"/>
      <c r="M3237">
        <v>1</v>
      </c>
      <c r="N3237">
        <v>1038</v>
      </c>
      <c r="O3237">
        <v>0</v>
      </c>
      <c r="P3237">
        <v>225</v>
      </c>
      <c r="Q3237">
        <v>233550</v>
      </c>
      <c r="R3237">
        <v>0</v>
      </c>
      <c r="S3237">
        <v>0</v>
      </c>
      <c r="T3237" t="s">
        <v>17</v>
      </c>
      <c r="U3237">
        <v>0</v>
      </c>
      <c r="V3237">
        <v>0</v>
      </c>
      <c r="W3237">
        <v>400045</v>
      </c>
      <c r="AE3237">
        <v>0</v>
      </c>
      <c r="AP3237" t="s">
        <v>217</v>
      </c>
    </row>
    <row r="3238" spans="1:42">
      <c r="G3238" s="16"/>
    </row>
    <row r="3239" spans="1:42">
      <c r="A3239" s="1" t="s">
        <v>46</v>
      </c>
      <c r="B3239" s="1" t="s">
        <v>5851</v>
      </c>
      <c r="C3239" s="1" t="s">
        <v>5851</v>
      </c>
      <c r="G3239" s="16"/>
      <c r="M3239">
        <v>1</v>
      </c>
      <c r="N3239">
        <v>-10</v>
      </c>
      <c r="O3239">
        <v>0</v>
      </c>
      <c r="P3239">
        <v>2.9</v>
      </c>
      <c r="Q3239">
        <v>-29</v>
      </c>
      <c r="R3239">
        <v>0</v>
      </c>
      <c r="S3239">
        <v>0</v>
      </c>
      <c r="T3239" t="s">
        <v>17</v>
      </c>
      <c r="W3239">
        <v>400066</v>
      </c>
      <c r="AE3239">
        <v>0</v>
      </c>
      <c r="AP3239" t="s">
        <v>680</v>
      </c>
    </row>
    <row r="3240" spans="1:42">
      <c r="A3240" s="1" t="s">
        <v>46</v>
      </c>
      <c r="B3240" s="1" t="s">
        <v>5852</v>
      </c>
      <c r="C3240" s="1" t="s">
        <v>5852</v>
      </c>
      <c r="G3240" s="16"/>
      <c r="M3240">
        <v>1</v>
      </c>
      <c r="N3240">
        <v>168</v>
      </c>
      <c r="O3240">
        <v>0</v>
      </c>
      <c r="P3240">
        <v>21</v>
      </c>
      <c r="Q3240">
        <v>3527.83</v>
      </c>
      <c r="R3240">
        <v>0</v>
      </c>
      <c r="S3240">
        <v>0</v>
      </c>
      <c r="T3240" t="s">
        <v>17</v>
      </c>
      <c r="U3240">
        <v>0</v>
      </c>
      <c r="V3240">
        <v>0</v>
      </c>
      <c r="W3240">
        <v>400013</v>
      </c>
      <c r="AE3240">
        <v>0</v>
      </c>
      <c r="AP3240" t="s">
        <v>232</v>
      </c>
    </row>
    <row r="3241" spans="1:42">
      <c r="G3241" s="16"/>
    </row>
    <row r="3242" spans="1:42">
      <c r="G3242" s="16"/>
    </row>
    <row r="3243" spans="1:42">
      <c r="A3243" s="1" t="s">
        <v>46</v>
      </c>
      <c r="B3243" s="1" t="s">
        <v>5853</v>
      </c>
      <c r="C3243" s="1" t="s">
        <v>5853</v>
      </c>
      <c r="G3243" s="16"/>
      <c r="I3243">
        <v>8000</v>
      </c>
      <c r="M3243">
        <v>1</v>
      </c>
      <c r="N3243">
        <v>3097</v>
      </c>
      <c r="O3243">
        <v>0</v>
      </c>
      <c r="P3243">
        <v>3.5</v>
      </c>
      <c r="Q3243">
        <v>10839.5</v>
      </c>
      <c r="R3243">
        <v>0</v>
      </c>
      <c r="S3243">
        <v>0</v>
      </c>
      <c r="T3243" t="s">
        <v>17</v>
      </c>
      <c r="W3243">
        <v>400030</v>
      </c>
      <c r="AE3243">
        <v>0</v>
      </c>
      <c r="AH3243">
        <v>8000</v>
      </c>
      <c r="AP3243" t="s">
        <v>92</v>
      </c>
    </row>
    <row r="3244" spans="1:42">
      <c r="A3244" s="1" t="s">
        <v>46</v>
      </c>
      <c r="B3244" s="1" t="s">
        <v>5854</v>
      </c>
      <c r="C3244" s="1" t="s">
        <v>5854</v>
      </c>
      <c r="G3244" s="16"/>
      <c r="M3244">
        <v>1</v>
      </c>
      <c r="N3244">
        <v>246</v>
      </c>
      <c r="O3244">
        <v>0</v>
      </c>
      <c r="P3244">
        <v>5.5</v>
      </c>
      <c r="Q3244">
        <v>1353</v>
      </c>
      <c r="R3244">
        <v>0</v>
      </c>
      <c r="S3244">
        <v>0</v>
      </c>
      <c r="T3244" t="s">
        <v>17</v>
      </c>
      <c r="W3244">
        <v>400028</v>
      </c>
      <c r="AE3244">
        <v>0</v>
      </c>
      <c r="AP3244" t="s">
        <v>246</v>
      </c>
    </row>
    <row r="3245" spans="1:42">
      <c r="G3245" s="16"/>
    </row>
    <row r="3246" spans="1:42">
      <c r="A3246" s="1" t="s">
        <v>46</v>
      </c>
      <c r="B3246" s="1" t="s">
        <v>5855</v>
      </c>
      <c r="C3246" s="1" t="s">
        <v>5855</v>
      </c>
      <c r="G3246" s="16"/>
      <c r="M3246">
        <v>1</v>
      </c>
      <c r="N3246">
        <v>9</v>
      </c>
      <c r="O3246">
        <v>0</v>
      </c>
      <c r="P3246">
        <v>105.45</v>
      </c>
      <c r="Q3246">
        <v>949.05</v>
      </c>
      <c r="R3246">
        <v>0</v>
      </c>
      <c r="S3246">
        <v>0</v>
      </c>
      <c r="T3246">
        <v>0</v>
      </c>
      <c r="W3246">
        <v>400120</v>
      </c>
      <c r="AE3246">
        <v>0</v>
      </c>
      <c r="AP3246" t="s">
        <v>468</v>
      </c>
    </row>
    <row r="3247" spans="1:42">
      <c r="A3247" s="1" t="s">
        <v>46</v>
      </c>
      <c r="B3247" s="1" t="s">
        <v>5856</v>
      </c>
      <c r="C3247" s="1" t="s">
        <v>5856</v>
      </c>
      <c r="G3247" s="16"/>
      <c r="M3247">
        <v>1</v>
      </c>
      <c r="N3247">
        <v>50</v>
      </c>
      <c r="O3247">
        <v>0</v>
      </c>
      <c r="P3247">
        <v>0.54</v>
      </c>
      <c r="Q3247">
        <v>26.97</v>
      </c>
      <c r="R3247" t="s">
        <v>556</v>
      </c>
      <c r="S3247">
        <v>0</v>
      </c>
      <c r="T3247" t="s">
        <v>52</v>
      </c>
      <c r="U3247">
        <v>0</v>
      </c>
      <c r="V3247">
        <v>0</v>
      </c>
      <c r="W3247">
        <v>400013</v>
      </c>
      <c r="AE3247">
        <v>0</v>
      </c>
      <c r="AP3247" t="s">
        <v>232</v>
      </c>
    </row>
    <row r="3248" spans="1:42">
      <c r="A3248" s="1" t="s">
        <v>46</v>
      </c>
      <c r="B3248" s="1" t="s">
        <v>5857</v>
      </c>
      <c r="C3248" s="1" t="s">
        <v>5857</v>
      </c>
      <c r="G3248" s="16"/>
      <c r="M3248">
        <v>1</v>
      </c>
      <c r="N3248">
        <v>-406</v>
      </c>
      <c r="O3248">
        <v>0</v>
      </c>
      <c r="P3248">
        <v>0.4</v>
      </c>
      <c r="Q3248">
        <v>-162.4</v>
      </c>
      <c r="R3248">
        <v>0</v>
      </c>
      <c r="S3248">
        <v>0</v>
      </c>
      <c r="T3248" t="s">
        <v>52</v>
      </c>
      <c r="W3248">
        <v>400080</v>
      </c>
      <c r="AE3248">
        <v>0</v>
      </c>
      <c r="AP3248" t="s">
        <v>696</v>
      </c>
    </row>
    <row r="3249" spans="1:42">
      <c r="A3249" s="1" t="s">
        <v>46</v>
      </c>
      <c r="B3249" s="1" t="s">
        <v>5858</v>
      </c>
      <c r="C3249" s="1" t="s">
        <v>5858</v>
      </c>
      <c r="G3249" s="16"/>
      <c r="M3249">
        <v>1</v>
      </c>
      <c r="N3249">
        <v>9</v>
      </c>
      <c r="O3249">
        <v>0</v>
      </c>
      <c r="P3249">
        <v>5.55</v>
      </c>
      <c r="Q3249">
        <v>49.94</v>
      </c>
      <c r="R3249">
        <v>0</v>
      </c>
      <c r="S3249">
        <v>0</v>
      </c>
      <c r="T3249" t="s">
        <v>17</v>
      </c>
      <c r="W3249">
        <v>400120</v>
      </c>
      <c r="AE3249">
        <v>0</v>
      </c>
      <c r="AP3249" t="s">
        <v>468</v>
      </c>
    </row>
    <row r="3250" spans="1:42">
      <c r="A3250" s="1" t="s">
        <v>46</v>
      </c>
      <c r="B3250" s="1" t="s">
        <v>5859</v>
      </c>
      <c r="C3250" s="1" t="s">
        <v>5859</v>
      </c>
      <c r="G3250" s="16"/>
      <c r="M3250">
        <v>1</v>
      </c>
      <c r="N3250">
        <v>129</v>
      </c>
      <c r="O3250">
        <v>0</v>
      </c>
      <c r="P3250">
        <v>75</v>
      </c>
      <c r="Q3250">
        <v>9675</v>
      </c>
      <c r="R3250">
        <v>0</v>
      </c>
      <c r="S3250">
        <v>0</v>
      </c>
      <c r="T3250" t="s">
        <v>52</v>
      </c>
      <c r="U3250">
        <v>0</v>
      </c>
      <c r="V3250">
        <v>0</v>
      </c>
      <c r="W3250">
        <v>400045</v>
      </c>
      <c r="X3250" t="s">
        <v>56</v>
      </c>
      <c r="Y3250" t="s">
        <v>57</v>
      </c>
      <c r="AE3250">
        <v>0</v>
      </c>
      <c r="AP3250" t="s">
        <v>217</v>
      </c>
    </row>
    <row r="3251" spans="1:42">
      <c r="G3251" s="16"/>
    </row>
    <row r="3252" spans="1:42">
      <c r="A3252" s="1" t="s">
        <v>46</v>
      </c>
      <c r="B3252" s="1" t="s">
        <v>5860</v>
      </c>
      <c r="C3252" s="1" t="s">
        <v>5860</v>
      </c>
      <c r="G3252" s="16"/>
      <c r="M3252">
        <v>1</v>
      </c>
      <c r="N3252">
        <v>15</v>
      </c>
      <c r="O3252">
        <v>0</v>
      </c>
      <c r="P3252">
        <v>13</v>
      </c>
      <c r="Q3252">
        <v>195</v>
      </c>
      <c r="AE3252">
        <v>0</v>
      </c>
    </row>
    <row r="3253" spans="1:42">
      <c r="G3253" s="16"/>
    </row>
    <row r="3254" spans="1:42">
      <c r="G3254" s="16"/>
    </row>
    <row r="3255" spans="1:42">
      <c r="G3255" s="16"/>
    </row>
    <row r="3256" spans="1:42">
      <c r="G3256" s="16"/>
    </row>
    <row r="3257" spans="1:42">
      <c r="G3257" s="16"/>
    </row>
    <row r="3258" spans="1:42">
      <c r="G3258" s="16"/>
    </row>
    <row r="3259" spans="1:42">
      <c r="G3259" s="16"/>
    </row>
    <row r="3260" spans="1:42">
      <c r="G3260" s="16"/>
    </row>
    <row r="3261" spans="1:42">
      <c r="G3261" s="16"/>
    </row>
    <row r="3262" spans="1:42">
      <c r="G3262" s="16"/>
    </row>
    <row r="3263" spans="1:42">
      <c r="G3263" s="16"/>
    </row>
    <row r="3264" spans="1:42">
      <c r="G3264" s="16"/>
    </row>
    <row r="3265" spans="1:42">
      <c r="G3265" s="16"/>
    </row>
    <row r="3266" spans="1:42">
      <c r="G3266" s="16"/>
    </row>
    <row r="3267" spans="1:42">
      <c r="G3267" s="16"/>
    </row>
    <row r="3268" spans="1:42">
      <c r="A3268" s="1" t="s">
        <v>46</v>
      </c>
      <c r="B3268" s="1" t="s">
        <v>5861</v>
      </c>
      <c r="C3268" s="1" t="s">
        <v>5861</v>
      </c>
      <c r="G3268" s="16"/>
      <c r="M3268">
        <v>1</v>
      </c>
      <c r="N3268">
        <v>-2</v>
      </c>
      <c r="O3268">
        <v>0</v>
      </c>
      <c r="P3268">
        <v>28</v>
      </c>
      <c r="Q3268">
        <v>-56</v>
      </c>
      <c r="R3268">
        <v>0</v>
      </c>
      <c r="S3268">
        <v>0</v>
      </c>
      <c r="T3268" t="s">
        <v>52</v>
      </c>
      <c r="U3268">
        <v>0</v>
      </c>
      <c r="V3268">
        <v>0</v>
      </c>
      <c r="W3268">
        <v>410120</v>
      </c>
      <c r="AE3268">
        <v>0</v>
      </c>
      <c r="AP3268" t="s">
        <v>112</v>
      </c>
    </row>
    <row r="3269" spans="1:42">
      <c r="A3269" s="1" t="s">
        <v>46</v>
      </c>
      <c r="B3269" s="1" t="s">
        <v>5862</v>
      </c>
      <c r="C3269" s="1" t="s">
        <v>5862</v>
      </c>
      <c r="G3269" s="16"/>
      <c r="M3269">
        <v>1</v>
      </c>
      <c r="N3269">
        <v>6</v>
      </c>
      <c r="O3269">
        <v>0</v>
      </c>
      <c r="P3269">
        <v>28</v>
      </c>
      <c r="Q3269">
        <v>168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410120</v>
      </c>
      <c r="AE3269">
        <v>0</v>
      </c>
      <c r="AP3269" t="s">
        <v>112</v>
      </c>
    </row>
    <row r="3270" spans="1:42">
      <c r="A3270" s="1" t="s">
        <v>46</v>
      </c>
      <c r="B3270" s="1" t="s">
        <v>5863</v>
      </c>
      <c r="C3270" s="1" t="s">
        <v>5863</v>
      </c>
      <c r="G3270" s="16"/>
      <c r="M3270">
        <v>1</v>
      </c>
      <c r="N3270">
        <v>17</v>
      </c>
      <c r="O3270">
        <v>0</v>
      </c>
      <c r="P3270">
        <v>34</v>
      </c>
      <c r="Q3270">
        <v>578</v>
      </c>
      <c r="AE3270">
        <v>0</v>
      </c>
    </row>
    <row r="3271" spans="1:42">
      <c r="A3271" s="1" t="s">
        <v>46</v>
      </c>
      <c r="B3271" s="1" t="s">
        <v>5864</v>
      </c>
      <c r="C3271" s="1" t="s">
        <v>5864</v>
      </c>
      <c r="G3271" s="16"/>
      <c r="M3271">
        <v>1</v>
      </c>
      <c r="N3271">
        <v>3</v>
      </c>
      <c r="O3271">
        <v>0</v>
      </c>
      <c r="P3271">
        <v>30</v>
      </c>
      <c r="Q3271">
        <v>90</v>
      </c>
      <c r="W3271">
        <v>400181</v>
      </c>
      <c r="AE3271">
        <v>0</v>
      </c>
      <c r="AP3271" t="s">
        <v>5865</v>
      </c>
    </row>
    <row r="3272" spans="1:42">
      <c r="A3272" s="1" t="s">
        <v>46</v>
      </c>
      <c r="B3272" s="1" t="s">
        <v>5866</v>
      </c>
      <c r="C3272" s="1" t="s">
        <v>5866</v>
      </c>
      <c r="G3272" s="16"/>
      <c r="M3272">
        <v>1</v>
      </c>
      <c r="N3272">
        <v>2</v>
      </c>
      <c r="O3272">
        <v>0</v>
      </c>
      <c r="P3272">
        <v>30</v>
      </c>
      <c r="Q3272">
        <v>60</v>
      </c>
      <c r="W3272">
        <v>400181</v>
      </c>
      <c r="AE3272">
        <v>0</v>
      </c>
      <c r="AP3272" t="s">
        <v>5865</v>
      </c>
    </row>
    <row r="3273" spans="1:42">
      <c r="A3273" s="1" t="s">
        <v>46</v>
      </c>
      <c r="B3273" s="1" t="s">
        <v>5867</v>
      </c>
      <c r="C3273" s="1" t="s">
        <v>5867</v>
      </c>
      <c r="G3273" s="16"/>
      <c r="M3273">
        <v>1</v>
      </c>
      <c r="N3273">
        <v>126</v>
      </c>
      <c r="O3273">
        <v>0</v>
      </c>
      <c r="P3273">
        <v>3.5</v>
      </c>
      <c r="Q3273">
        <v>441</v>
      </c>
      <c r="R3273">
        <v>0</v>
      </c>
      <c r="S3273">
        <v>0</v>
      </c>
      <c r="T3273" t="s">
        <v>52</v>
      </c>
      <c r="U3273">
        <v>0</v>
      </c>
      <c r="V3273">
        <v>0</v>
      </c>
      <c r="W3273">
        <v>400042</v>
      </c>
      <c r="AE3273">
        <v>0</v>
      </c>
      <c r="AP3273" t="s">
        <v>154</v>
      </c>
    </row>
    <row r="3274" spans="1:42">
      <c r="A3274" s="1" t="s">
        <v>46</v>
      </c>
      <c r="B3274" s="1" t="s">
        <v>5868</v>
      </c>
      <c r="C3274" s="1" t="s">
        <v>5868</v>
      </c>
      <c r="G3274" s="16"/>
      <c r="M3274">
        <v>1</v>
      </c>
      <c r="N3274">
        <v>1</v>
      </c>
      <c r="O3274">
        <v>0</v>
      </c>
      <c r="P3274">
        <v>25</v>
      </c>
      <c r="Q3274">
        <v>25</v>
      </c>
      <c r="R3274">
        <v>0</v>
      </c>
      <c r="S3274">
        <v>0</v>
      </c>
      <c r="T3274" t="s">
        <v>52</v>
      </c>
      <c r="U3274" t="s">
        <v>52</v>
      </c>
      <c r="V3274">
        <v>0</v>
      </c>
      <c r="W3274">
        <v>400161</v>
      </c>
      <c r="AE3274">
        <v>0</v>
      </c>
      <c r="AP3274" t="s">
        <v>1619</v>
      </c>
    </row>
    <row r="3275" spans="1:42">
      <c r="A3275" s="1" t="s">
        <v>46</v>
      </c>
      <c r="B3275" s="1" t="s">
        <v>5869</v>
      </c>
      <c r="C3275" s="1" t="s">
        <v>5869</v>
      </c>
      <c r="G3275" s="16"/>
      <c r="M3275">
        <v>1</v>
      </c>
      <c r="N3275">
        <v>1139.8800000000001</v>
      </c>
      <c r="O3275">
        <v>0</v>
      </c>
      <c r="P3275">
        <v>0.02</v>
      </c>
      <c r="Q3275">
        <v>22.8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400017</v>
      </c>
      <c r="X3275" t="s">
        <v>56</v>
      </c>
      <c r="Y3275" t="s">
        <v>57</v>
      </c>
      <c r="AE3275">
        <v>0</v>
      </c>
      <c r="AP3275" t="s">
        <v>49</v>
      </c>
    </row>
    <row r="3276" spans="1:42">
      <c r="A3276" s="1" t="s">
        <v>46</v>
      </c>
      <c r="B3276" s="1" t="s">
        <v>5870</v>
      </c>
      <c r="C3276" s="1" t="s">
        <v>5870</v>
      </c>
      <c r="G3276" s="16"/>
      <c r="M3276">
        <v>1</v>
      </c>
      <c r="N3276">
        <v>-19</v>
      </c>
      <c r="O3276">
        <v>0</v>
      </c>
      <c r="P3276">
        <v>0.75</v>
      </c>
      <c r="Q3276">
        <v>-14.25</v>
      </c>
      <c r="R3276">
        <v>0</v>
      </c>
      <c r="S3276">
        <v>0</v>
      </c>
      <c r="T3276" t="s">
        <v>4022</v>
      </c>
      <c r="W3276">
        <v>400054</v>
      </c>
      <c r="AE3276">
        <v>0</v>
      </c>
      <c r="AP3276" t="s">
        <v>4060</v>
      </c>
    </row>
    <row r="3277" spans="1:42">
      <c r="A3277" s="1" t="s">
        <v>46</v>
      </c>
      <c r="B3277" s="1" t="s">
        <v>5871</v>
      </c>
      <c r="C3277" s="1" t="s">
        <v>5871</v>
      </c>
      <c r="G3277" s="16"/>
      <c r="M3277">
        <v>1</v>
      </c>
      <c r="N3277">
        <v>996</v>
      </c>
      <c r="O3277">
        <v>0</v>
      </c>
      <c r="P3277">
        <v>7.0000000000000007E-2</v>
      </c>
      <c r="Q3277">
        <v>69.72</v>
      </c>
      <c r="R3277">
        <v>0</v>
      </c>
      <c r="S3277">
        <v>0</v>
      </c>
      <c r="T3277" t="s">
        <v>17</v>
      </c>
      <c r="U3277">
        <v>0</v>
      </c>
      <c r="V3277">
        <v>0</v>
      </c>
      <c r="W3277">
        <v>400017</v>
      </c>
      <c r="X3277" t="s">
        <v>56</v>
      </c>
      <c r="Y3277" t="s">
        <v>57</v>
      </c>
      <c r="AE3277">
        <v>0</v>
      </c>
      <c r="AP3277" t="s">
        <v>49</v>
      </c>
    </row>
    <row r="3278" spans="1:42">
      <c r="A3278" s="1" t="s">
        <v>46</v>
      </c>
      <c r="B3278" s="1" t="s">
        <v>5872</v>
      </c>
      <c r="C3278" s="1" t="s">
        <v>5872</v>
      </c>
      <c r="G3278" s="16"/>
      <c r="M3278">
        <v>1</v>
      </c>
      <c r="N3278">
        <v>276</v>
      </c>
      <c r="O3278">
        <v>0</v>
      </c>
      <c r="P3278">
        <v>1.5</v>
      </c>
      <c r="Q3278">
        <v>414</v>
      </c>
      <c r="R3278">
        <v>0</v>
      </c>
      <c r="S3278">
        <v>0</v>
      </c>
      <c r="T3278" t="s">
        <v>52</v>
      </c>
      <c r="U3278">
        <v>0</v>
      </c>
      <c r="V3278">
        <v>0</v>
      </c>
      <c r="W3278">
        <v>400017</v>
      </c>
      <c r="X3278" t="s">
        <v>56</v>
      </c>
      <c r="Y3278" t="s">
        <v>57</v>
      </c>
      <c r="AE3278">
        <v>0</v>
      </c>
      <c r="AP3278" t="s">
        <v>49</v>
      </c>
    </row>
    <row r="3279" spans="1:42">
      <c r="A3279" s="1" t="s">
        <v>46</v>
      </c>
      <c r="B3279" s="1" t="s">
        <v>5873</v>
      </c>
      <c r="C3279" s="1" t="s">
        <v>5873</v>
      </c>
      <c r="G3279" s="16"/>
      <c r="M3279">
        <v>1</v>
      </c>
      <c r="N3279">
        <v>62</v>
      </c>
      <c r="O3279">
        <v>0</v>
      </c>
      <c r="P3279">
        <v>1.75</v>
      </c>
      <c r="Q3279">
        <v>108.5</v>
      </c>
      <c r="R3279">
        <v>0</v>
      </c>
      <c r="S3279">
        <v>0</v>
      </c>
      <c r="T3279" t="s">
        <v>52</v>
      </c>
      <c r="U3279">
        <v>0</v>
      </c>
      <c r="V3279">
        <v>0</v>
      </c>
      <c r="W3279">
        <v>400017</v>
      </c>
      <c r="X3279" t="s">
        <v>56</v>
      </c>
      <c r="Y3279" t="s">
        <v>57</v>
      </c>
      <c r="AE3279">
        <v>0</v>
      </c>
      <c r="AP3279" t="s">
        <v>49</v>
      </c>
    </row>
    <row r="3280" spans="1:42">
      <c r="A3280" s="1" t="s">
        <v>46</v>
      </c>
      <c r="B3280" s="1" t="s">
        <v>5874</v>
      </c>
      <c r="C3280" s="1" t="s">
        <v>5874</v>
      </c>
      <c r="G3280" s="16"/>
      <c r="M3280">
        <v>1</v>
      </c>
      <c r="N3280">
        <v>105</v>
      </c>
      <c r="O3280">
        <v>0</v>
      </c>
      <c r="P3280">
        <v>7</v>
      </c>
      <c r="Q3280">
        <v>735</v>
      </c>
      <c r="R3280">
        <v>0</v>
      </c>
      <c r="S3280">
        <v>0</v>
      </c>
      <c r="T3280" t="s">
        <v>52</v>
      </c>
      <c r="U3280">
        <v>0</v>
      </c>
      <c r="V3280">
        <v>0</v>
      </c>
      <c r="W3280">
        <v>410298</v>
      </c>
      <c r="X3280" t="s">
        <v>56</v>
      </c>
      <c r="Y3280" t="s">
        <v>57</v>
      </c>
      <c r="AE3280">
        <v>0</v>
      </c>
      <c r="AP3280" t="s">
        <v>162</v>
      </c>
    </row>
    <row r="3281" spans="1:42">
      <c r="A3281" s="1" t="s">
        <v>46</v>
      </c>
      <c r="B3281" s="1" t="s">
        <v>5875</v>
      </c>
      <c r="C3281" s="1" t="s">
        <v>5875</v>
      </c>
      <c r="G3281" s="16"/>
      <c r="M3281">
        <v>1</v>
      </c>
      <c r="N3281">
        <v>80</v>
      </c>
      <c r="O3281">
        <v>0</v>
      </c>
      <c r="P3281">
        <v>0.17</v>
      </c>
      <c r="Q3281">
        <v>13.6</v>
      </c>
      <c r="R3281">
        <v>0</v>
      </c>
      <c r="S3281">
        <v>0</v>
      </c>
      <c r="T3281" t="s">
        <v>52</v>
      </c>
      <c r="W3281">
        <v>400017</v>
      </c>
      <c r="AE3281">
        <v>0</v>
      </c>
      <c r="AP3281" t="s">
        <v>49</v>
      </c>
    </row>
    <row r="3282" spans="1:42">
      <c r="A3282" s="1" t="s">
        <v>46</v>
      </c>
      <c r="B3282" s="1" t="s">
        <v>5876</v>
      </c>
      <c r="C3282" s="1" t="s">
        <v>5876</v>
      </c>
      <c r="G3282" s="16"/>
      <c r="M3282">
        <v>1</v>
      </c>
      <c r="N3282">
        <v>15</v>
      </c>
      <c r="O3282">
        <v>0</v>
      </c>
      <c r="P3282">
        <v>2.5</v>
      </c>
      <c r="Q3282">
        <v>37.5</v>
      </c>
      <c r="W3282">
        <v>400017</v>
      </c>
      <c r="AE3282">
        <v>0</v>
      </c>
      <c r="AP3282" t="s">
        <v>49</v>
      </c>
    </row>
    <row r="3283" spans="1:42">
      <c r="A3283" s="1" t="s">
        <v>46</v>
      </c>
      <c r="B3283" s="1" t="s">
        <v>5877</v>
      </c>
      <c r="C3283" s="1" t="s">
        <v>5877</v>
      </c>
      <c r="G3283" s="16"/>
      <c r="M3283">
        <v>1</v>
      </c>
      <c r="N3283">
        <v>18</v>
      </c>
      <c r="O3283">
        <v>0</v>
      </c>
      <c r="P3283">
        <v>1.75</v>
      </c>
      <c r="Q3283">
        <v>31.5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400017</v>
      </c>
      <c r="X3283" t="s">
        <v>56</v>
      </c>
      <c r="Y3283" t="s">
        <v>57</v>
      </c>
      <c r="AE3283">
        <v>0</v>
      </c>
      <c r="AP3283" t="s">
        <v>49</v>
      </c>
    </row>
    <row r="3284" spans="1:42">
      <c r="G3284" s="16"/>
    </row>
    <row r="3285" spans="1:42">
      <c r="A3285" s="1" t="s">
        <v>46</v>
      </c>
      <c r="B3285" s="1" t="s">
        <v>5878</v>
      </c>
      <c r="C3285" s="1" t="s">
        <v>5878</v>
      </c>
      <c r="G3285" s="16"/>
      <c r="M3285">
        <v>1</v>
      </c>
      <c r="N3285">
        <v>1519</v>
      </c>
      <c r="O3285">
        <v>0</v>
      </c>
      <c r="P3285">
        <v>0.55000000000000004</v>
      </c>
      <c r="Q3285">
        <v>835.45</v>
      </c>
      <c r="R3285">
        <v>0</v>
      </c>
      <c r="S3285">
        <v>0</v>
      </c>
      <c r="T3285" t="s">
        <v>52</v>
      </c>
      <c r="W3285">
        <v>400186</v>
      </c>
      <c r="AE3285">
        <v>0</v>
      </c>
      <c r="AP3285" t="s">
        <v>120</v>
      </c>
    </row>
    <row r="3286" spans="1:42">
      <c r="A3286" s="1" t="s">
        <v>46</v>
      </c>
      <c r="B3286" s="1" t="s">
        <v>5879</v>
      </c>
      <c r="C3286" s="1" t="s">
        <v>5879</v>
      </c>
      <c r="G3286" s="16"/>
      <c r="M3286">
        <v>1</v>
      </c>
      <c r="N3286">
        <v>5209</v>
      </c>
      <c r="O3286">
        <v>0</v>
      </c>
      <c r="P3286">
        <v>1</v>
      </c>
      <c r="Q3286">
        <v>5209</v>
      </c>
      <c r="R3286">
        <v>0</v>
      </c>
      <c r="S3286">
        <v>0</v>
      </c>
      <c r="T3286" t="s">
        <v>52</v>
      </c>
      <c r="U3286">
        <v>0</v>
      </c>
      <c r="V3286">
        <v>0</v>
      </c>
      <c r="W3286">
        <v>400086</v>
      </c>
      <c r="X3286" t="s">
        <v>56</v>
      </c>
      <c r="Y3286" t="s">
        <v>57</v>
      </c>
      <c r="AE3286">
        <v>0</v>
      </c>
      <c r="AP3286" t="s">
        <v>1491</v>
      </c>
    </row>
    <row r="3287" spans="1:42">
      <c r="A3287" s="1" t="s">
        <v>46</v>
      </c>
      <c r="B3287" s="1" t="s">
        <v>5880</v>
      </c>
      <c r="C3287" s="1" t="s">
        <v>5880</v>
      </c>
      <c r="G3287" s="16"/>
      <c r="M3287">
        <v>1</v>
      </c>
      <c r="N3287">
        <v>1320</v>
      </c>
      <c r="O3287">
        <v>0</v>
      </c>
      <c r="P3287">
        <v>1.65</v>
      </c>
      <c r="Q3287">
        <v>2178</v>
      </c>
      <c r="R3287">
        <v>0</v>
      </c>
      <c r="S3287">
        <v>0</v>
      </c>
      <c r="T3287" t="s">
        <v>52</v>
      </c>
      <c r="U3287">
        <v>0</v>
      </c>
      <c r="V3287">
        <v>0</v>
      </c>
      <c r="W3287">
        <v>400033</v>
      </c>
      <c r="X3287" t="s">
        <v>56</v>
      </c>
      <c r="Y3287" t="s">
        <v>57</v>
      </c>
      <c r="AE3287">
        <v>0</v>
      </c>
      <c r="AP3287" t="s">
        <v>126</v>
      </c>
    </row>
    <row r="3288" spans="1:42">
      <c r="A3288" s="1" t="s">
        <v>46</v>
      </c>
      <c r="B3288" s="1" t="s">
        <v>5881</v>
      </c>
      <c r="C3288" s="1" t="s">
        <v>5881</v>
      </c>
      <c r="G3288" s="16"/>
      <c r="M3288">
        <v>1</v>
      </c>
      <c r="N3288">
        <v>1379</v>
      </c>
      <c r="O3288">
        <v>0</v>
      </c>
      <c r="P3288">
        <v>0.55000000000000004</v>
      </c>
      <c r="Q3288">
        <v>754.51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400158</v>
      </c>
      <c r="X3288" t="s">
        <v>56</v>
      </c>
      <c r="Y3288" t="s">
        <v>57</v>
      </c>
      <c r="AE3288">
        <v>0</v>
      </c>
      <c r="AP3288" t="s">
        <v>61</v>
      </c>
    </row>
    <row r="3289" spans="1:42">
      <c r="A3289" s="1" t="s">
        <v>46</v>
      </c>
      <c r="B3289" s="1" t="s">
        <v>5882</v>
      </c>
      <c r="C3289" s="1" t="s">
        <v>5882</v>
      </c>
      <c r="G3289" s="16"/>
      <c r="M3289">
        <v>1</v>
      </c>
      <c r="N3289">
        <v>60</v>
      </c>
      <c r="O3289">
        <v>0</v>
      </c>
      <c r="P3289">
        <v>0.35</v>
      </c>
      <c r="Q3289">
        <v>21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400033</v>
      </c>
      <c r="X3289" t="s">
        <v>56</v>
      </c>
      <c r="Y3289" t="s">
        <v>57</v>
      </c>
      <c r="AE3289">
        <v>0</v>
      </c>
      <c r="AP3289" t="s">
        <v>126</v>
      </c>
    </row>
    <row r="3290" spans="1:42">
      <c r="G3290" s="16"/>
    </row>
    <row r="3291" spans="1:42">
      <c r="A3291" s="1" t="s">
        <v>46</v>
      </c>
      <c r="B3291" s="1" t="s">
        <v>5883</v>
      </c>
      <c r="C3291" s="1" t="s">
        <v>5883</v>
      </c>
      <c r="G3291" s="16"/>
      <c r="M3291">
        <v>1</v>
      </c>
      <c r="N3291">
        <v>-5</v>
      </c>
      <c r="O3291">
        <v>0</v>
      </c>
      <c r="P3291">
        <v>1.5</v>
      </c>
      <c r="Q3291">
        <v>-7.5</v>
      </c>
      <c r="R3291">
        <v>0</v>
      </c>
      <c r="S3291">
        <v>0</v>
      </c>
      <c r="T3291" t="s">
        <v>52</v>
      </c>
      <c r="W3291">
        <v>400017</v>
      </c>
      <c r="AE3291">
        <v>0</v>
      </c>
      <c r="AP3291" t="s">
        <v>49</v>
      </c>
    </row>
    <row r="3292" spans="1:42">
      <c r="A3292" s="1" t="s">
        <v>46</v>
      </c>
      <c r="B3292" s="1" t="s">
        <v>5884</v>
      </c>
      <c r="C3292" s="1" t="s">
        <v>5884</v>
      </c>
      <c r="G3292" s="16"/>
      <c r="I3292">
        <v>4000</v>
      </c>
      <c r="M3292">
        <v>1</v>
      </c>
      <c r="N3292">
        <v>7054</v>
      </c>
      <c r="O3292">
        <v>0</v>
      </c>
      <c r="P3292">
        <v>1.7</v>
      </c>
      <c r="Q3292">
        <v>11991.8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400045</v>
      </c>
      <c r="X3292" t="s">
        <v>56</v>
      </c>
      <c r="Y3292" t="s">
        <v>57</v>
      </c>
      <c r="AE3292">
        <v>0</v>
      </c>
      <c r="AH3292">
        <v>4000</v>
      </c>
      <c r="AP3292" t="s">
        <v>217</v>
      </c>
    </row>
    <row r="3293" spans="1:42">
      <c r="G3293" s="16"/>
    </row>
    <row r="3294" spans="1:42">
      <c r="A3294" s="1" t="s">
        <v>46</v>
      </c>
      <c r="B3294" s="1" t="s">
        <v>5885</v>
      </c>
      <c r="C3294" s="1" t="s">
        <v>5885</v>
      </c>
      <c r="G3294" s="16"/>
      <c r="M3294">
        <v>1</v>
      </c>
      <c r="N3294">
        <v>12</v>
      </c>
      <c r="O3294">
        <v>0</v>
      </c>
      <c r="P3294">
        <v>4</v>
      </c>
      <c r="Q3294">
        <v>48</v>
      </c>
      <c r="W3294">
        <v>400111</v>
      </c>
      <c r="AE3294">
        <v>0</v>
      </c>
      <c r="AP3294" t="s">
        <v>646</v>
      </c>
    </row>
    <row r="3295" spans="1:42">
      <c r="A3295" s="1" t="s">
        <v>46</v>
      </c>
      <c r="B3295" s="1" t="s">
        <v>5886</v>
      </c>
      <c r="C3295" s="1" t="s">
        <v>5886</v>
      </c>
      <c r="G3295" s="16"/>
      <c r="M3295">
        <v>1</v>
      </c>
      <c r="N3295">
        <v>-1</v>
      </c>
      <c r="O3295">
        <v>0</v>
      </c>
      <c r="P3295">
        <v>14</v>
      </c>
      <c r="Q3295">
        <v>-14</v>
      </c>
      <c r="R3295">
        <v>0</v>
      </c>
      <c r="S3295">
        <v>0</v>
      </c>
      <c r="T3295" t="s">
        <v>52</v>
      </c>
      <c r="W3295">
        <v>400035</v>
      </c>
      <c r="AE3295">
        <v>0</v>
      </c>
      <c r="AP3295" t="s">
        <v>784</v>
      </c>
    </row>
    <row r="3296" spans="1:42">
      <c r="A3296" s="1" t="s">
        <v>46</v>
      </c>
      <c r="B3296" s="1" t="s">
        <v>5887</v>
      </c>
      <c r="C3296" s="1" t="s">
        <v>5887</v>
      </c>
      <c r="G3296" s="16"/>
      <c r="M3296">
        <v>1</v>
      </c>
      <c r="N3296">
        <v>186</v>
      </c>
      <c r="O3296">
        <v>0</v>
      </c>
      <c r="P3296">
        <v>0.8</v>
      </c>
      <c r="Q3296">
        <v>148.80000000000001</v>
      </c>
      <c r="R3296">
        <v>0</v>
      </c>
      <c r="S3296">
        <v>0</v>
      </c>
      <c r="T3296" t="s">
        <v>52</v>
      </c>
      <c r="U3296">
        <v>0</v>
      </c>
      <c r="V3296">
        <v>0</v>
      </c>
      <c r="W3296">
        <v>400017</v>
      </c>
      <c r="X3296" t="s">
        <v>56</v>
      </c>
      <c r="Y3296" t="s">
        <v>57</v>
      </c>
      <c r="AE3296">
        <v>0</v>
      </c>
      <c r="AP3296" t="s">
        <v>49</v>
      </c>
    </row>
    <row r="3297" spans="1:42">
      <c r="A3297" s="1" t="s">
        <v>46</v>
      </c>
      <c r="B3297" s="1" t="s">
        <v>5888</v>
      </c>
      <c r="C3297" s="1" t="s">
        <v>5888</v>
      </c>
      <c r="G3297" s="16"/>
      <c r="M3297">
        <v>1</v>
      </c>
      <c r="N3297">
        <v>8</v>
      </c>
      <c r="O3297">
        <v>0</v>
      </c>
      <c r="P3297">
        <v>16.64</v>
      </c>
      <c r="Q3297">
        <v>133.09</v>
      </c>
      <c r="R3297" t="s">
        <v>4475</v>
      </c>
      <c r="S3297">
        <v>0</v>
      </c>
      <c r="T3297" t="s">
        <v>17</v>
      </c>
      <c r="U3297">
        <v>0</v>
      </c>
      <c r="V3297">
        <v>0</v>
      </c>
      <c r="W3297">
        <v>400120</v>
      </c>
      <c r="AE3297">
        <v>0</v>
      </c>
      <c r="AP3297" t="s">
        <v>468</v>
      </c>
    </row>
    <row r="3298" spans="1:42">
      <c r="A3298" s="1" t="s">
        <v>46</v>
      </c>
      <c r="B3298" s="1" t="s">
        <v>5889</v>
      </c>
      <c r="C3298" s="1" t="s">
        <v>5889</v>
      </c>
      <c r="G3298" s="16"/>
      <c r="M3298">
        <v>1</v>
      </c>
      <c r="N3298">
        <v>1000</v>
      </c>
      <c r="O3298">
        <v>0</v>
      </c>
      <c r="P3298">
        <v>0.02</v>
      </c>
      <c r="Q3298">
        <v>25</v>
      </c>
      <c r="R3298">
        <v>0</v>
      </c>
      <c r="S3298">
        <v>0</v>
      </c>
      <c r="T3298">
        <v>0</v>
      </c>
      <c r="W3298">
        <v>400054</v>
      </c>
      <c r="AE3298">
        <v>0</v>
      </c>
      <c r="AP3298" t="s">
        <v>4060</v>
      </c>
    </row>
    <row r="3299" spans="1:42">
      <c r="A3299" s="1" t="s">
        <v>46</v>
      </c>
      <c r="B3299" s="1" t="s">
        <v>5890</v>
      </c>
      <c r="C3299" s="1" t="s">
        <v>5890</v>
      </c>
      <c r="G3299" s="16"/>
      <c r="M3299">
        <v>1</v>
      </c>
      <c r="N3299">
        <v>169</v>
      </c>
      <c r="O3299">
        <v>0</v>
      </c>
      <c r="P3299">
        <v>0.4</v>
      </c>
      <c r="Q3299">
        <v>67.599999999999994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400017</v>
      </c>
      <c r="X3299" t="s">
        <v>56</v>
      </c>
      <c r="Y3299" t="s">
        <v>57</v>
      </c>
      <c r="AE3299">
        <v>0</v>
      </c>
      <c r="AP3299" t="s">
        <v>49</v>
      </c>
    </row>
    <row r="3300" spans="1:42">
      <c r="A3300" s="1" t="s">
        <v>46</v>
      </c>
      <c r="B3300" s="1" t="s">
        <v>5891</v>
      </c>
      <c r="C3300" s="1" t="s">
        <v>5891</v>
      </c>
      <c r="G3300" s="16"/>
      <c r="M3300">
        <v>1</v>
      </c>
      <c r="N3300">
        <v>40</v>
      </c>
      <c r="O3300">
        <v>0</v>
      </c>
      <c r="P3300">
        <v>3.5</v>
      </c>
      <c r="Q3300">
        <v>140</v>
      </c>
      <c r="W3300">
        <v>400017</v>
      </c>
      <c r="AE3300">
        <v>0</v>
      </c>
      <c r="AP3300" t="s">
        <v>49</v>
      </c>
    </row>
    <row r="3301" spans="1:42">
      <c r="A3301" s="1" t="s">
        <v>46</v>
      </c>
      <c r="B3301" s="1" t="s">
        <v>5892</v>
      </c>
      <c r="C3301" s="1" t="s">
        <v>5892</v>
      </c>
      <c r="G3301" s="16"/>
      <c r="M3301">
        <v>1</v>
      </c>
      <c r="N3301">
        <v>40</v>
      </c>
      <c r="O3301">
        <v>0</v>
      </c>
      <c r="P3301">
        <v>0.42</v>
      </c>
      <c r="Q3301">
        <v>16.670000000000002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400091</v>
      </c>
      <c r="X3301" t="s">
        <v>56</v>
      </c>
      <c r="Y3301" t="s">
        <v>57</v>
      </c>
      <c r="AE3301">
        <v>0</v>
      </c>
      <c r="AP3301" t="s">
        <v>3931</v>
      </c>
    </row>
    <row r="3302" spans="1:42">
      <c r="A3302" s="1" t="s">
        <v>46</v>
      </c>
      <c r="B3302" s="1" t="s">
        <v>5893</v>
      </c>
      <c r="C3302" s="1" t="s">
        <v>5893</v>
      </c>
      <c r="G3302" s="16"/>
      <c r="M3302">
        <v>1</v>
      </c>
      <c r="N3302">
        <v>270</v>
      </c>
      <c r="O3302">
        <v>0</v>
      </c>
      <c r="P3302">
        <v>1</v>
      </c>
      <c r="Q3302">
        <v>270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400154</v>
      </c>
      <c r="X3302" t="s">
        <v>56</v>
      </c>
      <c r="Y3302" t="s">
        <v>57</v>
      </c>
      <c r="AE3302">
        <v>0</v>
      </c>
      <c r="AP3302" t="s">
        <v>98</v>
      </c>
    </row>
    <row r="3303" spans="1:42">
      <c r="A3303" s="1" t="s">
        <v>46</v>
      </c>
      <c r="B3303" s="1" t="s">
        <v>5894</v>
      </c>
      <c r="C3303" s="1" t="s">
        <v>5894</v>
      </c>
      <c r="G3303" s="16"/>
      <c r="M3303">
        <v>1</v>
      </c>
      <c r="N3303">
        <v>134</v>
      </c>
      <c r="O3303">
        <v>0</v>
      </c>
      <c r="P3303">
        <v>2</v>
      </c>
      <c r="Q3303">
        <v>268</v>
      </c>
      <c r="R3303">
        <v>0</v>
      </c>
      <c r="S3303">
        <v>0</v>
      </c>
      <c r="T3303" t="s">
        <v>52</v>
      </c>
      <c r="U3303">
        <v>0</v>
      </c>
      <c r="V3303">
        <v>0</v>
      </c>
      <c r="W3303">
        <v>400017</v>
      </c>
      <c r="X3303" t="s">
        <v>56</v>
      </c>
      <c r="Y3303" t="s">
        <v>57</v>
      </c>
      <c r="AE3303">
        <v>0</v>
      </c>
      <c r="AP3303" t="s">
        <v>49</v>
      </c>
    </row>
    <row r="3304" spans="1:42">
      <c r="A3304" s="1" t="s">
        <v>46</v>
      </c>
      <c r="B3304" s="1" t="s">
        <v>5895</v>
      </c>
      <c r="C3304" s="1" t="s">
        <v>5895</v>
      </c>
      <c r="G3304" s="16"/>
      <c r="M3304">
        <v>1</v>
      </c>
      <c r="N3304">
        <v>74</v>
      </c>
      <c r="O3304">
        <v>0</v>
      </c>
      <c r="P3304">
        <v>3</v>
      </c>
      <c r="Q3304">
        <v>222</v>
      </c>
      <c r="R3304">
        <v>0</v>
      </c>
      <c r="S3304">
        <v>0</v>
      </c>
      <c r="T3304" t="s">
        <v>52</v>
      </c>
      <c r="U3304">
        <v>0</v>
      </c>
      <c r="V3304">
        <v>0</v>
      </c>
      <c r="W3304">
        <v>400017</v>
      </c>
      <c r="X3304" t="s">
        <v>56</v>
      </c>
      <c r="Y3304" t="s">
        <v>57</v>
      </c>
      <c r="AE3304">
        <v>0</v>
      </c>
      <c r="AP3304" t="s">
        <v>49</v>
      </c>
    </row>
    <row r="3305" spans="1:42">
      <c r="A3305" s="1" t="s">
        <v>46</v>
      </c>
      <c r="B3305" s="1" t="s">
        <v>5896</v>
      </c>
      <c r="C3305" s="1" t="s">
        <v>5896</v>
      </c>
      <c r="G3305" s="16"/>
      <c r="M3305">
        <v>1</v>
      </c>
      <c r="N3305">
        <v>178</v>
      </c>
      <c r="O3305">
        <v>0</v>
      </c>
      <c r="P3305">
        <v>2.25</v>
      </c>
      <c r="Q3305">
        <v>400.5</v>
      </c>
      <c r="R3305">
        <v>0</v>
      </c>
      <c r="S3305">
        <v>0</v>
      </c>
      <c r="T3305" t="s">
        <v>52</v>
      </c>
      <c r="U3305">
        <v>0</v>
      </c>
      <c r="V3305">
        <v>0</v>
      </c>
      <c r="W3305">
        <v>400017</v>
      </c>
      <c r="X3305" t="s">
        <v>56</v>
      </c>
      <c r="Y3305" t="s">
        <v>57</v>
      </c>
      <c r="AE3305">
        <v>0</v>
      </c>
      <c r="AP3305" t="s">
        <v>49</v>
      </c>
    </row>
    <row r="3306" spans="1:42">
      <c r="A3306" s="1" t="s">
        <v>46</v>
      </c>
      <c r="B3306" s="1" t="s">
        <v>5897</v>
      </c>
      <c r="C3306" s="1" t="s">
        <v>5897</v>
      </c>
      <c r="G3306" s="16"/>
      <c r="M3306">
        <v>1</v>
      </c>
      <c r="N3306">
        <v>40</v>
      </c>
      <c r="O3306">
        <v>0</v>
      </c>
      <c r="P3306">
        <v>2.25</v>
      </c>
      <c r="Q3306">
        <v>90</v>
      </c>
      <c r="R3306">
        <v>0</v>
      </c>
      <c r="S3306">
        <v>0</v>
      </c>
      <c r="T3306" t="s">
        <v>52</v>
      </c>
      <c r="U3306">
        <v>0</v>
      </c>
      <c r="V3306">
        <v>0</v>
      </c>
      <c r="W3306">
        <v>400017</v>
      </c>
      <c r="X3306" t="s">
        <v>56</v>
      </c>
      <c r="Y3306" t="s">
        <v>57</v>
      </c>
      <c r="AE3306">
        <v>0</v>
      </c>
      <c r="AP3306" t="s">
        <v>49</v>
      </c>
    </row>
    <row r="3307" spans="1:42">
      <c r="A3307" s="1" t="s">
        <v>46</v>
      </c>
      <c r="B3307" s="1" t="s">
        <v>5898</v>
      </c>
      <c r="C3307" s="1" t="s">
        <v>5898</v>
      </c>
      <c r="G3307" s="16"/>
      <c r="M3307">
        <v>1</v>
      </c>
      <c r="N3307">
        <v>2</v>
      </c>
      <c r="O3307">
        <v>0</v>
      </c>
      <c r="P3307">
        <v>22.5</v>
      </c>
      <c r="Q3307">
        <v>45</v>
      </c>
      <c r="W3307">
        <v>400080</v>
      </c>
      <c r="AE3307">
        <v>0</v>
      </c>
      <c r="AP3307" t="s">
        <v>696</v>
      </c>
    </row>
    <row r="3308" spans="1:42">
      <c r="A3308" s="1" t="s">
        <v>46</v>
      </c>
      <c r="B3308" s="1" t="s">
        <v>5899</v>
      </c>
      <c r="C3308" s="1" t="s">
        <v>5899</v>
      </c>
      <c r="G3308" s="16"/>
      <c r="M3308">
        <v>1</v>
      </c>
      <c r="N3308">
        <v>10</v>
      </c>
      <c r="O3308">
        <v>0</v>
      </c>
      <c r="P3308">
        <v>63.75</v>
      </c>
      <c r="Q3308">
        <v>637.5</v>
      </c>
      <c r="W3308">
        <v>400080</v>
      </c>
      <c r="AE3308">
        <v>0</v>
      </c>
      <c r="AP3308" t="s">
        <v>696</v>
      </c>
    </row>
    <row r="3309" spans="1:42">
      <c r="A3309" s="1" t="s">
        <v>46</v>
      </c>
      <c r="B3309" s="1" t="s">
        <v>5900</v>
      </c>
      <c r="C3309" s="1" t="s">
        <v>5900</v>
      </c>
      <c r="G3309" s="16"/>
      <c r="M3309">
        <v>1</v>
      </c>
      <c r="N3309">
        <v>71</v>
      </c>
      <c r="O3309">
        <v>0</v>
      </c>
      <c r="P3309">
        <v>17</v>
      </c>
      <c r="Q3309">
        <v>1207</v>
      </c>
      <c r="W3309">
        <v>400194</v>
      </c>
      <c r="AE3309">
        <v>0</v>
      </c>
      <c r="AP3309" t="s">
        <v>173</v>
      </c>
    </row>
    <row r="3310" spans="1:42">
      <c r="A3310" s="1" t="s">
        <v>46</v>
      </c>
      <c r="B3310" s="1" t="s">
        <v>5901</v>
      </c>
      <c r="C3310" s="1" t="s">
        <v>5901</v>
      </c>
      <c r="G3310" s="16"/>
      <c r="M3310">
        <v>1</v>
      </c>
      <c r="N3310">
        <v>20</v>
      </c>
      <c r="O3310">
        <v>0</v>
      </c>
      <c r="P3310">
        <v>11</v>
      </c>
      <c r="Q3310">
        <v>220</v>
      </c>
      <c r="W3310">
        <v>400194</v>
      </c>
      <c r="AE3310">
        <v>0</v>
      </c>
      <c r="AP3310" t="s">
        <v>173</v>
      </c>
    </row>
    <row r="3311" spans="1:42">
      <c r="A3311" s="1" t="s">
        <v>46</v>
      </c>
      <c r="B3311" s="1" t="s">
        <v>5902</v>
      </c>
      <c r="C3311" s="1" t="s">
        <v>5902</v>
      </c>
      <c r="G3311" s="16"/>
      <c r="M3311">
        <v>1</v>
      </c>
      <c r="N3311">
        <v>20</v>
      </c>
      <c r="O3311">
        <v>0</v>
      </c>
      <c r="P3311">
        <v>13</v>
      </c>
      <c r="Q3311">
        <v>260</v>
      </c>
      <c r="W3311">
        <v>400194</v>
      </c>
      <c r="AE3311">
        <v>0</v>
      </c>
      <c r="AP3311" t="s">
        <v>173</v>
      </c>
    </row>
    <row r="3312" spans="1:42">
      <c r="A3312" s="1" t="s">
        <v>46</v>
      </c>
      <c r="B3312" s="1" t="s">
        <v>5903</v>
      </c>
      <c r="C3312" s="1" t="s">
        <v>5903</v>
      </c>
      <c r="G3312" s="16"/>
      <c r="M3312">
        <v>1</v>
      </c>
      <c r="N3312">
        <v>4527</v>
      </c>
      <c r="O3312">
        <v>0</v>
      </c>
      <c r="P3312">
        <v>0.2</v>
      </c>
      <c r="Q3312">
        <v>905.4</v>
      </c>
      <c r="R3312">
        <v>0</v>
      </c>
      <c r="S3312">
        <v>0</v>
      </c>
      <c r="T3312" t="s">
        <v>52</v>
      </c>
      <c r="U3312">
        <v>0</v>
      </c>
      <c r="V3312">
        <v>0</v>
      </c>
      <c r="W3312">
        <v>400033</v>
      </c>
      <c r="AE3312">
        <v>0</v>
      </c>
      <c r="AP3312" t="s">
        <v>126</v>
      </c>
    </row>
    <row r="3313" spans="1:42">
      <c r="G3313" s="16"/>
    </row>
    <row r="3314" spans="1:42">
      <c r="A3314" s="1" t="s">
        <v>46</v>
      </c>
      <c r="B3314" s="1" t="s">
        <v>5904</v>
      </c>
      <c r="C3314" s="1" t="s">
        <v>5904</v>
      </c>
      <c r="G3314" s="16"/>
      <c r="M3314">
        <v>1</v>
      </c>
      <c r="N3314">
        <v>4</v>
      </c>
      <c r="O3314">
        <v>0</v>
      </c>
      <c r="P3314">
        <v>35</v>
      </c>
      <c r="Q3314">
        <v>140</v>
      </c>
      <c r="W3314">
        <v>400080</v>
      </c>
      <c r="AE3314">
        <v>0</v>
      </c>
      <c r="AP3314" t="s">
        <v>696</v>
      </c>
    </row>
    <row r="3315" spans="1:42">
      <c r="A3315" s="1" t="s">
        <v>46</v>
      </c>
      <c r="B3315" s="1" t="s">
        <v>5905</v>
      </c>
      <c r="C3315" s="1" t="s">
        <v>5905</v>
      </c>
      <c r="G3315" s="16"/>
      <c r="M3315">
        <v>1</v>
      </c>
      <c r="N3315">
        <v>1</v>
      </c>
      <c r="O3315">
        <v>0</v>
      </c>
      <c r="P3315">
        <v>29</v>
      </c>
      <c r="Q3315">
        <v>29</v>
      </c>
      <c r="W3315">
        <v>400111</v>
      </c>
      <c r="AE3315">
        <v>0</v>
      </c>
      <c r="AP3315" t="s">
        <v>646</v>
      </c>
    </row>
    <row r="3316" spans="1:42">
      <c r="A3316" s="1" t="s">
        <v>46</v>
      </c>
      <c r="B3316" s="1" t="s">
        <v>5906</v>
      </c>
      <c r="C3316" s="1" t="s">
        <v>5906</v>
      </c>
      <c r="G3316" s="16"/>
      <c r="M3316">
        <v>1</v>
      </c>
      <c r="N3316">
        <v>-70</v>
      </c>
      <c r="O3316">
        <v>0</v>
      </c>
      <c r="P3316">
        <v>5</v>
      </c>
      <c r="Q3316">
        <v>-350</v>
      </c>
      <c r="R3316">
        <v>0</v>
      </c>
      <c r="S3316">
        <v>0</v>
      </c>
      <c r="T3316" t="s">
        <v>52</v>
      </c>
      <c r="W3316">
        <v>53000101</v>
      </c>
      <c r="AE3316">
        <v>0</v>
      </c>
      <c r="AP3316" t="s">
        <v>3920</v>
      </c>
    </row>
    <row r="3317" spans="1:42">
      <c r="A3317" s="1" t="s">
        <v>46</v>
      </c>
      <c r="B3317" s="1" t="s">
        <v>5907</v>
      </c>
      <c r="C3317" s="1" t="s">
        <v>5907</v>
      </c>
      <c r="G3317" s="16"/>
      <c r="M3317">
        <v>1</v>
      </c>
      <c r="N3317">
        <v>-1</v>
      </c>
      <c r="O3317">
        <v>0</v>
      </c>
      <c r="P3317">
        <v>6</v>
      </c>
      <c r="Q3317">
        <v>-6</v>
      </c>
      <c r="AE3317">
        <v>0</v>
      </c>
    </row>
    <row r="3318" spans="1:42">
      <c r="A3318" s="1" t="s">
        <v>46</v>
      </c>
      <c r="B3318" s="1" t="s">
        <v>5908</v>
      </c>
      <c r="C3318" s="1" t="s">
        <v>5908</v>
      </c>
      <c r="G3318" s="16"/>
      <c r="M3318">
        <v>1</v>
      </c>
      <c r="N3318">
        <v>-104</v>
      </c>
      <c r="O3318">
        <v>0</v>
      </c>
      <c r="W3318">
        <v>400017</v>
      </c>
      <c r="AE3318">
        <v>0</v>
      </c>
      <c r="AP3318" t="s">
        <v>49</v>
      </c>
    </row>
    <row r="3319" spans="1:42">
      <c r="A3319" s="1" t="s">
        <v>46</v>
      </c>
      <c r="B3319" s="1" t="s">
        <v>5909</v>
      </c>
      <c r="C3319" s="1" t="s">
        <v>5909</v>
      </c>
      <c r="G3319" s="16"/>
      <c r="M3319">
        <v>1</v>
      </c>
      <c r="N3319">
        <v>42</v>
      </c>
      <c r="O3319">
        <v>0</v>
      </c>
      <c r="P3319">
        <v>1.75</v>
      </c>
      <c r="Q3319">
        <v>73.5</v>
      </c>
      <c r="R3319">
        <v>0</v>
      </c>
      <c r="S3319">
        <v>0</v>
      </c>
      <c r="T3319" t="s">
        <v>52</v>
      </c>
      <c r="U3319">
        <v>0</v>
      </c>
      <c r="V3319">
        <v>0</v>
      </c>
      <c r="W3319">
        <v>400158</v>
      </c>
      <c r="X3319" t="s">
        <v>56</v>
      </c>
      <c r="Y3319" t="s">
        <v>57</v>
      </c>
      <c r="AE3319">
        <v>0</v>
      </c>
      <c r="AP3319" t="s">
        <v>61</v>
      </c>
    </row>
    <row r="3320" spans="1:42">
      <c r="A3320" s="1" t="s">
        <v>46</v>
      </c>
      <c r="B3320" s="1" t="s">
        <v>5910</v>
      </c>
      <c r="C3320" s="1" t="s">
        <v>5910</v>
      </c>
      <c r="G3320" s="16"/>
      <c r="M3320">
        <v>1</v>
      </c>
      <c r="N3320">
        <v>91</v>
      </c>
      <c r="O3320">
        <v>0</v>
      </c>
      <c r="P3320">
        <v>2.75</v>
      </c>
      <c r="Q3320">
        <v>250.25</v>
      </c>
      <c r="R3320">
        <v>0</v>
      </c>
      <c r="S3320">
        <v>0</v>
      </c>
      <c r="T3320" t="s">
        <v>52</v>
      </c>
      <c r="U3320">
        <v>0</v>
      </c>
      <c r="V3320">
        <v>0</v>
      </c>
      <c r="W3320">
        <v>400017</v>
      </c>
      <c r="X3320" t="s">
        <v>56</v>
      </c>
      <c r="Y3320" t="s">
        <v>57</v>
      </c>
      <c r="AE3320">
        <v>0</v>
      </c>
      <c r="AP3320" t="s">
        <v>49</v>
      </c>
    </row>
    <row r="3321" spans="1:42">
      <c r="A3321" s="1" t="s">
        <v>46</v>
      </c>
      <c r="B3321" s="1" t="s">
        <v>5911</v>
      </c>
      <c r="C3321" s="1" t="s">
        <v>5911</v>
      </c>
      <c r="G3321" s="16"/>
      <c r="M3321">
        <v>1</v>
      </c>
      <c r="N3321">
        <v>81</v>
      </c>
      <c r="O3321">
        <v>0</v>
      </c>
      <c r="P3321">
        <v>3.75</v>
      </c>
      <c r="Q3321">
        <v>303.75</v>
      </c>
      <c r="R3321">
        <v>0</v>
      </c>
      <c r="S3321">
        <v>0</v>
      </c>
      <c r="T3321" t="s">
        <v>52</v>
      </c>
      <c r="U3321">
        <v>0</v>
      </c>
      <c r="V3321">
        <v>0</v>
      </c>
      <c r="W3321">
        <v>400158</v>
      </c>
      <c r="X3321" t="s">
        <v>56</v>
      </c>
      <c r="Y3321" t="s">
        <v>57</v>
      </c>
      <c r="AE3321">
        <v>0</v>
      </c>
      <c r="AP3321" t="s">
        <v>61</v>
      </c>
    </row>
    <row r="3322" spans="1:42">
      <c r="A3322" s="1" t="s">
        <v>46</v>
      </c>
      <c r="B3322" s="1" t="s">
        <v>5912</v>
      </c>
      <c r="C3322" s="1" t="s">
        <v>5912</v>
      </c>
      <c r="G3322" s="16"/>
      <c r="M3322">
        <v>1</v>
      </c>
      <c r="N3322">
        <v>77</v>
      </c>
      <c r="O3322">
        <v>0</v>
      </c>
      <c r="P3322">
        <v>2.25</v>
      </c>
      <c r="Q3322">
        <v>173.25</v>
      </c>
      <c r="R3322">
        <v>0</v>
      </c>
      <c r="S3322">
        <v>0</v>
      </c>
      <c r="T3322" t="s">
        <v>52</v>
      </c>
      <c r="U3322">
        <v>0</v>
      </c>
      <c r="V3322">
        <v>0</v>
      </c>
      <c r="W3322">
        <v>400158</v>
      </c>
      <c r="X3322" t="s">
        <v>56</v>
      </c>
      <c r="Y3322" t="s">
        <v>57</v>
      </c>
      <c r="AE3322">
        <v>0</v>
      </c>
      <c r="AP3322" t="s">
        <v>61</v>
      </c>
    </row>
    <row r="3323" spans="1:42">
      <c r="A3323" s="1" t="s">
        <v>46</v>
      </c>
      <c r="B3323" s="1" t="s">
        <v>5913</v>
      </c>
      <c r="C3323" s="1" t="s">
        <v>5913</v>
      </c>
      <c r="G3323" s="16"/>
      <c r="M3323">
        <v>1</v>
      </c>
      <c r="N3323">
        <v>4</v>
      </c>
      <c r="O3323">
        <v>0</v>
      </c>
      <c r="P3323">
        <v>10</v>
      </c>
      <c r="Q3323">
        <v>40</v>
      </c>
      <c r="R3323">
        <v>0</v>
      </c>
      <c r="S3323">
        <v>0</v>
      </c>
      <c r="T3323" t="s">
        <v>17</v>
      </c>
      <c r="W3323">
        <v>400017</v>
      </c>
      <c r="AE3323">
        <v>0</v>
      </c>
      <c r="AP3323" t="s">
        <v>49</v>
      </c>
    </row>
    <row r="3324" spans="1:42">
      <c r="A3324" s="1" t="s">
        <v>46</v>
      </c>
      <c r="B3324" s="1" t="s">
        <v>5914</v>
      </c>
      <c r="C3324" s="1" t="s">
        <v>5914</v>
      </c>
      <c r="G3324" s="16"/>
      <c r="M3324">
        <v>1</v>
      </c>
      <c r="N3324">
        <v>4618</v>
      </c>
      <c r="O3324">
        <v>0</v>
      </c>
      <c r="P3324">
        <v>0.6</v>
      </c>
      <c r="Q3324">
        <v>2770.8</v>
      </c>
      <c r="R3324">
        <v>0</v>
      </c>
      <c r="S3324">
        <v>0</v>
      </c>
      <c r="T3324" t="s">
        <v>52</v>
      </c>
      <c r="U3324">
        <v>0</v>
      </c>
      <c r="V3324">
        <v>0</v>
      </c>
      <c r="W3324">
        <v>400158</v>
      </c>
      <c r="X3324" t="s">
        <v>56</v>
      </c>
      <c r="Y3324" t="s">
        <v>57</v>
      </c>
      <c r="AE3324">
        <v>0</v>
      </c>
      <c r="AP3324" t="s">
        <v>61</v>
      </c>
    </row>
    <row r="3325" spans="1:42">
      <c r="A3325" s="1" t="s">
        <v>46</v>
      </c>
      <c r="B3325" s="1" t="s">
        <v>5915</v>
      </c>
      <c r="C3325" s="1" t="s">
        <v>5915</v>
      </c>
      <c r="G3325" s="16"/>
      <c r="M3325">
        <v>1</v>
      </c>
      <c r="N3325">
        <v>0</v>
      </c>
      <c r="O3325">
        <v>0</v>
      </c>
      <c r="P3325">
        <v>1.25</v>
      </c>
      <c r="Q3325">
        <v>0</v>
      </c>
      <c r="R3325">
        <v>0</v>
      </c>
      <c r="S3325">
        <v>0</v>
      </c>
      <c r="T3325" t="s">
        <v>52</v>
      </c>
      <c r="U3325">
        <v>0</v>
      </c>
      <c r="V3325">
        <v>0</v>
      </c>
      <c r="W3325">
        <v>400032</v>
      </c>
      <c r="X3325" t="s">
        <v>56</v>
      </c>
      <c r="Y3325" t="s">
        <v>57</v>
      </c>
      <c r="AE3325">
        <v>0</v>
      </c>
      <c r="AP3325" t="s">
        <v>404</v>
      </c>
    </row>
    <row r="3326" spans="1:42">
      <c r="A3326" s="1" t="s">
        <v>46</v>
      </c>
      <c r="B3326" s="1" t="s">
        <v>5916</v>
      </c>
      <c r="C3326" s="1" t="s">
        <v>5916</v>
      </c>
      <c r="G3326" s="16"/>
      <c r="M3326">
        <v>1</v>
      </c>
      <c r="N3326">
        <v>160</v>
      </c>
      <c r="O3326">
        <v>0</v>
      </c>
      <c r="P3326">
        <v>4</v>
      </c>
      <c r="Q3326">
        <v>640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400032</v>
      </c>
      <c r="X3326" t="s">
        <v>56</v>
      </c>
      <c r="Y3326" t="s">
        <v>57</v>
      </c>
      <c r="AE3326">
        <v>0</v>
      </c>
      <c r="AP3326" t="s">
        <v>404</v>
      </c>
    </row>
    <row r="3327" spans="1:42">
      <c r="A3327" s="1" t="s">
        <v>46</v>
      </c>
      <c r="B3327" s="1" t="s">
        <v>5917</v>
      </c>
      <c r="C3327" s="1" t="s">
        <v>5917</v>
      </c>
      <c r="G3327" s="16"/>
      <c r="M3327">
        <v>1</v>
      </c>
      <c r="N3327">
        <v>82</v>
      </c>
      <c r="O3327">
        <v>0</v>
      </c>
      <c r="P3327">
        <v>2</v>
      </c>
      <c r="Q3327">
        <v>164</v>
      </c>
      <c r="R3327">
        <v>0</v>
      </c>
      <c r="S3327">
        <v>0</v>
      </c>
      <c r="T3327" t="s">
        <v>52</v>
      </c>
      <c r="W3327">
        <v>400133</v>
      </c>
      <c r="AE3327">
        <v>0</v>
      </c>
      <c r="AP3327" t="s">
        <v>4040</v>
      </c>
    </row>
    <row r="3328" spans="1:42">
      <c r="A3328" s="1" t="s">
        <v>46</v>
      </c>
      <c r="B3328" s="1" t="s">
        <v>5918</v>
      </c>
      <c r="C3328" s="1" t="s">
        <v>5918</v>
      </c>
      <c r="G3328" s="16"/>
      <c r="M3328">
        <v>1</v>
      </c>
      <c r="N3328">
        <v>32</v>
      </c>
      <c r="O3328">
        <v>0</v>
      </c>
      <c r="P3328">
        <v>3.5</v>
      </c>
      <c r="Q3328">
        <v>112</v>
      </c>
      <c r="R3328">
        <v>0</v>
      </c>
      <c r="S3328">
        <v>0</v>
      </c>
      <c r="T3328" t="s">
        <v>52</v>
      </c>
      <c r="U3328">
        <v>0</v>
      </c>
      <c r="V3328">
        <v>0</v>
      </c>
      <c r="W3328">
        <v>400017</v>
      </c>
      <c r="X3328" t="s">
        <v>56</v>
      </c>
      <c r="Y3328" t="s">
        <v>57</v>
      </c>
      <c r="AE3328">
        <v>0</v>
      </c>
      <c r="AP3328" t="s">
        <v>49</v>
      </c>
    </row>
    <row r="3329" spans="1:42">
      <c r="A3329" s="1" t="s">
        <v>46</v>
      </c>
      <c r="B3329" s="1" t="s">
        <v>5919</v>
      </c>
      <c r="C3329" s="1" t="s">
        <v>5919</v>
      </c>
      <c r="G3329" s="16"/>
      <c r="M3329">
        <v>1</v>
      </c>
      <c r="N3329">
        <v>-625</v>
      </c>
      <c r="O3329">
        <v>0</v>
      </c>
      <c r="P3329">
        <v>2.04</v>
      </c>
      <c r="Q3329">
        <v>-1276.04</v>
      </c>
      <c r="R3329">
        <v>0</v>
      </c>
      <c r="S3329">
        <v>0</v>
      </c>
      <c r="T3329" t="s">
        <v>4637</v>
      </c>
      <c r="U3329" t="s">
        <v>52</v>
      </c>
      <c r="V3329">
        <v>0</v>
      </c>
      <c r="W3329">
        <v>400091</v>
      </c>
      <c r="X3329" t="s">
        <v>56</v>
      </c>
      <c r="Y3329" t="s">
        <v>57</v>
      </c>
      <c r="AE3329">
        <v>0</v>
      </c>
      <c r="AP3329" t="s">
        <v>3931</v>
      </c>
    </row>
    <row r="3330" spans="1:42">
      <c r="G3330" s="16"/>
    </row>
    <row r="3331" spans="1:42">
      <c r="G3331" s="16"/>
    </row>
    <row r="3332" spans="1:42">
      <c r="G3332" s="16"/>
    </row>
    <row r="3333" spans="1:42">
      <c r="G3333" s="16"/>
    </row>
    <row r="3334" spans="1:42">
      <c r="G3334" s="16"/>
    </row>
    <row r="3335" spans="1:42">
      <c r="G3335" s="16"/>
    </row>
    <row r="3336" spans="1:42">
      <c r="G3336" s="16"/>
    </row>
    <row r="3337" spans="1:42">
      <c r="A3337" s="1" t="s">
        <v>46</v>
      </c>
      <c r="B3337" s="1" t="s">
        <v>5920</v>
      </c>
      <c r="C3337" s="1" t="s">
        <v>5920</v>
      </c>
      <c r="G3337" s="16"/>
      <c r="I3337">
        <v>116.6</v>
      </c>
      <c r="M3337">
        <v>1</v>
      </c>
      <c r="N3337">
        <v>1</v>
      </c>
      <c r="O3337">
        <v>0</v>
      </c>
      <c r="P3337">
        <v>75.77</v>
      </c>
      <c r="Q3337">
        <v>75.77</v>
      </c>
      <c r="R3337" t="s">
        <v>107</v>
      </c>
      <c r="S3337">
        <v>0</v>
      </c>
      <c r="T3337" t="s">
        <v>52</v>
      </c>
      <c r="U3337">
        <v>0</v>
      </c>
      <c r="V3337">
        <v>0</v>
      </c>
      <c r="W3337">
        <v>400010</v>
      </c>
      <c r="AE3337">
        <v>0</v>
      </c>
      <c r="AH3337">
        <v>116.6</v>
      </c>
      <c r="AP3337" t="s">
        <v>66</v>
      </c>
    </row>
    <row r="3338" spans="1:42">
      <c r="G3338" s="16"/>
    </row>
    <row r="3339" spans="1:42">
      <c r="A3339" s="1" t="s">
        <v>46</v>
      </c>
      <c r="B3339" s="1" t="s">
        <v>5921</v>
      </c>
      <c r="C3339" s="1" t="s">
        <v>5921</v>
      </c>
      <c r="G3339" s="16"/>
      <c r="M3339">
        <v>1</v>
      </c>
      <c r="N3339">
        <v>1</v>
      </c>
      <c r="O3339">
        <v>0</v>
      </c>
      <c r="P3339">
        <v>225.33</v>
      </c>
      <c r="Q3339">
        <v>225.33</v>
      </c>
      <c r="R3339" t="s">
        <v>107</v>
      </c>
      <c r="S3339">
        <v>0</v>
      </c>
      <c r="T3339" t="s">
        <v>52</v>
      </c>
      <c r="W3339">
        <v>400010</v>
      </c>
      <c r="AE3339">
        <v>0</v>
      </c>
      <c r="AP3339" t="s">
        <v>66</v>
      </c>
    </row>
    <row r="3340" spans="1:42">
      <c r="A3340" s="1" t="s">
        <v>46</v>
      </c>
      <c r="B3340" s="1" t="s">
        <v>5922</v>
      </c>
      <c r="C3340" s="1" t="s">
        <v>5922</v>
      </c>
      <c r="G3340" s="16"/>
      <c r="M3340">
        <v>1</v>
      </c>
      <c r="N3340">
        <v>-25</v>
      </c>
      <c r="O3340">
        <v>0</v>
      </c>
      <c r="P3340">
        <v>100</v>
      </c>
      <c r="Q3340">
        <v>-2500</v>
      </c>
      <c r="R3340">
        <v>0</v>
      </c>
      <c r="S3340">
        <v>0</v>
      </c>
      <c r="T3340" t="s">
        <v>52</v>
      </c>
      <c r="W3340">
        <v>400181</v>
      </c>
      <c r="AE3340">
        <v>0</v>
      </c>
      <c r="AP3340" t="s">
        <v>5865</v>
      </c>
    </row>
    <row r="3341" spans="1:42">
      <c r="G3341" s="16"/>
    </row>
    <row r="3342" spans="1:42">
      <c r="G3342" s="16"/>
    </row>
    <row r="3343" spans="1:42">
      <c r="G3343" s="16"/>
    </row>
    <row r="3344" spans="1:42">
      <c r="G3344" s="16"/>
    </row>
    <row r="3345" spans="1:42">
      <c r="G3345" s="16"/>
    </row>
    <row r="3346" spans="1:42">
      <c r="A3346" s="1" t="s">
        <v>46</v>
      </c>
      <c r="B3346" s="1" t="s">
        <v>5923</v>
      </c>
      <c r="C3346" s="1" t="s">
        <v>5923</v>
      </c>
      <c r="G3346" s="16"/>
      <c r="I3346">
        <v>48.4</v>
      </c>
      <c r="M3346">
        <v>1</v>
      </c>
      <c r="N3346">
        <v>-1</v>
      </c>
      <c r="O3346">
        <v>0</v>
      </c>
      <c r="P3346">
        <v>37.08</v>
      </c>
      <c r="Q3346">
        <v>-37.08</v>
      </c>
      <c r="R3346" t="s">
        <v>107</v>
      </c>
      <c r="S3346">
        <v>0</v>
      </c>
      <c r="T3346" t="s">
        <v>52</v>
      </c>
      <c r="U3346">
        <v>0</v>
      </c>
      <c r="V3346">
        <v>0</v>
      </c>
      <c r="W3346">
        <v>400010</v>
      </c>
      <c r="AE3346">
        <v>0</v>
      </c>
      <c r="AH3346">
        <v>48.4</v>
      </c>
      <c r="AP3346" t="s">
        <v>66</v>
      </c>
    </row>
    <row r="3347" spans="1:42">
      <c r="A3347" s="1" t="s">
        <v>46</v>
      </c>
      <c r="B3347" s="1" t="s">
        <v>5924</v>
      </c>
      <c r="C3347" s="1" t="s">
        <v>5924</v>
      </c>
      <c r="G3347" s="16"/>
      <c r="I3347">
        <v>33</v>
      </c>
      <c r="M3347">
        <v>1</v>
      </c>
      <c r="N3347">
        <v>1</v>
      </c>
      <c r="O3347">
        <v>0</v>
      </c>
      <c r="P3347">
        <v>21.98</v>
      </c>
      <c r="Q3347">
        <v>21.98</v>
      </c>
      <c r="R3347" t="s">
        <v>107</v>
      </c>
      <c r="S3347">
        <v>0</v>
      </c>
      <c r="T3347" t="s">
        <v>52</v>
      </c>
      <c r="U3347">
        <v>0</v>
      </c>
      <c r="V3347">
        <v>0</v>
      </c>
      <c r="W3347">
        <v>400022</v>
      </c>
      <c r="AE3347">
        <v>0</v>
      </c>
      <c r="AH3347">
        <v>33</v>
      </c>
      <c r="AP3347" t="s">
        <v>3714</v>
      </c>
    </row>
    <row r="3348" spans="1:42">
      <c r="A3348" s="1" t="s">
        <v>46</v>
      </c>
      <c r="B3348" s="1" t="s">
        <v>5925</v>
      </c>
      <c r="C3348" s="1" t="s">
        <v>5925</v>
      </c>
      <c r="G3348" s="16"/>
      <c r="M3348">
        <v>1</v>
      </c>
      <c r="N3348">
        <v>2</v>
      </c>
      <c r="O3348">
        <v>0</v>
      </c>
      <c r="P3348">
        <v>77.66</v>
      </c>
      <c r="Q3348">
        <v>155.31</v>
      </c>
      <c r="R3348" t="s">
        <v>107</v>
      </c>
      <c r="S3348">
        <v>0</v>
      </c>
      <c r="T3348" t="s">
        <v>52</v>
      </c>
      <c r="W3348">
        <v>400022</v>
      </c>
      <c r="AE3348">
        <v>0</v>
      </c>
      <c r="AP3348" t="s">
        <v>3714</v>
      </c>
    </row>
    <row r="3349" spans="1:42">
      <c r="A3349" s="1" t="s">
        <v>46</v>
      </c>
      <c r="B3349" s="1" t="s">
        <v>5926</v>
      </c>
      <c r="C3349" s="1" t="s">
        <v>5926</v>
      </c>
      <c r="G3349" s="16"/>
      <c r="I3349">
        <v>93.5</v>
      </c>
      <c r="M3349">
        <v>1</v>
      </c>
      <c r="N3349">
        <v>1</v>
      </c>
      <c r="O3349">
        <v>0</v>
      </c>
      <c r="P3349">
        <v>69.599999999999994</v>
      </c>
      <c r="Q3349">
        <v>69.599999999999994</v>
      </c>
      <c r="R3349" t="s">
        <v>107</v>
      </c>
      <c r="S3349">
        <v>0</v>
      </c>
      <c r="T3349" t="s">
        <v>52</v>
      </c>
      <c r="U3349">
        <v>0</v>
      </c>
      <c r="V3349">
        <v>0</v>
      </c>
      <c r="W3349">
        <v>400010</v>
      </c>
      <c r="AE3349">
        <v>0</v>
      </c>
      <c r="AH3349">
        <v>93.5</v>
      </c>
      <c r="AP3349" t="s">
        <v>66</v>
      </c>
    </row>
    <row r="3350" spans="1:42">
      <c r="A3350" s="1" t="s">
        <v>46</v>
      </c>
      <c r="B3350" s="1" t="s">
        <v>5927</v>
      </c>
      <c r="C3350" s="1" t="s">
        <v>5927</v>
      </c>
      <c r="G3350" s="16"/>
      <c r="M3350">
        <v>1</v>
      </c>
      <c r="N3350">
        <v>0</v>
      </c>
      <c r="O3350">
        <v>0</v>
      </c>
      <c r="P3350">
        <v>25</v>
      </c>
      <c r="Q3350">
        <v>0</v>
      </c>
      <c r="R3350">
        <v>0</v>
      </c>
      <c r="S3350">
        <v>0</v>
      </c>
      <c r="T3350" t="s">
        <v>52</v>
      </c>
      <c r="W3350">
        <v>400045</v>
      </c>
      <c r="AE3350">
        <v>0</v>
      </c>
      <c r="AP3350" t="s">
        <v>217</v>
      </c>
    </row>
    <row r="3351" spans="1:42">
      <c r="A3351" s="1" t="s">
        <v>46</v>
      </c>
      <c r="B3351" s="1" t="s">
        <v>5928</v>
      </c>
      <c r="C3351" s="1" t="s">
        <v>5928</v>
      </c>
      <c r="G3351" s="16"/>
      <c r="M3351">
        <v>1</v>
      </c>
      <c r="N3351">
        <v>10</v>
      </c>
      <c r="O3351">
        <v>0</v>
      </c>
      <c r="P3351">
        <v>37</v>
      </c>
      <c r="Q3351">
        <v>370</v>
      </c>
      <c r="R3351" t="s">
        <v>4272</v>
      </c>
      <c r="S3351">
        <v>0</v>
      </c>
      <c r="T3351" t="s">
        <v>52</v>
      </c>
      <c r="U3351">
        <v>0</v>
      </c>
      <c r="V3351">
        <v>0</v>
      </c>
      <c r="W3351">
        <v>400189</v>
      </c>
      <c r="X3351" t="s">
        <v>56</v>
      </c>
      <c r="Y3351" t="s">
        <v>57</v>
      </c>
      <c r="AE3351">
        <v>0</v>
      </c>
      <c r="AP3351" t="s">
        <v>451</v>
      </c>
    </row>
    <row r="3352" spans="1:42">
      <c r="G3352" s="16"/>
    </row>
    <row r="3353" spans="1:42">
      <c r="G3353" s="16"/>
    </row>
    <row r="3354" spans="1:42">
      <c r="A3354" s="1" t="s">
        <v>46</v>
      </c>
      <c r="B3354" s="1" t="s">
        <v>5929</v>
      </c>
      <c r="C3354" s="1" t="s">
        <v>5929</v>
      </c>
      <c r="G3354" s="16"/>
      <c r="M3354">
        <v>1</v>
      </c>
      <c r="N3354">
        <v>2</v>
      </c>
      <c r="O3354">
        <v>0</v>
      </c>
      <c r="P3354">
        <v>25.04</v>
      </c>
      <c r="Q3354">
        <v>50.08</v>
      </c>
      <c r="R3354" t="s">
        <v>107</v>
      </c>
      <c r="S3354">
        <v>0</v>
      </c>
      <c r="T3354" t="s">
        <v>52</v>
      </c>
      <c r="U3354">
        <v>0</v>
      </c>
      <c r="V3354">
        <v>0</v>
      </c>
      <c r="W3354">
        <v>400013</v>
      </c>
      <c r="AE3354">
        <v>0</v>
      </c>
      <c r="AP3354" t="s">
        <v>232</v>
      </c>
    </row>
    <row r="3355" spans="1:42">
      <c r="A3355" s="1" t="s">
        <v>46</v>
      </c>
      <c r="B3355" s="1" t="s">
        <v>5930</v>
      </c>
      <c r="C3355" s="1" t="s">
        <v>5930</v>
      </c>
      <c r="G3355" s="16"/>
      <c r="M3355">
        <v>1</v>
      </c>
      <c r="N3355">
        <v>15</v>
      </c>
      <c r="O3355">
        <v>0</v>
      </c>
      <c r="P3355">
        <v>10</v>
      </c>
      <c r="Q3355">
        <v>150</v>
      </c>
      <c r="R3355">
        <v>0</v>
      </c>
      <c r="S3355">
        <v>0</v>
      </c>
      <c r="T3355" t="s">
        <v>52</v>
      </c>
      <c r="U3355">
        <v>0</v>
      </c>
      <c r="V3355">
        <v>0</v>
      </c>
      <c r="W3355">
        <v>410120</v>
      </c>
      <c r="AE3355">
        <v>0</v>
      </c>
      <c r="AP3355" t="s">
        <v>112</v>
      </c>
    </row>
    <row r="3356" spans="1:42">
      <c r="G3356" s="16"/>
    </row>
    <row r="3357" spans="1:42">
      <c r="A3357" s="1" t="s">
        <v>46</v>
      </c>
      <c r="B3357" s="1" t="s">
        <v>5931</v>
      </c>
      <c r="C3357" s="1" t="s">
        <v>5931</v>
      </c>
      <c r="G3357" s="16"/>
      <c r="I3357">
        <v>94.6</v>
      </c>
      <c r="M3357">
        <v>1</v>
      </c>
      <c r="N3357">
        <v>4</v>
      </c>
      <c r="O3357">
        <v>0</v>
      </c>
      <c r="P3357">
        <v>41.56</v>
      </c>
      <c r="Q3357">
        <v>166.23</v>
      </c>
      <c r="R3357" t="s">
        <v>107</v>
      </c>
      <c r="S3357">
        <v>0</v>
      </c>
      <c r="T3357" t="s">
        <v>52</v>
      </c>
      <c r="U3357">
        <v>0</v>
      </c>
      <c r="V3357">
        <v>0</v>
      </c>
      <c r="W3357">
        <v>400013</v>
      </c>
      <c r="AE3357">
        <v>0</v>
      </c>
      <c r="AH3357">
        <v>94.6</v>
      </c>
      <c r="AP3357" t="s">
        <v>232</v>
      </c>
    </row>
    <row r="3358" spans="1:42">
      <c r="G3358" s="16"/>
    </row>
    <row r="3359" spans="1:42">
      <c r="A3359" s="1" t="s">
        <v>46</v>
      </c>
      <c r="B3359" s="1" t="s">
        <v>5932</v>
      </c>
      <c r="C3359" s="1" t="s">
        <v>5932</v>
      </c>
      <c r="G3359" s="16"/>
      <c r="I3359">
        <v>141.9</v>
      </c>
      <c r="M3359">
        <v>1</v>
      </c>
      <c r="N3359">
        <v>1</v>
      </c>
      <c r="O3359">
        <v>0</v>
      </c>
      <c r="P3359">
        <v>114.97</v>
      </c>
      <c r="Q3359">
        <v>114.97</v>
      </c>
      <c r="R3359" t="s">
        <v>107</v>
      </c>
      <c r="S3359">
        <v>0</v>
      </c>
      <c r="T3359" t="s">
        <v>52</v>
      </c>
      <c r="U3359">
        <v>0</v>
      </c>
      <c r="V3359">
        <v>0</v>
      </c>
      <c r="W3359">
        <v>400010</v>
      </c>
      <c r="AE3359">
        <v>0</v>
      </c>
      <c r="AH3359">
        <v>141.9</v>
      </c>
      <c r="AP3359" t="s">
        <v>66</v>
      </c>
    </row>
    <row r="3360" spans="1:42">
      <c r="A3360" s="1" t="s">
        <v>46</v>
      </c>
      <c r="B3360" s="1" t="s">
        <v>5933</v>
      </c>
      <c r="C3360" s="1" t="s">
        <v>5933</v>
      </c>
      <c r="G3360" s="16"/>
      <c r="I3360">
        <v>122.1</v>
      </c>
      <c r="M3360">
        <v>1</v>
      </c>
      <c r="N3360">
        <v>2</v>
      </c>
      <c r="O3360">
        <v>0</v>
      </c>
      <c r="P3360">
        <v>107.65</v>
      </c>
      <c r="Q3360">
        <v>215.3</v>
      </c>
      <c r="R3360" t="s">
        <v>107</v>
      </c>
      <c r="S3360">
        <v>0</v>
      </c>
      <c r="T3360" t="s">
        <v>52</v>
      </c>
      <c r="U3360">
        <v>0</v>
      </c>
      <c r="V3360">
        <v>0</v>
      </c>
      <c r="W3360">
        <v>400010</v>
      </c>
      <c r="AE3360">
        <v>0</v>
      </c>
      <c r="AH3360">
        <v>122.1</v>
      </c>
      <c r="AP3360" t="s">
        <v>66</v>
      </c>
    </row>
    <row r="3361" spans="1:42">
      <c r="G3361" s="16"/>
    </row>
    <row r="3362" spans="1:42">
      <c r="G3362" s="16"/>
    </row>
    <row r="3363" spans="1:42">
      <c r="A3363" s="1" t="s">
        <v>46</v>
      </c>
      <c r="B3363" s="1" t="s">
        <v>5934</v>
      </c>
      <c r="C3363" s="1" t="s">
        <v>5934</v>
      </c>
      <c r="G3363" s="16"/>
      <c r="I3363">
        <v>133.1</v>
      </c>
      <c r="M3363">
        <v>1</v>
      </c>
      <c r="N3363">
        <v>9</v>
      </c>
      <c r="O3363">
        <v>0</v>
      </c>
      <c r="P3363">
        <v>87.91</v>
      </c>
      <c r="Q3363">
        <v>791.21</v>
      </c>
      <c r="R3363" t="s">
        <v>107</v>
      </c>
      <c r="S3363">
        <v>0</v>
      </c>
      <c r="T3363" t="s">
        <v>52</v>
      </c>
      <c r="U3363">
        <v>0</v>
      </c>
      <c r="V3363">
        <v>0</v>
      </c>
      <c r="W3363">
        <v>400013</v>
      </c>
      <c r="AE3363">
        <v>0</v>
      </c>
      <c r="AH3363">
        <v>133.1</v>
      </c>
      <c r="AP3363" t="s">
        <v>232</v>
      </c>
    </row>
    <row r="3364" spans="1:42">
      <c r="G3364" s="16"/>
    </row>
    <row r="3365" spans="1:42">
      <c r="A3365" s="1" t="s">
        <v>46</v>
      </c>
      <c r="B3365" s="1" t="s">
        <v>5935</v>
      </c>
      <c r="C3365" s="1" t="s">
        <v>5935</v>
      </c>
      <c r="G3365" s="16"/>
      <c r="I3365">
        <v>152.9</v>
      </c>
      <c r="M3365">
        <v>1</v>
      </c>
      <c r="N3365">
        <v>2</v>
      </c>
      <c r="O3365">
        <v>0</v>
      </c>
      <c r="P3365">
        <v>83.12</v>
      </c>
      <c r="Q3365">
        <v>166.23</v>
      </c>
      <c r="R3365" t="s">
        <v>107</v>
      </c>
      <c r="S3365">
        <v>0</v>
      </c>
      <c r="T3365" t="s">
        <v>52</v>
      </c>
      <c r="U3365">
        <v>0</v>
      </c>
      <c r="V3365">
        <v>0</v>
      </c>
      <c r="W3365">
        <v>400207</v>
      </c>
      <c r="AE3365">
        <v>0</v>
      </c>
      <c r="AH3365">
        <v>152.9</v>
      </c>
      <c r="AP3365" t="s">
        <v>483</v>
      </c>
    </row>
    <row r="3366" spans="1:42">
      <c r="A3366" s="1" t="s">
        <v>46</v>
      </c>
      <c r="B3366" s="1" t="s">
        <v>5936</v>
      </c>
      <c r="C3366" s="1" t="s">
        <v>5936</v>
      </c>
      <c r="G3366" s="16"/>
      <c r="M3366">
        <v>1</v>
      </c>
      <c r="N3366">
        <v>134</v>
      </c>
      <c r="O3366">
        <v>0</v>
      </c>
      <c r="P3366">
        <v>25</v>
      </c>
      <c r="Q3366">
        <v>3350</v>
      </c>
      <c r="R3366" t="s">
        <v>4272</v>
      </c>
      <c r="S3366">
        <v>0</v>
      </c>
      <c r="T3366" t="s">
        <v>52</v>
      </c>
      <c r="U3366">
        <v>0</v>
      </c>
      <c r="V3366">
        <v>0</v>
      </c>
      <c r="W3366">
        <v>400045</v>
      </c>
      <c r="X3366" t="s">
        <v>56</v>
      </c>
      <c r="Y3366" t="s">
        <v>57</v>
      </c>
      <c r="AE3366">
        <v>0</v>
      </c>
      <c r="AP3366" t="s">
        <v>217</v>
      </c>
    </row>
    <row r="3367" spans="1:42">
      <c r="A3367" s="1" t="s">
        <v>46</v>
      </c>
      <c r="B3367" s="1" t="s">
        <v>5937</v>
      </c>
      <c r="C3367" s="1" t="s">
        <v>5937</v>
      </c>
      <c r="G3367" s="16"/>
      <c r="I3367">
        <v>74</v>
      </c>
      <c r="M3367">
        <v>1</v>
      </c>
      <c r="N3367">
        <v>16</v>
      </c>
      <c r="O3367">
        <v>0</v>
      </c>
      <c r="P3367">
        <v>31.97</v>
      </c>
      <c r="Q3367">
        <v>511.49</v>
      </c>
      <c r="R3367" t="s">
        <v>107</v>
      </c>
      <c r="S3367">
        <v>0</v>
      </c>
      <c r="T3367" t="s">
        <v>52</v>
      </c>
      <c r="U3367">
        <v>0</v>
      </c>
      <c r="V3367">
        <v>0</v>
      </c>
      <c r="W3367">
        <v>400207</v>
      </c>
      <c r="X3367" t="s">
        <v>56</v>
      </c>
      <c r="Y3367" t="s">
        <v>57</v>
      </c>
      <c r="AE3367">
        <v>0</v>
      </c>
      <c r="AH3367">
        <v>74</v>
      </c>
      <c r="AP3367" t="s">
        <v>483</v>
      </c>
    </row>
    <row r="3368" spans="1:42">
      <c r="A3368" s="1" t="s">
        <v>46</v>
      </c>
      <c r="B3368" s="1" t="s">
        <v>5938</v>
      </c>
      <c r="C3368" s="1" t="s">
        <v>5938</v>
      </c>
      <c r="G3368" s="16"/>
      <c r="I3368">
        <v>93.5</v>
      </c>
      <c r="M3368">
        <v>1</v>
      </c>
      <c r="N3368">
        <v>5</v>
      </c>
      <c r="O3368">
        <v>0</v>
      </c>
      <c r="P3368">
        <v>34.1</v>
      </c>
      <c r="Q3368">
        <v>170.5</v>
      </c>
      <c r="R3368" t="s">
        <v>107</v>
      </c>
      <c r="S3368">
        <v>0</v>
      </c>
      <c r="T3368" t="s">
        <v>52</v>
      </c>
      <c r="U3368">
        <v>0</v>
      </c>
      <c r="V3368">
        <v>0</v>
      </c>
      <c r="W3368">
        <v>400013</v>
      </c>
      <c r="X3368" t="s">
        <v>56</v>
      </c>
      <c r="Y3368" t="s">
        <v>57</v>
      </c>
      <c r="AE3368">
        <v>0</v>
      </c>
      <c r="AH3368">
        <v>93.5</v>
      </c>
      <c r="AP3368" t="s">
        <v>232</v>
      </c>
    </row>
    <row r="3369" spans="1:42">
      <c r="A3369" s="1" t="s">
        <v>46</v>
      </c>
      <c r="B3369" s="1" t="s">
        <v>5939</v>
      </c>
      <c r="C3369" s="1" t="s">
        <v>5939</v>
      </c>
      <c r="G3369" s="16"/>
      <c r="I3369">
        <v>133.1</v>
      </c>
      <c r="M3369">
        <v>1</v>
      </c>
      <c r="N3369">
        <v>1</v>
      </c>
      <c r="O3369">
        <v>0</v>
      </c>
      <c r="P3369">
        <v>107.36</v>
      </c>
      <c r="Q3369">
        <v>107.36</v>
      </c>
      <c r="R3369" t="s">
        <v>107</v>
      </c>
      <c r="S3369">
        <v>0</v>
      </c>
      <c r="T3369" t="s">
        <v>52</v>
      </c>
      <c r="U3369">
        <v>0</v>
      </c>
      <c r="V3369">
        <v>0</v>
      </c>
      <c r="W3369">
        <v>400207</v>
      </c>
      <c r="AE3369">
        <v>0</v>
      </c>
      <c r="AH3369">
        <v>133.1</v>
      </c>
      <c r="AP3369" t="s">
        <v>483</v>
      </c>
    </row>
    <row r="3370" spans="1:42">
      <c r="A3370" s="1" t="s">
        <v>46</v>
      </c>
      <c r="B3370" s="1" t="s">
        <v>5940</v>
      </c>
      <c r="C3370" s="1" t="s">
        <v>5940</v>
      </c>
      <c r="G3370" s="16"/>
      <c r="M3370">
        <v>1</v>
      </c>
      <c r="N3370">
        <v>-2</v>
      </c>
      <c r="O3370">
        <v>0</v>
      </c>
      <c r="P3370">
        <v>115.48</v>
      </c>
      <c r="Q3370">
        <v>-230.97</v>
      </c>
      <c r="R3370" t="s">
        <v>107</v>
      </c>
      <c r="S3370">
        <v>0</v>
      </c>
      <c r="T3370" t="s">
        <v>52</v>
      </c>
      <c r="W3370">
        <v>400010</v>
      </c>
      <c r="AE3370">
        <v>0</v>
      </c>
      <c r="AP3370" t="s">
        <v>66</v>
      </c>
    </row>
    <row r="3371" spans="1:42">
      <c r="A3371" s="1" t="s">
        <v>46</v>
      </c>
      <c r="B3371" s="1" t="s">
        <v>5941</v>
      </c>
      <c r="C3371" s="1" t="s">
        <v>5941</v>
      </c>
      <c r="G3371" s="16"/>
      <c r="I3371">
        <v>160.6</v>
      </c>
      <c r="M3371">
        <v>1</v>
      </c>
      <c r="N3371">
        <v>3</v>
      </c>
      <c r="O3371">
        <v>0</v>
      </c>
      <c r="P3371">
        <v>55.06</v>
      </c>
      <c r="Q3371">
        <v>165.17</v>
      </c>
      <c r="R3371" t="s">
        <v>107</v>
      </c>
      <c r="S3371">
        <v>0</v>
      </c>
      <c r="T3371" t="s">
        <v>52</v>
      </c>
      <c r="U3371">
        <v>0</v>
      </c>
      <c r="V3371">
        <v>0</v>
      </c>
      <c r="W3371">
        <v>400010</v>
      </c>
      <c r="AE3371">
        <v>0</v>
      </c>
      <c r="AH3371">
        <v>160.6</v>
      </c>
      <c r="AP3371" t="s">
        <v>66</v>
      </c>
    </row>
    <row r="3372" spans="1:42">
      <c r="A3372" s="1" t="s">
        <v>46</v>
      </c>
      <c r="B3372" s="1" t="s">
        <v>5942</v>
      </c>
      <c r="C3372" s="1" t="s">
        <v>5942</v>
      </c>
      <c r="G3372" s="16"/>
      <c r="I3372">
        <v>50.6</v>
      </c>
      <c r="M3372">
        <v>1</v>
      </c>
      <c r="N3372">
        <v>69</v>
      </c>
      <c r="O3372">
        <v>0</v>
      </c>
      <c r="P3372">
        <v>19.98</v>
      </c>
      <c r="Q3372">
        <v>1378.62</v>
      </c>
      <c r="R3372" t="s">
        <v>107</v>
      </c>
      <c r="S3372">
        <v>0</v>
      </c>
      <c r="T3372" t="s">
        <v>52</v>
      </c>
      <c r="U3372">
        <v>0</v>
      </c>
      <c r="V3372">
        <v>0</v>
      </c>
      <c r="W3372">
        <v>400217</v>
      </c>
      <c r="X3372" t="s">
        <v>56</v>
      </c>
      <c r="Y3372" t="s">
        <v>57</v>
      </c>
      <c r="AE3372">
        <v>0</v>
      </c>
      <c r="AH3372">
        <v>50.6</v>
      </c>
      <c r="AP3372" t="s">
        <v>2762</v>
      </c>
    </row>
    <row r="3373" spans="1:42">
      <c r="A3373" s="1" t="s">
        <v>46</v>
      </c>
      <c r="B3373" s="1" t="s">
        <v>5943</v>
      </c>
      <c r="C3373" s="1" t="s">
        <v>5943</v>
      </c>
      <c r="G3373" s="16"/>
      <c r="M3373">
        <v>1</v>
      </c>
      <c r="N3373">
        <v>10</v>
      </c>
      <c r="O3373">
        <v>0</v>
      </c>
      <c r="P3373">
        <v>19.98</v>
      </c>
      <c r="Q3373">
        <v>199.8</v>
      </c>
      <c r="R3373" t="s">
        <v>107</v>
      </c>
      <c r="S3373">
        <v>0</v>
      </c>
      <c r="T3373" t="s">
        <v>52</v>
      </c>
      <c r="U3373">
        <v>0</v>
      </c>
      <c r="V3373">
        <v>0</v>
      </c>
      <c r="W3373">
        <v>400207</v>
      </c>
      <c r="X3373" t="s">
        <v>56</v>
      </c>
      <c r="Y3373" t="s">
        <v>57</v>
      </c>
      <c r="AE3373">
        <v>0</v>
      </c>
      <c r="AP3373" t="s">
        <v>483</v>
      </c>
    </row>
    <row r="3374" spans="1:42">
      <c r="A3374" s="1" t="s">
        <v>46</v>
      </c>
      <c r="B3374" s="1" t="s">
        <v>5944</v>
      </c>
      <c r="C3374" s="1" t="s">
        <v>5944</v>
      </c>
      <c r="G3374" s="16"/>
      <c r="I3374">
        <v>124.3</v>
      </c>
      <c r="M3374">
        <v>1</v>
      </c>
      <c r="N3374">
        <v>2</v>
      </c>
      <c r="O3374">
        <v>0</v>
      </c>
      <c r="P3374">
        <v>93.79</v>
      </c>
      <c r="Q3374">
        <v>187.58</v>
      </c>
      <c r="R3374" t="s">
        <v>107</v>
      </c>
      <c r="S3374">
        <v>0</v>
      </c>
      <c r="T3374" t="s">
        <v>52</v>
      </c>
      <c r="U3374">
        <v>0</v>
      </c>
      <c r="V3374">
        <v>0</v>
      </c>
      <c r="W3374">
        <v>400010</v>
      </c>
      <c r="AE3374">
        <v>0</v>
      </c>
      <c r="AH3374">
        <v>124.3</v>
      </c>
      <c r="AP3374" t="s">
        <v>66</v>
      </c>
    </row>
    <row r="3375" spans="1:42">
      <c r="A3375" s="1" t="s">
        <v>46</v>
      </c>
      <c r="B3375" s="1" t="s">
        <v>5945</v>
      </c>
      <c r="C3375" s="1" t="s">
        <v>5945</v>
      </c>
      <c r="G3375" s="16"/>
      <c r="M3375">
        <v>1</v>
      </c>
      <c r="N3375">
        <v>52</v>
      </c>
      <c r="O3375">
        <v>0</v>
      </c>
      <c r="P3375">
        <v>22</v>
      </c>
      <c r="Q3375">
        <v>1144</v>
      </c>
      <c r="R3375">
        <v>0</v>
      </c>
      <c r="S3375">
        <v>0</v>
      </c>
      <c r="T3375" t="s">
        <v>52</v>
      </c>
      <c r="U3375">
        <v>0</v>
      </c>
      <c r="V3375">
        <v>0</v>
      </c>
      <c r="W3375">
        <v>410120</v>
      </c>
      <c r="X3375" t="s">
        <v>56</v>
      </c>
      <c r="Y3375" t="s">
        <v>57</v>
      </c>
      <c r="AE3375">
        <v>0</v>
      </c>
      <c r="AP3375" t="s">
        <v>112</v>
      </c>
    </row>
    <row r="3376" spans="1:42">
      <c r="A3376" s="1" t="s">
        <v>46</v>
      </c>
      <c r="B3376" s="1" t="s">
        <v>5946</v>
      </c>
      <c r="C3376" s="1" t="s">
        <v>5946</v>
      </c>
      <c r="G3376" s="16"/>
      <c r="I3376">
        <v>33</v>
      </c>
      <c r="M3376">
        <v>1</v>
      </c>
      <c r="N3376">
        <v>122</v>
      </c>
      <c r="O3376">
        <v>0</v>
      </c>
      <c r="P3376">
        <v>18.48</v>
      </c>
      <c r="Q3376">
        <v>2254.7399999999998</v>
      </c>
      <c r="R3376" t="s">
        <v>107</v>
      </c>
      <c r="S3376">
        <v>0</v>
      </c>
      <c r="T3376" t="s">
        <v>52</v>
      </c>
      <c r="U3376">
        <v>0</v>
      </c>
      <c r="V3376">
        <v>0</v>
      </c>
      <c r="W3376">
        <v>400217</v>
      </c>
      <c r="X3376" t="s">
        <v>56</v>
      </c>
      <c r="Y3376" t="s">
        <v>57</v>
      </c>
      <c r="AE3376">
        <v>0</v>
      </c>
      <c r="AH3376">
        <v>33</v>
      </c>
      <c r="AP3376" t="s">
        <v>2762</v>
      </c>
    </row>
    <row r="3377" spans="1:42">
      <c r="A3377" s="1" t="s">
        <v>46</v>
      </c>
      <c r="B3377" s="1" t="s">
        <v>5947</v>
      </c>
      <c r="C3377" s="1" t="s">
        <v>5947</v>
      </c>
      <c r="G3377" s="16"/>
      <c r="M3377">
        <v>1</v>
      </c>
      <c r="N3377">
        <v>8</v>
      </c>
      <c r="O3377">
        <v>0</v>
      </c>
      <c r="P3377">
        <v>15.99</v>
      </c>
      <c r="Q3377">
        <v>127.92</v>
      </c>
      <c r="R3377" t="s">
        <v>107</v>
      </c>
      <c r="S3377">
        <v>0</v>
      </c>
      <c r="T3377" t="s">
        <v>52</v>
      </c>
      <c r="U3377">
        <v>0</v>
      </c>
      <c r="V3377">
        <v>0</v>
      </c>
      <c r="W3377">
        <v>400010</v>
      </c>
      <c r="AE3377">
        <v>0</v>
      </c>
      <c r="AP3377" t="s">
        <v>66</v>
      </c>
    </row>
    <row r="3378" spans="1:42">
      <c r="A3378" s="1" t="s">
        <v>46</v>
      </c>
      <c r="B3378" s="1" t="s">
        <v>5948</v>
      </c>
      <c r="C3378" s="1" t="s">
        <v>5948</v>
      </c>
      <c r="G3378" s="16"/>
      <c r="M3378">
        <v>1</v>
      </c>
      <c r="N3378">
        <v>63</v>
      </c>
      <c r="O3378">
        <v>0</v>
      </c>
      <c r="P3378">
        <v>10</v>
      </c>
      <c r="Q3378">
        <v>630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410120</v>
      </c>
      <c r="AE3378">
        <v>0</v>
      </c>
      <c r="AP3378" t="s">
        <v>112</v>
      </c>
    </row>
    <row r="3379" spans="1:42">
      <c r="A3379" s="1" t="s">
        <v>46</v>
      </c>
      <c r="B3379" s="1" t="s">
        <v>5949</v>
      </c>
      <c r="C3379" s="1" t="s">
        <v>5949</v>
      </c>
      <c r="G3379" s="16"/>
      <c r="M3379">
        <v>1</v>
      </c>
      <c r="N3379">
        <v>2</v>
      </c>
      <c r="O3379">
        <v>0</v>
      </c>
      <c r="P3379">
        <v>80.37</v>
      </c>
      <c r="Q3379">
        <v>160.74</v>
      </c>
      <c r="R3379">
        <v>0</v>
      </c>
      <c r="S3379">
        <v>0</v>
      </c>
      <c r="T3379">
        <v>0</v>
      </c>
      <c r="W3379">
        <v>400010</v>
      </c>
      <c r="AE3379">
        <v>0</v>
      </c>
      <c r="AP3379" t="s">
        <v>66</v>
      </c>
    </row>
    <row r="3380" spans="1:42">
      <c r="A3380" s="1" t="s">
        <v>46</v>
      </c>
      <c r="B3380" s="1" t="s">
        <v>5950</v>
      </c>
      <c r="C3380" s="1" t="s">
        <v>5950</v>
      </c>
      <c r="G3380" s="16"/>
      <c r="M3380">
        <v>1</v>
      </c>
      <c r="N3380">
        <v>1</v>
      </c>
      <c r="O3380">
        <v>0</v>
      </c>
      <c r="P3380">
        <v>58</v>
      </c>
      <c r="Q3380">
        <v>58</v>
      </c>
      <c r="W3380">
        <v>400120</v>
      </c>
      <c r="AE3380">
        <v>0</v>
      </c>
      <c r="AP3380" t="s">
        <v>468</v>
      </c>
    </row>
    <row r="3381" spans="1:42">
      <c r="A3381" s="1" t="s">
        <v>46</v>
      </c>
      <c r="B3381" s="1" t="s">
        <v>5951</v>
      </c>
      <c r="C3381" s="1" t="s">
        <v>5951</v>
      </c>
      <c r="G3381" s="16"/>
      <c r="M3381">
        <v>1</v>
      </c>
      <c r="N3381">
        <v>140</v>
      </c>
      <c r="O3381">
        <v>0</v>
      </c>
      <c r="P3381">
        <v>0.65</v>
      </c>
      <c r="Q3381">
        <v>91</v>
      </c>
      <c r="R3381">
        <v>0</v>
      </c>
      <c r="S3381">
        <v>0</v>
      </c>
      <c r="T3381">
        <v>0</v>
      </c>
      <c r="W3381">
        <v>400017</v>
      </c>
      <c r="AE3381">
        <v>0</v>
      </c>
      <c r="AP3381" t="s">
        <v>49</v>
      </c>
    </row>
    <row r="3382" spans="1:42">
      <c r="A3382" s="1" t="s">
        <v>46</v>
      </c>
      <c r="B3382" s="1" t="s">
        <v>5952</v>
      </c>
      <c r="C3382" s="1" t="s">
        <v>5952</v>
      </c>
      <c r="G3382" s="16"/>
      <c r="M3382">
        <v>1</v>
      </c>
      <c r="N3382">
        <v>3</v>
      </c>
      <c r="O3382">
        <v>0</v>
      </c>
      <c r="P3382">
        <v>4</v>
      </c>
      <c r="Q3382">
        <v>12</v>
      </c>
      <c r="R3382">
        <v>1</v>
      </c>
      <c r="S3382">
        <v>0</v>
      </c>
      <c r="T3382" t="s">
        <v>52</v>
      </c>
      <c r="U3382">
        <v>0</v>
      </c>
      <c r="V3382">
        <v>0</v>
      </c>
      <c r="W3382">
        <v>400017</v>
      </c>
      <c r="X3382" t="s">
        <v>56</v>
      </c>
      <c r="Y3382" t="s">
        <v>57</v>
      </c>
      <c r="AE3382">
        <v>0</v>
      </c>
      <c r="AK3382" t="s">
        <v>58</v>
      </c>
      <c r="AP3382" t="s">
        <v>49</v>
      </c>
    </row>
    <row r="3383" spans="1:42">
      <c r="A3383" s="1" t="s">
        <v>46</v>
      </c>
      <c r="B3383" s="1" t="s">
        <v>5953</v>
      </c>
      <c r="C3383" s="1" t="s">
        <v>5953</v>
      </c>
      <c r="G3383" s="16"/>
      <c r="M3383">
        <v>1</v>
      </c>
      <c r="N3383">
        <v>162</v>
      </c>
      <c r="O3383">
        <v>0</v>
      </c>
      <c r="P3383">
        <v>2.5</v>
      </c>
      <c r="Q3383">
        <v>405</v>
      </c>
      <c r="R3383">
        <v>0</v>
      </c>
      <c r="S3383">
        <v>0</v>
      </c>
      <c r="T3383" t="s">
        <v>52</v>
      </c>
      <c r="U3383">
        <v>0</v>
      </c>
      <c r="V3383">
        <v>0</v>
      </c>
      <c r="W3383">
        <v>400158</v>
      </c>
      <c r="X3383" t="s">
        <v>56</v>
      </c>
      <c r="Y3383" t="s">
        <v>57</v>
      </c>
      <c r="AE3383">
        <v>0</v>
      </c>
      <c r="AP3383" t="s">
        <v>61</v>
      </c>
    </row>
    <row r="3384" spans="1:42">
      <c r="A3384" s="1" t="s">
        <v>46</v>
      </c>
      <c r="B3384" s="1" t="s">
        <v>5954</v>
      </c>
      <c r="C3384" s="1" t="s">
        <v>5954</v>
      </c>
      <c r="G3384" s="16"/>
      <c r="M3384">
        <v>1</v>
      </c>
      <c r="N3384">
        <v>1</v>
      </c>
      <c r="O3384">
        <v>0</v>
      </c>
      <c r="P3384">
        <v>15</v>
      </c>
      <c r="Q3384">
        <v>15</v>
      </c>
      <c r="R3384">
        <v>0</v>
      </c>
      <c r="S3384">
        <v>0</v>
      </c>
      <c r="T3384" t="s">
        <v>52</v>
      </c>
      <c r="W3384">
        <v>410302</v>
      </c>
      <c r="AE3384">
        <v>0</v>
      </c>
      <c r="AP3384" t="s">
        <v>177</v>
      </c>
    </row>
    <row r="3385" spans="1:42">
      <c r="A3385" s="1" t="s">
        <v>46</v>
      </c>
      <c r="B3385" s="1" t="s">
        <v>5955</v>
      </c>
      <c r="C3385" s="1" t="s">
        <v>5955</v>
      </c>
      <c r="G3385" s="16"/>
      <c r="M3385">
        <v>1</v>
      </c>
      <c r="N3385">
        <v>10</v>
      </c>
      <c r="O3385">
        <v>0</v>
      </c>
      <c r="P3385">
        <v>0.55000000000000004</v>
      </c>
      <c r="Q3385">
        <v>5.5</v>
      </c>
      <c r="W3385">
        <v>400017</v>
      </c>
      <c r="AE3385">
        <v>0</v>
      </c>
      <c r="AP3385" t="s">
        <v>49</v>
      </c>
    </row>
    <row r="3386" spans="1:42">
      <c r="A3386" s="1" t="s">
        <v>46</v>
      </c>
      <c r="B3386" s="1" t="s">
        <v>5956</v>
      </c>
      <c r="C3386" s="1" t="s">
        <v>5956</v>
      </c>
      <c r="G3386" s="16"/>
      <c r="M3386">
        <v>1</v>
      </c>
      <c r="N3386">
        <v>-29</v>
      </c>
      <c r="O3386">
        <v>0</v>
      </c>
      <c r="P3386">
        <v>5</v>
      </c>
      <c r="Q3386">
        <v>-145</v>
      </c>
      <c r="R3386">
        <v>0</v>
      </c>
      <c r="S3386">
        <v>0</v>
      </c>
      <c r="T3386" t="s">
        <v>52</v>
      </c>
      <c r="U3386">
        <v>0</v>
      </c>
      <c r="V3386">
        <v>0</v>
      </c>
      <c r="W3386">
        <v>400017</v>
      </c>
      <c r="X3386" t="s">
        <v>56</v>
      </c>
      <c r="Y3386" t="s">
        <v>57</v>
      </c>
      <c r="AE3386">
        <v>0</v>
      </c>
      <c r="AP3386" t="s">
        <v>49</v>
      </c>
    </row>
    <row r="3387" spans="1:42">
      <c r="A3387" s="1" t="s">
        <v>46</v>
      </c>
      <c r="B3387" s="1" t="s">
        <v>5957</v>
      </c>
      <c r="C3387" s="1" t="s">
        <v>5957</v>
      </c>
      <c r="G3387" s="16"/>
      <c r="M3387">
        <v>1</v>
      </c>
      <c r="N3387">
        <v>36</v>
      </c>
      <c r="O3387">
        <v>0</v>
      </c>
      <c r="P3387">
        <v>1.25</v>
      </c>
      <c r="Q3387">
        <v>45</v>
      </c>
      <c r="R3387">
        <v>0</v>
      </c>
      <c r="S3387">
        <v>0</v>
      </c>
      <c r="T3387" t="s">
        <v>52</v>
      </c>
      <c r="U3387">
        <v>0</v>
      </c>
      <c r="V3387">
        <v>0</v>
      </c>
      <c r="W3387">
        <v>400017</v>
      </c>
      <c r="X3387" t="s">
        <v>56</v>
      </c>
      <c r="Y3387" t="s">
        <v>57</v>
      </c>
      <c r="AE3387">
        <v>0</v>
      </c>
      <c r="AP3387" t="s">
        <v>49</v>
      </c>
    </row>
    <row r="3388" spans="1:42">
      <c r="A3388" s="1" t="s">
        <v>46</v>
      </c>
      <c r="B3388" s="1" t="s">
        <v>5958</v>
      </c>
      <c r="C3388" s="1" t="s">
        <v>5958</v>
      </c>
      <c r="G3388" s="16"/>
      <c r="M3388">
        <v>1</v>
      </c>
      <c r="N3388">
        <v>32</v>
      </c>
      <c r="O3388">
        <v>0</v>
      </c>
      <c r="P3388">
        <v>1</v>
      </c>
      <c r="Q3388">
        <v>32</v>
      </c>
      <c r="R3388">
        <v>0</v>
      </c>
      <c r="S3388">
        <v>0</v>
      </c>
      <c r="T3388" t="s">
        <v>52</v>
      </c>
      <c r="U3388">
        <v>0</v>
      </c>
      <c r="V3388">
        <v>0</v>
      </c>
      <c r="W3388">
        <v>400017</v>
      </c>
      <c r="X3388" t="s">
        <v>56</v>
      </c>
      <c r="Y3388" t="s">
        <v>57</v>
      </c>
      <c r="AE3388">
        <v>0</v>
      </c>
      <c r="AP3388" t="s">
        <v>49</v>
      </c>
    </row>
    <row r="3389" spans="1:42">
      <c r="A3389" s="1" t="s">
        <v>46</v>
      </c>
      <c r="B3389" s="1" t="s">
        <v>5959</v>
      </c>
      <c r="C3389" s="1" t="s">
        <v>5959</v>
      </c>
      <c r="G3389" s="16"/>
      <c r="M3389">
        <v>1</v>
      </c>
      <c r="N3389">
        <v>64</v>
      </c>
      <c r="O3389">
        <v>0</v>
      </c>
      <c r="P3389">
        <v>0.75</v>
      </c>
      <c r="Q3389">
        <v>48</v>
      </c>
      <c r="R3389">
        <v>0</v>
      </c>
      <c r="S3389">
        <v>0</v>
      </c>
      <c r="T3389" t="s">
        <v>52</v>
      </c>
      <c r="U3389">
        <v>0</v>
      </c>
      <c r="V3389">
        <v>0</v>
      </c>
      <c r="W3389">
        <v>400017</v>
      </c>
      <c r="AE3389">
        <v>0</v>
      </c>
      <c r="AP3389" t="s">
        <v>49</v>
      </c>
    </row>
    <row r="3390" spans="1:42">
      <c r="A3390" s="1" t="s">
        <v>46</v>
      </c>
      <c r="B3390" s="1" t="s">
        <v>5960</v>
      </c>
      <c r="C3390" s="1" t="s">
        <v>5960</v>
      </c>
      <c r="G3390" s="16"/>
      <c r="M3390">
        <v>1</v>
      </c>
      <c r="N3390">
        <v>32</v>
      </c>
      <c r="O3390">
        <v>0</v>
      </c>
      <c r="P3390">
        <v>6.72</v>
      </c>
      <c r="Q3390">
        <v>214.95</v>
      </c>
      <c r="W3390">
        <v>400068</v>
      </c>
      <c r="AE3390">
        <v>0</v>
      </c>
      <c r="AP3390" t="s">
        <v>872</v>
      </c>
    </row>
    <row r="3391" spans="1:42">
      <c r="A3391" s="1" t="s">
        <v>46</v>
      </c>
      <c r="B3391" s="1" t="s">
        <v>5961</v>
      </c>
      <c r="C3391" s="1" t="s">
        <v>5961</v>
      </c>
      <c r="G3391" s="16"/>
      <c r="M3391">
        <v>1</v>
      </c>
      <c r="N3391">
        <v>9</v>
      </c>
      <c r="O3391">
        <v>0</v>
      </c>
      <c r="P3391">
        <v>3</v>
      </c>
      <c r="Q3391">
        <v>27</v>
      </c>
      <c r="R3391">
        <v>0</v>
      </c>
      <c r="S3391">
        <v>0</v>
      </c>
      <c r="T3391" t="s">
        <v>52</v>
      </c>
      <c r="U3391">
        <v>0</v>
      </c>
      <c r="V3391">
        <v>0</v>
      </c>
      <c r="W3391">
        <v>400017</v>
      </c>
      <c r="X3391" t="s">
        <v>56</v>
      </c>
      <c r="Y3391" t="s">
        <v>57</v>
      </c>
      <c r="AE3391">
        <v>0</v>
      </c>
      <c r="AP3391" t="s">
        <v>49</v>
      </c>
    </row>
    <row r="3392" spans="1:42">
      <c r="A3392" s="1" t="s">
        <v>46</v>
      </c>
      <c r="B3392" s="1" t="s">
        <v>5962</v>
      </c>
      <c r="C3392" s="1" t="s">
        <v>5962</v>
      </c>
      <c r="G3392" s="16"/>
      <c r="M3392">
        <v>1</v>
      </c>
      <c r="N3392">
        <v>34</v>
      </c>
      <c r="O3392">
        <v>0</v>
      </c>
      <c r="P3392">
        <v>1.25</v>
      </c>
      <c r="Q3392">
        <v>42.5</v>
      </c>
      <c r="R3392">
        <v>0</v>
      </c>
      <c r="S3392">
        <v>0</v>
      </c>
      <c r="T3392" t="s">
        <v>52</v>
      </c>
      <c r="W3392">
        <v>400017</v>
      </c>
      <c r="AE3392">
        <v>0</v>
      </c>
      <c r="AP3392" t="s">
        <v>49</v>
      </c>
    </row>
    <row r="3393" spans="1:42">
      <c r="A3393" s="1" t="s">
        <v>46</v>
      </c>
      <c r="B3393" s="1" t="s">
        <v>5963</v>
      </c>
      <c r="C3393" s="1" t="s">
        <v>5963</v>
      </c>
      <c r="G3393" s="16"/>
      <c r="M3393">
        <v>1</v>
      </c>
      <c r="N3393">
        <v>1190</v>
      </c>
      <c r="O3393">
        <v>0</v>
      </c>
      <c r="P3393">
        <v>1.5</v>
      </c>
      <c r="Q3393">
        <v>1785</v>
      </c>
      <c r="R3393">
        <v>0</v>
      </c>
      <c r="S3393">
        <v>0</v>
      </c>
      <c r="T3393" t="s">
        <v>52</v>
      </c>
      <c r="U3393">
        <v>0</v>
      </c>
      <c r="V3393">
        <v>0</v>
      </c>
      <c r="W3393">
        <v>400017</v>
      </c>
      <c r="X3393" t="s">
        <v>56</v>
      </c>
      <c r="Y3393" t="s">
        <v>57</v>
      </c>
      <c r="AE3393">
        <v>0</v>
      </c>
      <c r="AP3393" t="s">
        <v>49</v>
      </c>
    </row>
    <row r="3394" spans="1:42">
      <c r="A3394" s="1" t="s">
        <v>46</v>
      </c>
      <c r="B3394" s="1" t="s">
        <v>5964</v>
      </c>
      <c r="C3394" s="1" t="s">
        <v>5964</v>
      </c>
      <c r="G3394" s="16"/>
      <c r="M3394">
        <v>1</v>
      </c>
      <c r="N3394">
        <v>887</v>
      </c>
      <c r="O3394">
        <v>0</v>
      </c>
      <c r="P3394">
        <v>0.83</v>
      </c>
      <c r="Q3394">
        <v>739.17</v>
      </c>
      <c r="R3394">
        <v>0</v>
      </c>
      <c r="S3394">
        <v>0</v>
      </c>
      <c r="T3394" t="s">
        <v>52</v>
      </c>
      <c r="U3394">
        <v>0</v>
      </c>
      <c r="V3394">
        <v>0</v>
      </c>
      <c r="W3394">
        <v>400017</v>
      </c>
      <c r="X3394" t="s">
        <v>56</v>
      </c>
      <c r="Y3394" t="s">
        <v>57</v>
      </c>
      <c r="AE3394">
        <v>0</v>
      </c>
      <c r="AP3394" t="s">
        <v>49</v>
      </c>
    </row>
    <row r="3395" spans="1:42">
      <c r="A3395" s="1" t="s">
        <v>46</v>
      </c>
      <c r="B3395" s="1" t="s">
        <v>5965</v>
      </c>
      <c r="C3395" s="1" t="s">
        <v>5965</v>
      </c>
      <c r="G3395" s="16"/>
      <c r="M3395">
        <v>1</v>
      </c>
      <c r="N3395">
        <v>675</v>
      </c>
      <c r="O3395">
        <v>0</v>
      </c>
      <c r="P3395">
        <v>0.4</v>
      </c>
      <c r="Q3395">
        <v>270</v>
      </c>
      <c r="R3395">
        <v>0</v>
      </c>
      <c r="S3395">
        <v>0</v>
      </c>
      <c r="T3395" t="s">
        <v>52</v>
      </c>
      <c r="U3395">
        <v>0</v>
      </c>
      <c r="V3395">
        <v>0</v>
      </c>
      <c r="W3395">
        <v>400158</v>
      </c>
      <c r="X3395" t="s">
        <v>56</v>
      </c>
      <c r="Y3395" t="s">
        <v>57</v>
      </c>
      <c r="AE3395">
        <v>0</v>
      </c>
      <c r="AP3395" t="s">
        <v>61</v>
      </c>
    </row>
    <row r="3396" spans="1:42">
      <c r="A3396" s="1" t="s">
        <v>46</v>
      </c>
      <c r="B3396" s="1" t="s">
        <v>5966</v>
      </c>
      <c r="C3396" s="1" t="s">
        <v>5966</v>
      </c>
      <c r="G3396" s="16"/>
      <c r="M3396">
        <v>1</v>
      </c>
      <c r="N3396">
        <v>93</v>
      </c>
      <c r="O3396">
        <v>0</v>
      </c>
      <c r="P3396">
        <v>35</v>
      </c>
      <c r="Q3396">
        <v>3255</v>
      </c>
      <c r="R3396">
        <v>0</v>
      </c>
      <c r="S3396">
        <v>0</v>
      </c>
      <c r="T3396" t="s">
        <v>17</v>
      </c>
      <c r="U3396">
        <v>0</v>
      </c>
      <c r="V3396">
        <v>0</v>
      </c>
      <c r="W3396">
        <v>400017</v>
      </c>
      <c r="X3396" t="s">
        <v>56</v>
      </c>
      <c r="Y3396" t="s">
        <v>57</v>
      </c>
      <c r="AE3396">
        <v>0</v>
      </c>
      <c r="AP3396" t="s">
        <v>49</v>
      </c>
    </row>
    <row r="3397" spans="1:42">
      <c r="A3397" s="1" t="s">
        <v>46</v>
      </c>
      <c r="B3397" s="1" t="s">
        <v>5967</v>
      </c>
      <c r="C3397" s="1" t="s">
        <v>5967</v>
      </c>
      <c r="G3397" s="16"/>
      <c r="M3397">
        <v>1</v>
      </c>
      <c r="N3397">
        <v>2</v>
      </c>
      <c r="O3397">
        <v>0</v>
      </c>
      <c r="P3397">
        <v>40</v>
      </c>
      <c r="Q3397">
        <v>80</v>
      </c>
      <c r="R3397">
        <v>0</v>
      </c>
      <c r="S3397">
        <v>0</v>
      </c>
      <c r="T3397" t="s">
        <v>17</v>
      </c>
      <c r="U3397">
        <v>0</v>
      </c>
      <c r="V3397">
        <v>0</v>
      </c>
      <c r="W3397">
        <v>400139</v>
      </c>
      <c r="X3397" t="s">
        <v>56</v>
      </c>
      <c r="Y3397" t="s">
        <v>57</v>
      </c>
      <c r="AE3397">
        <v>0</v>
      </c>
      <c r="AP3397" t="s">
        <v>1233</v>
      </c>
    </row>
    <row r="3398" spans="1:42">
      <c r="A3398" s="1" t="s">
        <v>46</v>
      </c>
      <c r="B3398" s="1" t="s">
        <v>5968</v>
      </c>
      <c r="C3398" s="1" t="s">
        <v>5968</v>
      </c>
      <c r="G3398" s="16"/>
      <c r="M3398">
        <v>1</v>
      </c>
      <c r="N3398">
        <v>2</v>
      </c>
      <c r="O3398">
        <v>0</v>
      </c>
      <c r="P3398">
        <v>75</v>
      </c>
      <c r="Q3398">
        <v>150</v>
      </c>
      <c r="R3398">
        <v>0</v>
      </c>
      <c r="S3398">
        <v>0</v>
      </c>
      <c r="T3398" t="s">
        <v>17</v>
      </c>
      <c r="U3398">
        <v>0</v>
      </c>
      <c r="V3398">
        <v>0</v>
      </c>
      <c r="W3398">
        <v>400139</v>
      </c>
      <c r="X3398" t="s">
        <v>56</v>
      </c>
      <c r="Y3398" t="s">
        <v>57</v>
      </c>
      <c r="AE3398">
        <v>0</v>
      </c>
      <c r="AP3398" t="s">
        <v>1233</v>
      </c>
    </row>
    <row r="3399" spans="1:42">
      <c r="A3399" s="1" t="s">
        <v>46</v>
      </c>
      <c r="B3399" s="1" t="s">
        <v>5969</v>
      </c>
      <c r="C3399" s="1" t="s">
        <v>5969</v>
      </c>
      <c r="G3399" s="16"/>
      <c r="M3399">
        <v>1</v>
      </c>
      <c r="N3399">
        <v>1</v>
      </c>
      <c r="O3399">
        <v>0</v>
      </c>
      <c r="P3399">
        <v>60</v>
      </c>
      <c r="Q3399">
        <v>60</v>
      </c>
      <c r="W3399">
        <v>400139</v>
      </c>
      <c r="AE3399">
        <v>0</v>
      </c>
      <c r="AP3399" t="s">
        <v>1233</v>
      </c>
    </row>
    <row r="3400" spans="1:42">
      <c r="A3400" s="1" t="s">
        <v>46</v>
      </c>
      <c r="B3400" s="1" t="s">
        <v>5970</v>
      </c>
      <c r="C3400" s="1" t="s">
        <v>5970</v>
      </c>
      <c r="G3400" s="16"/>
      <c r="M3400">
        <v>1</v>
      </c>
      <c r="N3400">
        <v>88</v>
      </c>
      <c r="O3400">
        <v>0</v>
      </c>
      <c r="P3400">
        <v>48</v>
      </c>
      <c r="Q3400">
        <v>4224</v>
      </c>
      <c r="R3400">
        <v>0</v>
      </c>
      <c r="S3400">
        <v>0</v>
      </c>
      <c r="T3400" t="s">
        <v>17</v>
      </c>
      <c r="W3400">
        <v>400139</v>
      </c>
      <c r="AE3400">
        <v>0</v>
      </c>
      <c r="AP3400" t="s">
        <v>1233</v>
      </c>
    </row>
    <row r="3401" spans="1:42">
      <c r="A3401" s="1" t="s">
        <v>46</v>
      </c>
      <c r="B3401" s="1" t="s">
        <v>5971</v>
      </c>
      <c r="C3401" s="1" t="s">
        <v>5971</v>
      </c>
      <c r="G3401" s="16"/>
      <c r="M3401">
        <v>1</v>
      </c>
      <c r="N3401">
        <v>189</v>
      </c>
      <c r="O3401">
        <v>0</v>
      </c>
      <c r="P3401">
        <v>9</v>
      </c>
      <c r="Q3401">
        <v>1701</v>
      </c>
      <c r="R3401">
        <v>0</v>
      </c>
      <c r="S3401">
        <v>0</v>
      </c>
      <c r="T3401" t="s">
        <v>52</v>
      </c>
      <c r="U3401">
        <v>0</v>
      </c>
      <c r="V3401">
        <v>0</v>
      </c>
      <c r="W3401">
        <v>400017</v>
      </c>
      <c r="X3401" t="s">
        <v>56</v>
      </c>
      <c r="Y3401" t="s">
        <v>57</v>
      </c>
      <c r="AE3401">
        <v>0</v>
      </c>
      <c r="AP3401" t="s">
        <v>49</v>
      </c>
    </row>
    <row r="3402" spans="1:42">
      <c r="A3402" s="1" t="s">
        <v>46</v>
      </c>
      <c r="B3402" s="1" t="s">
        <v>5972</v>
      </c>
      <c r="C3402" s="1" t="s">
        <v>5972</v>
      </c>
      <c r="G3402" s="16"/>
      <c r="M3402">
        <v>1</v>
      </c>
      <c r="N3402">
        <v>60</v>
      </c>
      <c r="O3402">
        <v>0</v>
      </c>
      <c r="P3402">
        <v>3</v>
      </c>
      <c r="Q3402">
        <v>180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400017</v>
      </c>
      <c r="X3402" t="s">
        <v>56</v>
      </c>
      <c r="Y3402" t="s">
        <v>57</v>
      </c>
      <c r="AE3402">
        <v>0</v>
      </c>
      <c r="AP3402" t="s">
        <v>49</v>
      </c>
    </row>
    <row r="3403" spans="1:42">
      <c r="A3403" s="1" t="s">
        <v>46</v>
      </c>
      <c r="B3403" s="1" t="s">
        <v>5973</v>
      </c>
      <c r="C3403" s="1" t="s">
        <v>5973</v>
      </c>
      <c r="G3403" s="16"/>
      <c r="M3403">
        <v>1</v>
      </c>
      <c r="N3403">
        <v>71</v>
      </c>
      <c r="O3403">
        <v>0</v>
      </c>
      <c r="P3403">
        <v>7</v>
      </c>
      <c r="Q3403">
        <v>497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400017</v>
      </c>
      <c r="X3403" t="s">
        <v>56</v>
      </c>
      <c r="Y3403" t="s">
        <v>57</v>
      </c>
      <c r="AE3403">
        <v>0</v>
      </c>
      <c r="AP3403" t="s">
        <v>49</v>
      </c>
    </row>
    <row r="3404" spans="1:42">
      <c r="G3404" s="16"/>
    </row>
    <row r="3405" spans="1:42">
      <c r="A3405" s="1" t="s">
        <v>46</v>
      </c>
      <c r="B3405" s="1" t="s">
        <v>5974</v>
      </c>
      <c r="C3405" s="1" t="s">
        <v>5974</v>
      </c>
      <c r="G3405" s="16"/>
      <c r="M3405">
        <v>1</v>
      </c>
      <c r="N3405">
        <v>52</v>
      </c>
      <c r="O3405">
        <v>0</v>
      </c>
      <c r="P3405">
        <v>0.78</v>
      </c>
      <c r="Q3405">
        <v>40.520000000000003</v>
      </c>
      <c r="R3405">
        <v>0</v>
      </c>
      <c r="S3405">
        <v>0</v>
      </c>
      <c r="T3405" t="s">
        <v>52</v>
      </c>
      <c r="U3405">
        <v>0</v>
      </c>
      <c r="V3405">
        <v>0</v>
      </c>
      <c r="W3405">
        <v>400032</v>
      </c>
      <c r="X3405" t="s">
        <v>56</v>
      </c>
      <c r="Y3405" t="s">
        <v>57</v>
      </c>
      <c r="AE3405">
        <v>0</v>
      </c>
      <c r="AP3405" t="s">
        <v>404</v>
      </c>
    </row>
    <row r="3406" spans="1:42">
      <c r="A3406" s="1" t="s">
        <v>46</v>
      </c>
      <c r="B3406" s="1" t="s">
        <v>5975</v>
      </c>
      <c r="C3406" s="1" t="s">
        <v>5975</v>
      </c>
      <c r="G3406" s="16"/>
      <c r="M3406">
        <v>1</v>
      </c>
      <c r="N3406">
        <v>-1</v>
      </c>
      <c r="O3406">
        <v>0</v>
      </c>
      <c r="P3406">
        <v>47</v>
      </c>
      <c r="Q3406">
        <v>-47</v>
      </c>
      <c r="R3406">
        <v>0</v>
      </c>
      <c r="S3406">
        <v>0</v>
      </c>
      <c r="T3406" t="s">
        <v>17</v>
      </c>
      <c r="W3406">
        <v>400121</v>
      </c>
      <c r="AE3406">
        <v>0</v>
      </c>
      <c r="AP3406" t="s">
        <v>123</v>
      </c>
    </row>
    <row r="3407" spans="1:42">
      <c r="A3407" s="1" t="s">
        <v>46</v>
      </c>
      <c r="B3407" s="1" t="s">
        <v>5976</v>
      </c>
      <c r="C3407" s="1" t="s">
        <v>5976</v>
      </c>
      <c r="G3407" s="16"/>
      <c r="M3407">
        <v>1</v>
      </c>
      <c r="N3407">
        <v>1</v>
      </c>
      <c r="O3407">
        <v>0</v>
      </c>
      <c r="P3407">
        <v>215</v>
      </c>
      <c r="Q3407">
        <v>215</v>
      </c>
      <c r="R3407">
        <v>0</v>
      </c>
      <c r="S3407">
        <v>0</v>
      </c>
      <c r="T3407" t="s">
        <v>17</v>
      </c>
      <c r="W3407">
        <v>400046</v>
      </c>
      <c r="AE3407">
        <v>0</v>
      </c>
      <c r="AP3407" t="s">
        <v>407</v>
      </c>
    </row>
    <row r="3408" spans="1:42">
      <c r="G3408" s="16"/>
    </row>
    <row r="3409" spans="1:42">
      <c r="A3409" s="1" t="s">
        <v>46</v>
      </c>
      <c r="B3409" s="1" t="s">
        <v>5977</v>
      </c>
      <c r="C3409" s="1" t="s">
        <v>5977</v>
      </c>
      <c r="G3409" s="16"/>
      <c r="M3409">
        <v>1</v>
      </c>
      <c r="N3409">
        <v>-2</v>
      </c>
      <c r="O3409">
        <v>0</v>
      </c>
      <c r="T3409" t="s">
        <v>17</v>
      </c>
      <c r="AE3409">
        <v>0</v>
      </c>
    </row>
    <row r="3410" spans="1:42">
      <c r="G3410" s="16"/>
    </row>
    <row r="3411" spans="1:42">
      <c r="A3411" s="1" t="s">
        <v>46</v>
      </c>
      <c r="B3411" s="1" t="s">
        <v>5978</v>
      </c>
      <c r="C3411" s="1" t="s">
        <v>5978</v>
      </c>
      <c r="G3411" s="16"/>
      <c r="M3411">
        <v>1</v>
      </c>
      <c r="N3411">
        <v>26</v>
      </c>
      <c r="O3411">
        <v>0</v>
      </c>
      <c r="P3411">
        <v>35</v>
      </c>
      <c r="Q3411">
        <v>910</v>
      </c>
      <c r="R3411">
        <v>0</v>
      </c>
      <c r="S3411">
        <v>0</v>
      </c>
      <c r="T3411" t="s">
        <v>17</v>
      </c>
      <c r="W3411">
        <v>400139</v>
      </c>
      <c r="AE3411">
        <v>0</v>
      </c>
      <c r="AP3411" t="s">
        <v>1233</v>
      </c>
    </row>
    <row r="3412" spans="1:42">
      <c r="G3412" s="16"/>
    </row>
    <row r="3413" spans="1:42">
      <c r="A3413" s="1" t="s">
        <v>46</v>
      </c>
      <c r="B3413" s="1" t="s">
        <v>5979</v>
      </c>
      <c r="C3413" s="1" t="s">
        <v>5979</v>
      </c>
      <c r="G3413" s="16"/>
      <c r="M3413">
        <v>1</v>
      </c>
      <c r="N3413">
        <v>140</v>
      </c>
      <c r="O3413">
        <v>0</v>
      </c>
      <c r="P3413">
        <v>1.25</v>
      </c>
      <c r="Q3413">
        <v>175</v>
      </c>
      <c r="R3413">
        <v>0</v>
      </c>
      <c r="S3413">
        <v>0</v>
      </c>
      <c r="T3413" t="s">
        <v>52</v>
      </c>
      <c r="U3413">
        <v>0</v>
      </c>
      <c r="V3413">
        <v>0</v>
      </c>
      <c r="W3413">
        <v>400017</v>
      </c>
      <c r="X3413" t="s">
        <v>56</v>
      </c>
      <c r="Y3413" t="s">
        <v>57</v>
      </c>
      <c r="AE3413">
        <v>0</v>
      </c>
      <c r="AP3413" t="s">
        <v>49</v>
      </c>
    </row>
    <row r="3414" spans="1:42">
      <c r="A3414" s="1" t="s">
        <v>46</v>
      </c>
      <c r="B3414" s="1" t="s">
        <v>5980</v>
      </c>
      <c r="C3414" s="1" t="s">
        <v>5980</v>
      </c>
      <c r="G3414" s="16"/>
      <c r="M3414">
        <v>1</v>
      </c>
      <c r="N3414">
        <v>194</v>
      </c>
      <c r="O3414">
        <v>0</v>
      </c>
      <c r="P3414">
        <v>0.77</v>
      </c>
      <c r="Q3414">
        <v>149.38</v>
      </c>
      <c r="R3414">
        <v>0</v>
      </c>
      <c r="S3414">
        <v>0</v>
      </c>
      <c r="T3414" t="s">
        <v>52</v>
      </c>
      <c r="U3414">
        <v>0</v>
      </c>
      <c r="V3414">
        <v>0</v>
      </c>
      <c r="W3414">
        <v>400061</v>
      </c>
      <c r="X3414" t="s">
        <v>56</v>
      </c>
      <c r="Y3414" t="s">
        <v>57</v>
      </c>
      <c r="AE3414">
        <v>0</v>
      </c>
      <c r="AP3414" t="s">
        <v>169</v>
      </c>
    </row>
    <row r="3415" spans="1:42">
      <c r="A3415" s="1" t="s">
        <v>46</v>
      </c>
      <c r="B3415" s="1" t="s">
        <v>5981</v>
      </c>
      <c r="C3415" s="1" t="s">
        <v>5981</v>
      </c>
      <c r="G3415" s="16"/>
      <c r="M3415">
        <v>1</v>
      </c>
      <c r="N3415">
        <v>117</v>
      </c>
      <c r="O3415">
        <v>0</v>
      </c>
      <c r="P3415">
        <v>2</v>
      </c>
      <c r="Q3415">
        <v>234</v>
      </c>
      <c r="R3415">
        <v>0</v>
      </c>
      <c r="S3415">
        <v>0</v>
      </c>
      <c r="T3415" t="s">
        <v>52</v>
      </c>
      <c r="W3415">
        <v>400166</v>
      </c>
      <c r="AE3415">
        <v>0</v>
      </c>
      <c r="AP3415" t="s">
        <v>540</v>
      </c>
    </row>
    <row r="3416" spans="1:42">
      <c r="A3416" s="1" t="s">
        <v>46</v>
      </c>
      <c r="B3416" s="1" t="s">
        <v>5982</v>
      </c>
      <c r="C3416" s="1" t="s">
        <v>5982</v>
      </c>
      <c r="G3416" s="16"/>
      <c r="M3416">
        <v>1</v>
      </c>
      <c r="N3416">
        <v>1432</v>
      </c>
      <c r="O3416">
        <v>0</v>
      </c>
      <c r="P3416">
        <v>1.1000000000000001</v>
      </c>
      <c r="Q3416">
        <v>1575.2</v>
      </c>
      <c r="R3416">
        <v>0</v>
      </c>
      <c r="S3416">
        <v>0</v>
      </c>
      <c r="T3416" t="s">
        <v>52</v>
      </c>
      <c r="U3416">
        <v>0</v>
      </c>
      <c r="V3416">
        <v>0</v>
      </c>
      <c r="W3416">
        <v>400158</v>
      </c>
      <c r="X3416" t="s">
        <v>56</v>
      </c>
      <c r="Y3416" t="s">
        <v>57</v>
      </c>
      <c r="AE3416">
        <v>0</v>
      </c>
      <c r="AP3416" t="s">
        <v>61</v>
      </c>
    </row>
    <row r="3417" spans="1:42">
      <c r="A3417" s="1" t="s">
        <v>46</v>
      </c>
      <c r="B3417" s="1" t="s">
        <v>5983</v>
      </c>
      <c r="C3417" s="1" t="s">
        <v>5983</v>
      </c>
      <c r="G3417" s="16"/>
      <c r="M3417">
        <v>1</v>
      </c>
      <c r="N3417">
        <v>-1</v>
      </c>
      <c r="O3417">
        <v>0</v>
      </c>
      <c r="W3417">
        <v>410302</v>
      </c>
      <c r="AE3417">
        <v>0</v>
      </c>
      <c r="AP3417" t="s">
        <v>177</v>
      </c>
    </row>
    <row r="3418" spans="1:42">
      <c r="A3418" s="1" t="s">
        <v>46</v>
      </c>
      <c r="B3418" s="1" t="s">
        <v>5984</v>
      </c>
      <c r="C3418" s="1" t="s">
        <v>5984</v>
      </c>
      <c r="G3418" s="16"/>
      <c r="M3418">
        <v>1</v>
      </c>
      <c r="N3418">
        <v>3</v>
      </c>
      <c r="O3418">
        <v>0</v>
      </c>
      <c r="P3418">
        <v>2.5</v>
      </c>
      <c r="Q3418">
        <v>7.5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400017</v>
      </c>
      <c r="X3418" t="s">
        <v>56</v>
      </c>
      <c r="Y3418" t="s">
        <v>57</v>
      </c>
      <c r="AE3418">
        <v>0</v>
      </c>
      <c r="AP3418" t="s">
        <v>49</v>
      </c>
    </row>
    <row r="3419" spans="1:42">
      <c r="A3419" s="1" t="s">
        <v>46</v>
      </c>
      <c r="B3419" s="1" t="s">
        <v>5985</v>
      </c>
      <c r="C3419" s="1" t="s">
        <v>5985</v>
      </c>
      <c r="G3419" s="16"/>
      <c r="M3419">
        <v>1</v>
      </c>
      <c r="N3419">
        <v>1</v>
      </c>
      <c r="O3419">
        <v>0</v>
      </c>
      <c r="P3419">
        <v>12</v>
      </c>
      <c r="Q3419">
        <v>12</v>
      </c>
      <c r="R3419">
        <v>0</v>
      </c>
      <c r="S3419">
        <v>0</v>
      </c>
      <c r="T3419" t="s">
        <v>3335</v>
      </c>
      <c r="U3419">
        <v>0</v>
      </c>
      <c r="V3419">
        <v>0</v>
      </c>
      <c r="W3419">
        <v>400017</v>
      </c>
      <c r="X3419" t="s">
        <v>56</v>
      </c>
      <c r="Y3419" t="s">
        <v>57</v>
      </c>
      <c r="AE3419">
        <v>0</v>
      </c>
      <c r="AP3419" t="s">
        <v>49</v>
      </c>
    </row>
    <row r="3420" spans="1:42">
      <c r="A3420" s="1" t="s">
        <v>46</v>
      </c>
      <c r="B3420" s="1" t="s">
        <v>5986</v>
      </c>
      <c r="C3420" s="1" t="s">
        <v>5986</v>
      </c>
      <c r="G3420" s="16"/>
      <c r="M3420">
        <v>1</v>
      </c>
      <c r="N3420">
        <v>35</v>
      </c>
      <c r="O3420">
        <v>0</v>
      </c>
      <c r="P3420">
        <v>53</v>
      </c>
      <c r="Q3420">
        <v>1855</v>
      </c>
      <c r="R3420">
        <v>0</v>
      </c>
      <c r="S3420">
        <v>0</v>
      </c>
      <c r="T3420" t="s">
        <v>52</v>
      </c>
      <c r="U3420">
        <v>0</v>
      </c>
      <c r="V3420">
        <v>0</v>
      </c>
      <c r="W3420">
        <v>400046</v>
      </c>
      <c r="X3420" t="s">
        <v>56</v>
      </c>
      <c r="Y3420" t="s">
        <v>57</v>
      </c>
      <c r="AE3420">
        <v>0</v>
      </c>
      <c r="AP3420" t="s">
        <v>407</v>
      </c>
    </row>
    <row r="3421" spans="1:42">
      <c r="A3421" s="1" t="s">
        <v>46</v>
      </c>
      <c r="B3421" s="1" t="s">
        <v>5987</v>
      </c>
      <c r="C3421" s="1" t="s">
        <v>5987</v>
      </c>
      <c r="G3421" s="16"/>
      <c r="M3421">
        <v>1</v>
      </c>
      <c r="N3421">
        <v>0</v>
      </c>
      <c r="O3421">
        <v>0</v>
      </c>
      <c r="P3421">
        <v>60</v>
      </c>
      <c r="Q3421">
        <v>0</v>
      </c>
      <c r="R3421">
        <v>0</v>
      </c>
      <c r="S3421">
        <v>0</v>
      </c>
      <c r="T3421" t="s">
        <v>52</v>
      </c>
      <c r="U3421">
        <v>0</v>
      </c>
      <c r="V3421">
        <v>0</v>
      </c>
      <c r="W3421">
        <v>400017</v>
      </c>
      <c r="X3421" t="s">
        <v>56</v>
      </c>
      <c r="Y3421" t="s">
        <v>57</v>
      </c>
      <c r="AE3421">
        <v>0</v>
      </c>
      <c r="AP3421" t="s">
        <v>49</v>
      </c>
    </row>
    <row r="3422" spans="1:42">
      <c r="A3422" s="1" t="s">
        <v>46</v>
      </c>
      <c r="B3422" s="1" t="s">
        <v>5988</v>
      </c>
      <c r="C3422" s="1" t="s">
        <v>5988</v>
      </c>
      <c r="G3422" s="16"/>
      <c r="M3422">
        <v>1</v>
      </c>
      <c r="N3422">
        <v>57</v>
      </c>
      <c r="O3422">
        <v>0</v>
      </c>
      <c r="P3422">
        <v>0.6</v>
      </c>
      <c r="Q3422">
        <v>34.200000000000003</v>
      </c>
      <c r="R3422">
        <v>0</v>
      </c>
      <c r="S3422">
        <v>0</v>
      </c>
      <c r="T3422" t="s">
        <v>52</v>
      </c>
      <c r="U3422">
        <v>0</v>
      </c>
      <c r="V3422">
        <v>0</v>
      </c>
      <c r="W3422">
        <v>400032</v>
      </c>
      <c r="X3422" t="s">
        <v>56</v>
      </c>
      <c r="Y3422" t="s">
        <v>57</v>
      </c>
      <c r="AE3422">
        <v>0</v>
      </c>
      <c r="AP3422" t="s">
        <v>404</v>
      </c>
    </row>
    <row r="3423" spans="1:42">
      <c r="A3423" s="1" t="s">
        <v>46</v>
      </c>
      <c r="B3423" s="1" t="s">
        <v>5989</v>
      </c>
      <c r="C3423" s="1" t="s">
        <v>5989</v>
      </c>
      <c r="G3423" s="16"/>
      <c r="M3423">
        <v>1</v>
      </c>
      <c r="N3423">
        <v>6</v>
      </c>
      <c r="O3423">
        <v>0</v>
      </c>
      <c r="P3423">
        <v>20</v>
      </c>
      <c r="Q3423">
        <v>120</v>
      </c>
      <c r="R3423">
        <v>0</v>
      </c>
      <c r="S3423">
        <v>0</v>
      </c>
      <c r="T3423" t="s">
        <v>52</v>
      </c>
      <c r="U3423">
        <v>0</v>
      </c>
      <c r="V3423">
        <v>0</v>
      </c>
      <c r="W3423">
        <v>400158</v>
      </c>
      <c r="X3423" t="s">
        <v>56</v>
      </c>
      <c r="Y3423" t="s">
        <v>57</v>
      </c>
      <c r="AE3423">
        <v>0</v>
      </c>
      <c r="AP3423" t="s">
        <v>61</v>
      </c>
    </row>
    <row r="3424" spans="1:42">
      <c r="A3424" s="1" t="s">
        <v>46</v>
      </c>
      <c r="B3424" s="1" t="s">
        <v>5990</v>
      </c>
      <c r="C3424" s="1" t="s">
        <v>5990</v>
      </c>
      <c r="G3424" s="16"/>
      <c r="M3424">
        <v>1</v>
      </c>
      <c r="N3424">
        <v>22</v>
      </c>
      <c r="O3424">
        <v>0</v>
      </c>
      <c r="P3424">
        <v>2.25</v>
      </c>
      <c r="Q3424">
        <v>49.5</v>
      </c>
      <c r="R3424">
        <v>0</v>
      </c>
      <c r="S3424">
        <v>0</v>
      </c>
      <c r="T3424" t="s">
        <v>52</v>
      </c>
      <c r="W3424">
        <v>400017</v>
      </c>
      <c r="AE3424">
        <v>0</v>
      </c>
      <c r="AP3424" t="s">
        <v>49</v>
      </c>
    </row>
    <row r="3425" spans="1:42">
      <c r="G3425" s="16"/>
    </row>
    <row r="3426" spans="1:42">
      <c r="G3426" s="16"/>
    </row>
    <row r="3427" spans="1:42">
      <c r="G3427" s="16"/>
    </row>
    <row r="3428" spans="1:42">
      <c r="A3428" s="1" t="s">
        <v>46</v>
      </c>
      <c r="B3428" s="1" t="s">
        <v>5991</v>
      </c>
      <c r="C3428" s="1" t="s">
        <v>5991</v>
      </c>
      <c r="G3428" s="16"/>
      <c r="M3428">
        <v>1</v>
      </c>
      <c r="N3428">
        <v>5</v>
      </c>
      <c r="O3428">
        <v>0</v>
      </c>
      <c r="P3428">
        <v>33</v>
      </c>
      <c r="Q3428">
        <v>165</v>
      </c>
      <c r="R3428" t="s">
        <v>3952</v>
      </c>
      <c r="S3428">
        <v>0</v>
      </c>
      <c r="T3428" t="s">
        <v>52</v>
      </c>
      <c r="W3428">
        <v>400139</v>
      </c>
      <c r="AE3428">
        <v>0</v>
      </c>
      <c r="AP3428" t="s">
        <v>1233</v>
      </c>
    </row>
    <row r="3429" spans="1:42">
      <c r="G3429" s="16"/>
    </row>
    <row r="3430" spans="1:42">
      <c r="G3430" s="16"/>
    </row>
    <row r="3431" spans="1:42">
      <c r="G3431" s="16"/>
    </row>
    <row r="3432" spans="1:42">
      <c r="G3432" s="16"/>
    </row>
    <row r="3433" spans="1:42">
      <c r="G3433" s="16"/>
    </row>
    <row r="3434" spans="1:42">
      <c r="G3434" s="16"/>
    </row>
    <row r="3435" spans="1:42">
      <c r="G3435" s="16"/>
    </row>
    <row r="3436" spans="1:42">
      <c r="G3436" s="16"/>
    </row>
    <row r="3437" spans="1:42">
      <c r="G3437" s="16"/>
    </row>
    <row r="3438" spans="1:42">
      <c r="G3438" s="16"/>
    </row>
    <row r="3439" spans="1:42">
      <c r="G3439" s="16"/>
    </row>
    <row r="3440" spans="1:42">
      <c r="A3440" s="1" t="s">
        <v>46</v>
      </c>
      <c r="B3440" s="1" t="s">
        <v>5992</v>
      </c>
      <c r="C3440" s="1" t="s">
        <v>5992</v>
      </c>
      <c r="G3440" s="16"/>
      <c r="M3440">
        <v>1</v>
      </c>
      <c r="N3440">
        <v>247</v>
      </c>
      <c r="O3440">
        <v>0</v>
      </c>
      <c r="P3440">
        <v>17</v>
      </c>
      <c r="Q3440">
        <v>4199</v>
      </c>
      <c r="R3440">
        <v>0</v>
      </c>
      <c r="S3440">
        <v>0</v>
      </c>
      <c r="T3440" t="s">
        <v>52</v>
      </c>
      <c r="U3440" t="s">
        <v>52</v>
      </c>
      <c r="V3440">
        <v>0</v>
      </c>
      <c r="W3440">
        <v>410120</v>
      </c>
      <c r="AE3440">
        <v>0</v>
      </c>
      <c r="AP3440" t="s">
        <v>112</v>
      </c>
    </row>
    <row r="3441" spans="1:42">
      <c r="G3441" s="16"/>
    </row>
    <row r="3442" spans="1:42">
      <c r="G3442" s="16"/>
    </row>
    <row r="3443" spans="1:42">
      <c r="G3443" s="16"/>
    </row>
    <row r="3444" spans="1:42">
      <c r="G3444" s="16"/>
    </row>
    <row r="3445" spans="1:42">
      <c r="G3445" s="16"/>
    </row>
    <row r="3446" spans="1:42">
      <c r="G3446" s="16"/>
    </row>
    <row r="3447" spans="1:42">
      <c r="G3447" s="16"/>
    </row>
    <row r="3448" spans="1:42">
      <c r="G3448" s="16"/>
    </row>
    <row r="3449" spans="1:42">
      <c r="G3449" s="16"/>
    </row>
    <row r="3450" spans="1:42">
      <c r="G3450" s="16"/>
    </row>
    <row r="3451" spans="1:42">
      <c r="A3451" s="1" t="s">
        <v>46</v>
      </c>
      <c r="B3451" s="1" t="s">
        <v>5993</v>
      </c>
      <c r="C3451" s="1" t="s">
        <v>5993</v>
      </c>
      <c r="G3451" s="16"/>
      <c r="M3451">
        <v>1</v>
      </c>
      <c r="N3451">
        <v>1.08</v>
      </c>
      <c r="O3451">
        <v>0</v>
      </c>
      <c r="P3451">
        <v>9.26</v>
      </c>
      <c r="Q3451">
        <v>10</v>
      </c>
      <c r="R3451">
        <v>0</v>
      </c>
      <c r="S3451">
        <v>0</v>
      </c>
      <c r="T3451" t="s">
        <v>52</v>
      </c>
      <c r="W3451">
        <v>400040</v>
      </c>
      <c r="AE3451">
        <v>0</v>
      </c>
      <c r="AP3451" t="s">
        <v>5994</v>
      </c>
    </row>
    <row r="3452" spans="1:42">
      <c r="G3452" s="16"/>
    </row>
    <row r="3453" spans="1:42">
      <c r="G3453" s="16"/>
    </row>
    <row r="3454" spans="1:42">
      <c r="G3454" s="16"/>
    </row>
    <row r="3455" spans="1:42">
      <c r="A3455" s="1" t="s">
        <v>46</v>
      </c>
      <c r="B3455" s="1" t="s">
        <v>5995</v>
      </c>
      <c r="C3455" s="1" t="s">
        <v>5995</v>
      </c>
      <c r="G3455" s="16"/>
      <c r="M3455">
        <v>1</v>
      </c>
      <c r="N3455">
        <v>43</v>
      </c>
      <c r="O3455">
        <v>0</v>
      </c>
      <c r="P3455">
        <v>2</v>
      </c>
      <c r="Q3455">
        <v>86</v>
      </c>
      <c r="W3455">
        <v>410302</v>
      </c>
      <c r="AE3455">
        <v>0</v>
      </c>
      <c r="AP3455" t="s">
        <v>177</v>
      </c>
    </row>
    <row r="3456" spans="1:42">
      <c r="A3456" s="1" t="s">
        <v>46</v>
      </c>
      <c r="B3456" s="1" t="s">
        <v>5996</v>
      </c>
      <c r="C3456" s="1" t="s">
        <v>5996</v>
      </c>
      <c r="G3456" s="16"/>
      <c r="M3456">
        <v>1</v>
      </c>
      <c r="N3456">
        <v>-1</v>
      </c>
      <c r="O3456">
        <v>0</v>
      </c>
      <c r="P3456">
        <v>780</v>
      </c>
      <c r="Q3456">
        <v>-780</v>
      </c>
      <c r="R3456" t="s">
        <v>5997</v>
      </c>
      <c r="S3456">
        <v>0</v>
      </c>
      <c r="T3456" t="s">
        <v>52</v>
      </c>
      <c r="W3456">
        <v>400046</v>
      </c>
      <c r="AE3456">
        <v>0</v>
      </c>
      <c r="AP3456" t="s">
        <v>407</v>
      </c>
    </row>
    <row r="3457" spans="1:42">
      <c r="A3457" s="1" t="s">
        <v>46</v>
      </c>
      <c r="B3457" s="1" t="s">
        <v>5998</v>
      </c>
      <c r="C3457" s="1" t="s">
        <v>5998</v>
      </c>
      <c r="G3457" s="16"/>
      <c r="M3457">
        <v>1</v>
      </c>
      <c r="N3457">
        <v>49</v>
      </c>
      <c r="O3457">
        <v>0</v>
      </c>
      <c r="P3457">
        <v>13</v>
      </c>
      <c r="Q3457">
        <v>637</v>
      </c>
      <c r="R3457">
        <v>0</v>
      </c>
      <c r="S3457">
        <v>0</v>
      </c>
      <c r="T3457" t="s">
        <v>52</v>
      </c>
      <c r="U3457">
        <v>0</v>
      </c>
      <c r="V3457">
        <v>0</v>
      </c>
      <c r="W3457">
        <v>400203</v>
      </c>
      <c r="X3457" t="s">
        <v>56</v>
      </c>
      <c r="Y3457" t="s">
        <v>57</v>
      </c>
      <c r="AE3457">
        <v>0</v>
      </c>
      <c r="AP3457" t="s">
        <v>837</v>
      </c>
    </row>
    <row r="3458" spans="1:42">
      <c r="A3458" s="1" t="s">
        <v>46</v>
      </c>
      <c r="B3458" s="1" t="s">
        <v>5999</v>
      </c>
      <c r="C3458" s="1" t="s">
        <v>5999</v>
      </c>
      <c r="G3458" s="16"/>
      <c r="M3458">
        <v>1</v>
      </c>
      <c r="N3458">
        <v>-9</v>
      </c>
      <c r="O3458">
        <v>0</v>
      </c>
      <c r="P3458">
        <v>2.23</v>
      </c>
      <c r="Q3458">
        <v>-20.09</v>
      </c>
      <c r="R3458" t="s">
        <v>241</v>
      </c>
      <c r="S3458">
        <v>0</v>
      </c>
      <c r="T3458" t="s">
        <v>52</v>
      </c>
      <c r="W3458">
        <v>400112</v>
      </c>
      <c r="AE3458">
        <v>0</v>
      </c>
      <c r="AP3458" t="s">
        <v>220</v>
      </c>
    </row>
    <row r="3459" spans="1:42">
      <c r="A3459" s="1" t="s">
        <v>46</v>
      </c>
      <c r="B3459" s="1" t="s">
        <v>6000</v>
      </c>
      <c r="C3459" s="1" t="s">
        <v>6000</v>
      </c>
      <c r="G3459" s="16"/>
      <c r="M3459">
        <v>1</v>
      </c>
      <c r="N3459">
        <v>34</v>
      </c>
      <c r="O3459">
        <v>0</v>
      </c>
      <c r="P3459">
        <v>1.25</v>
      </c>
      <c r="Q3459">
        <v>42.5</v>
      </c>
      <c r="R3459">
        <v>0</v>
      </c>
      <c r="S3459">
        <v>0</v>
      </c>
      <c r="T3459" t="s">
        <v>52</v>
      </c>
      <c r="U3459">
        <v>0</v>
      </c>
      <c r="V3459">
        <v>0</v>
      </c>
      <c r="W3459">
        <v>400017</v>
      </c>
      <c r="X3459" t="s">
        <v>56</v>
      </c>
      <c r="Y3459" t="s">
        <v>57</v>
      </c>
      <c r="AE3459">
        <v>0</v>
      </c>
      <c r="AP3459" t="s">
        <v>49</v>
      </c>
    </row>
    <row r="3460" spans="1:42">
      <c r="A3460" s="1" t="s">
        <v>46</v>
      </c>
      <c r="B3460" s="1" t="s">
        <v>6001</v>
      </c>
      <c r="C3460" s="1" t="s">
        <v>6001</v>
      </c>
      <c r="G3460" s="16"/>
      <c r="M3460">
        <v>1</v>
      </c>
      <c r="N3460">
        <v>-2315.75</v>
      </c>
      <c r="O3460">
        <v>0</v>
      </c>
      <c r="P3460">
        <v>1.1599999999999999</v>
      </c>
      <c r="Q3460">
        <v>-2687.92</v>
      </c>
      <c r="R3460">
        <v>0</v>
      </c>
      <c r="S3460">
        <v>0</v>
      </c>
      <c r="T3460">
        <v>0</v>
      </c>
      <c r="W3460">
        <v>400091</v>
      </c>
      <c r="AE3460">
        <v>0</v>
      </c>
      <c r="AP3460" t="s">
        <v>3931</v>
      </c>
    </row>
    <row r="3461" spans="1:42">
      <c r="A3461" s="1" t="s">
        <v>46</v>
      </c>
      <c r="B3461" s="1" t="s">
        <v>6002</v>
      </c>
      <c r="C3461" s="1" t="s">
        <v>6002</v>
      </c>
      <c r="G3461" s="16"/>
      <c r="M3461">
        <v>1</v>
      </c>
      <c r="N3461">
        <v>1329</v>
      </c>
      <c r="O3461">
        <v>0</v>
      </c>
      <c r="P3461">
        <v>7.26</v>
      </c>
      <c r="Q3461">
        <v>9649.4699999999993</v>
      </c>
      <c r="R3461">
        <v>0</v>
      </c>
      <c r="S3461">
        <v>0</v>
      </c>
      <c r="T3461" t="s">
        <v>4637</v>
      </c>
      <c r="W3461">
        <v>400150</v>
      </c>
      <c r="AE3461">
        <v>0</v>
      </c>
      <c r="AP3461" t="s">
        <v>75</v>
      </c>
    </row>
    <row r="3462" spans="1:42">
      <c r="A3462" s="1" t="s">
        <v>46</v>
      </c>
      <c r="B3462" s="1" t="s">
        <v>6003</v>
      </c>
      <c r="C3462" s="1" t="s">
        <v>6003</v>
      </c>
      <c r="G3462" s="16"/>
      <c r="M3462">
        <v>1</v>
      </c>
      <c r="N3462">
        <v>595.5</v>
      </c>
      <c r="O3462">
        <v>0</v>
      </c>
      <c r="P3462">
        <v>2.15</v>
      </c>
      <c r="Q3462">
        <v>1280.32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400033</v>
      </c>
      <c r="X3462" t="s">
        <v>56</v>
      </c>
      <c r="Y3462" t="s">
        <v>57</v>
      </c>
      <c r="AE3462">
        <v>0</v>
      </c>
      <c r="AP3462" t="s">
        <v>126</v>
      </c>
    </row>
    <row r="3463" spans="1:42">
      <c r="A3463" s="1" t="s">
        <v>46</v>
      </c>
      <c r="B3463" s="1" t="s">
        <v>6004</v>
      </c>
      <c r="C3463" s="1" t="s">
        <v>6004</v>
      </c>
      <c r="G3463" s="16"/>
      <c r="M3463">
        <v>1</v>
      </c>
      <c r="N3463">
        <v>-20</v>
      </c>
      <c r="O3463">
        <v>0</v>
      </c>
      <c r="P3463">
        <v>10</v>
      </c>
      <c r="Q3463">
        <v>-200</v>
      </c>
      <c r="W3463">
        <v>400061</v>
      </c>
      <c r="AE3463">
        <v>0</v>
      </c>
      <c r="AP3463" t="s">
        <v>169</v>
      </c>
    </row>
    <row r="3464" spans="1:42">
      <c r="A3464" s="1" t="s">
        <v>46</v>
      </c>
      <c r="B3464" s="1" t="s">
        <v>6005</v>
      </c>
      <c r="C3464" s="1" t="s">
        <v>6005</v>
      </c>
      <c r="G3464" s="16"/>
      <c r="M3464">
        <v>1</v>
      </c>
      <c r="N3464">
        <v>-3</v>
      </c>
      <c r="O3464">
        <v>0</v>
      </c>
      <c r="AE3464">
        <v>0</v>
      </c>
    </row>
    <row r="3465" spans="1:42">
      <c r="A3465" s="1"/>
      <c r="B3465" s="1"/>
      <c r="C3465" s="1"/>
      <c r="G3465" s="16"/>
    </row>
    <row r="3466" spans="1:42">
      <c r="G3466" s="16"/>
    </row>
    <row r="3467" spans="1:42">
      <c r="A3467" s="1" t="s">
        <v>46</v>
      </c>
      <c r="B3467" s="1" t="s">
        <v>6006</v>
      </c>
      <c r="C3467" s="1" t="s">
        <v>6006</v>
      </c>
      <c r="G3467" s="16"/>
      <c r="I3467">
        <v>3500</v>
      </c>
      <c r="M3467">
        <v>1</v>
      </c>
      <c r="N3467">
        <v>2127</v>
      </c>
      <c r="O3467">
        <v>0</v>
      </c>
      <c r="P3467">
        <v>2.52</v>
      </c>
      <c r="Q3467">
        <v>5364.29</v>
      </c>
      <c r="R3467">
        <v>0</v>
      </c>
      <c r="S3467">
        <v>0</v>
      </c>
      <c r="T3467" t="s">
        <v>52</v>
      </c>
      <c r="U3467">
        <v>0</v>
      </c>
      <c r="V3467">
        <v>0</v>
      </c>
      <c r="W3467">
        <v>400013</v>
      </c>
      <c r="X3467" t="s">
        <v>56</v>
      </c>
      <c r="Y3467" t="s">
        <v>57</v>
      </c>
      <c r="AE3467">
        <v>0</v>
      </c>
      <c r="AH3467">
        <v>3500</v>
      </c>
      <c r="AP3467" t="s">
        <v>232</v>
      </c>
    </row>
    <row r="3468" spans="1:42">
      <c r="A3468" s="1" t="s">
        <v>46</v>
      </c>
      <c r="B3468" s="1" t="s">
        <v>6007</v>
      </c>
      <c r="C3468" s="1" t="s">
        <v>6007</v>
      </c>
      <c r="G3468" s="16"/>
      <c r="M3468">
        <v>1</v>
      </c>
      <c r="N3468">
        <v>8</v>
      </c>
      <c r="O3468">
        <v>0</v>
      </c>
      <c r="P3468">
        <v>3.15</v>
      </c>
      <c r="Q3468">
        <v>25.17</v>
      </c>
      <c r="W3468">
        <v>400013</v>
      </c>
      <c r="AE3468">
        <v>0</v>
      </c>
      <c r="AP3468" t="s">
        <v>232</v>
      </c>
    </row>
    <row r="3469" spans="1:42">
      <c r="A3469" s="1" t="s">
        <v>46</v>
      </c>
      <c r="B3469" s="1" t="s">
        <v>6008</v>
      </c>
      <c r="C3469" s="1" t="s">
        <v>6008</v>
      </c>
      <c r="G3469" s="16"/>
      <c r="M3469">
        <v>1</v>
      </c>
      <c r="N3469">
        <v>33</v>
      </c>
      <c r="O3469">
        <v>0</v>
      </c>
      <c r="P3469">
        <v>11.1</v>
      </c>
      <c r="Q3469">
        <v>366.3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400120</v>
      </c>
      <c r="AE3469">
        <v>0</v>
      </c>
      <c r="AP3469" t="s">
        <v>468</v>
      </c>
    </row>
    <row r="3470" spans="1:42">
      <c r="A3470" s="1" t="s">
        <v>46</v>
      </c>
      <c r="B3470" s="1" t="s">
        <v>6009</v>
      </c>
      <c r="C3470" s="1" t="s">
        <v>6009</v>
      </c>
      <c r="G3470" s="16"/>
      <c r="M3470">
        <v>1</v>
      </c>
      <c r="N3470">
        <v>10</v>
      </c>
      <c r="O3470">
        <v>0</v>
      </c>
      <c r="P3470">
        <v>11.1</v>
      </c>
      <c r="Q3470">
        <v>111</v>
      </c>
      <c r="AE3470">
        <v>0</v>
      </c>
    </row>
    <row r="3471" spans="1:42">
      <c r="G3471" s="16"/>
    </row>
    <row r="3472" spans="1:42">
      <c r="G3472" s="16"/>
    </row>
    <row r="3473" spans="1:42">
      <c r="G3473" s="16"/>
    </row>
    <row r="3474" spans="1:42">
      <c r="G3474" s="16"/>
    </row>
    <row r="3475" spans="1:42">
      <c r="G3475" s="16"/>
    </row>
    <row r="3476" spans="1:42">
      <c r="G3476" s="16"/>
    </row>
    <row r="3477" spans="1:42">
      <c r="G3477" s="16"/>
    </row>
    <row r="3478" spans="1:42">
      <c r="G3478" s="16"/>
    </row>
    <row r="3479" spans="1:42">
      <c r="G3479" s="16"/>
    </row>
    <row r="3480" spans="1:42">
      <c r="G3480" s="16"/>
    </row>
    <row r="3481" spans="1:42">
      <c r="G3481" s="16"/>
    </row>
    <row r="3482" spans="1:42">
      <c r="G3482" s="16"/>
    </row>
    <row r="3483" spans="1:42">
      <c r="A3483" s="1" t="s">
        <v>46</v>
      </c>
      <c r="B3483" s="1" t="s">
        <v>6010</v>
      </c>
      <c r="C3483" s="1" t="s">
        <v>6010</v>
      </c>
      <c r="G3483" s="16"/>
      <c r="M3483">
        <v>1</v>
      </c>
      <c r="N3483">
        <v>-150</v>
      </c>
      <c r="O3483">
        <v>0</v>
      </c>
      <c r="AE3483">
        <v>0</v>
      </c>
    </row>
    <row r="3484" spans="1:42">
      <c r="A3484" s="1" t="s">
        <v>46</v>
      </c>
      <c r="B3484" s="1" t="s">
        <v>6011</v>
      </c>
      <c r="C3484" s="1" t="s">
        <v>6011</v>
      </c>
      <c r="G3484" s="16"/>
      <c r="M3484">
        <v>1</v>
      </c>
      <c r="N3484">
        <v>26</v>
      </c>
      <c r="O3484">
        <v>0</v>
      </c>
      <c r="P3484">
        <v>38.85</v>
      </c>
      <c r="Q3484">
        <v>1010.1</v>
      </c>
      <c r="W3484">
        <v>400120</v>
      </c>
      <c r="AE3484">
        <v>0</v>
      </c>
      <c r="AP3484" t="s">
        <v>468</v>
      </c>
    </row>
    <row r="3485" spans="1:42">
      <c r="A3485" s="1" t="s">
        <v>46</v>
      </c>
      <c r="B3485" s="1" t="s">
        <v>6012</v>
      </c>
      <c r="C3485" s="1" t="s">
        <v>6012</v>
      </c>
      <c r="G3485" s="16"/>
      <c r="M3485">
        <v>1</v>
      </c>
      <c r="N3485">
        <v>-73</v>
      </c>
      <c r="O3485">
        <v>0</v>
      </c>
      <c r="P3485">
        <v>19.95</v>
      </c>
      <c r="Q3485">
        <v>-1456.35</v>
      </c>
      <c r="R3485" t="s">
        <v>241</v>
      </c>
      <c r="S3485">
        <v>0</v>
      </c>
      <c r="T3485" t="s">
        <v>52</v>
      </c>
      <c r="U3485">
        <v>0</v>
      </c>
      <c r="V3485">
        <v>0</v>
      </c>
      <c r="W3485">
        <v>400046</v>
      </c>
      <c r="X3485" t="s">
        <v>56</v>
      </c>
      <c r="Y3485" t="s">
        <v>57</v>
      </c>
      <c r="AE3485">
        <v>0</v>
      </c>
      <c r="AP3485" t="s">
        <v>407</v>
      </c>
    </row>
    <row r="3486" spans="1:42">
      <c r="A3486" s="1" t="s">
        <v>46</v>
      </c>
      <c r="B3486" s="1" t="s">
        <v>6013</v>
      </c>
      <c r="C3486" s="1" t="s">
        <v>6013</v>
      </c>
      <c r="G3486" s="16"/>
      <c r="M3486">
        <v>1</v>
      </c>
      <c r="N3486">
        <v>58</v>
      </c>
      <c r="O3486">
        <v>0</v>
      </c>
      <c r="P3486">
        <v>19</v>
      </c>
      <c r="Q3486">
        <v>1102</v>
      </c>
      <c r="R3486" t="s">
        <v>377</v>
      </c>
      <c r="S3486">
        <v>0</v>
      </c>
      <c r="T3486">
        <v>0</v>
      </c>
      <c r="U3486">
        <v>0</v>
      </c>
      <c r="V3486">
        <v>0</v>
      </c>
      <c r="W3486">
        <v>400046</v>
      </c>
      <c r="X3486" t="s">
        <v>56</v>
      </c>
      <c r="Y3486" t="s">
        <v>57</v>
      </c>
      <c r="AE3486">
        <v>0</v>
      </c>
      <c r="AP3486" t="s">
        <v>407</v>
      </c>
    </row>
    <row r="3487" spans="1:42">
      <c r="G3487" s="16"/>
    </row>
    <row r="3488" spans="1:42">
      <c r="G3488" s="16"/>
    </row>
    <row r="3489" spans="1:42">
      <c r="A3489" s="1" t="s">
        <v>46</v>
      </c>
      <c r="B3489" s="1" t="s">
        <v>6014</v>
      </c>
      <c r="C3489" s="1" t="s">
        <v>6014</v>
      </c>
      <c r="G3489" s="16"/>
      <c r="M3489">
        <v>1</v>
      </c>
      <c r="N3489">
        <v>187</v>
      </c>
      <c r="O3489">
        <v>0</v>
      </c>
      <c r="P3489">
        <v>0.95</v>
      </c>
      <c r="Q3489">
        <v>177.65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400110</v>
      </c>
      <c r="AE3489">
        <v>0</v>
      </c>
      <c r="AP3489" t="s">
        <v>344</v>
      </c>
    </row>
    <row r="3490" spans="1:42">
      <c r="A3490" s="1" t="s">
        <v>46</v>
      </c>
      <c r="B3490" s="1" t="s">
        <v>6015</v>
      </c>
      <c r="C3490" s="1" t="s">
        <v>6015</v>
      </c>
      <c r="G3490" s="16"/>
      <c r="M3490">
        <v>1</v>
      </c>
      <c r="N3490">
        <v>500</v>
      </c>
      <c r="O3490">
        <v>0</v>
      </c>
      <c r="P3490">
        <v>2</v>
      </c>
      <c r="Q3490">
        <v>1000</v>
      </c>
      <c r="W3490">
        <v>400086</v>
      </c>
      <c r="AE3490">
        <v>0</v>
      </c>
      <c r="AP3490" t="s">
        <v>1491</v>
      </c>
    </row>
    <row r="3491" spans="1:42">
      <c r="A3491" s="1" t="s">
        <v>46</v>
      </c>
      <c r="B3491" s="1" t="s">
        <v>6016</v>
      </c>
      <c r="C3491" s="1" t="s">
        <v>6016</v>
      </c>
      <c r="G3491" s="16"/>
      <c r="M3491">
        <v>1</v>
      </c>
      <c r="N3491">
        <v>4</v>
      </c>
      <c r="O3491">
        <v>0</v>
      </c>
      <c r="P3491">
        <v>42</v>
      </c>
      <c r="Q3491">
        <v>168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400061</v>
      </c>
      <c r="X3491" t="s">
        <v>56</v>
      </c>
      <c r="Y3491" t="s">
        <v>57</v>
      </c>
      <c r="AE3491">
        <v>0</v>
      </c>
      <c r="AP3491" t="s">
        <v>169</v>
      </c>
    </row>
    <row r="3492" spans="1:42">
      <c r="A3492" s="1" t="s">
        <v>46</v>
      </c>
      <c r="B3492" s="1" t="s">
        <v>6017</v>
      </c>
      <c r="C3492" s="1" t="s">
        <v>6017</v>
      </c>
      <c r="G3492" s="16"/>
      <c r="M3492">
        <v>1</v>
      </c>
      <c r="N3492">
        <v>-292.5</v>
      </c>
      <c r="O3492">
        <v>0</v>
      </c>
      <c r="P3492">
        <v>12.5</v>
      </c>
      <c r="Q3492">
        <v>-3656.25</v>
      </c>
      <c r="R3492" t="s">
        <v>241</v>
      </c>
      <c r="S3492">
        <v>0</v>
      </c>
      <c r="T3492" t="s">
        <v>52</v>
      </c>
      <c r="U3492">
        <v>0</v>
      </c>
      <c r="V3492">
        <v>0</v>
      </c>
      <c r="W3492">
        <v>400061</v>
      </c>
      <c r="X3492" t="s">
        <v>56</v>
      </c>
      <c r="Y3492" t="s">
        <v>57</v>
      </c>
      <c r="AE3492">
        <v>0</v>
      </c>
      <c r="AP3492" t="s">
        <v>169</v>
      </c>
    </row>
    <row r="3493" spans="1:42">
      <c r="A3493" s="1" t="s">
        <v>46</v>
      </c>
      <c r="B3493" s="1" t="s">
        <v>6018</v>
      </c>
      <c r="C3493" s="1" t="s">
        <v>6018</v>
      </c>
      <c r="G3493" s="16"/>
      <c r="M3493">
        <v>1</v>
      </c>
      <c r="N3493">
        <v>-2.8</v>
      </c>
      <c r="O3493">
        <v>0</v>
      </c>
      <c r="P3493">
        <v>21</v>
      </c>
      <c r="Q3493">
        <v>-58.8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400061</v>
      </c>
      <c r="AE3493">
        <v>0</v>
      </c>
      <c r="AP3493" t="s">
        <v>169</v>
      </c>
    </row>
    <row r="3494" spans="1:42">
      <c r="A3494" s="1" t="s">
        <v>46</v>
      </c>
      <c r="B3494" s="1" t="s">
        <v>6019</v>
      </c>
      <c r="C3494" s="1" t="s">
        <v>6019</v>
      </c>
      <c r="G3494" s="16"/>
      <c r="M3494">
        <v>1</v>
      </c>
      <c r="N3494">
        <v>-42.5</v>
      </c>
      <c r="O3494">
        <v>0</v>
      </c>
      <c r="P3494">
        <v>15</v>
      </c>
      <c r="Q3494">
        <v>-637.5</v>
      </c>
      <c r="R3494" t="s">
        <v>241</v>
      </c>
      <c r="S3494">
        <v>0</v>
      </c>
      <c r="T3494" t="s">
        <v>52</v>
      </c>
      <c r="U3494">
        <v>0</v>
      </c>
      <c r="V3494">
        <v>0</v>
      </c>
      <c r="W3494">
        <v>400061</v>
      </c>
      <c r="X3494" t="s">
        <v>56</v>
      </c>
      <c r="Y3494" t="s">
        <v>57</v>
      </c>
      <c r="AE3494">
        <v>0</v>
      </c>
      <c r="AP3494" t="s">
        <v>169</v>
      </c>
    </row>
    <row r="3495" spans="1:42">
      <c r="A3495" s="1" t="s">
        <v>46</v>
      </c>
      <c r="B3495" s="1" t="s">
        <v>6020</v>
      </c>
      <c r="C3495" s="1" t="s">
        <v>6020</v>
      </c>
      <c r="G3495" s="16"/>
      <c r="M3495">
        <v>1</v>
      </c>
      <c r="N3495">
        <v>7</v>
      </c>
      <c r="O3495">
        <v>0</v>
      </c>
      <c r="P3495">
        <v>30</v>
      </c>
      <c r="Q3495">
        <v>210</v>
      </c>
      <c r="R3495" t="s">
        <v>241</v>
      </c>
      <c r="S3495">
        <v>0</v>
      </c>
      <c r="T3495" t="s">
        <v>52</v>
      </c>
      <c r="U3495">
        <v>0</v>
      </c>
      <c r="V3495">
        <v>0</v>
      </c>
      <c r="W3495">
        <v>400061</v>
      </c>
      <c r="X3495" t="s">
        <v>56</v>
      </c>
      <c r="Y3495" t="s">
        <v>57</v>
      </c>
      <c r="AE3495">
        <v>0</v>
      </c>
      <c r="AP3495" t="s">
        <v>169</v>
      </c>
    </row>
    <row r="3496" spans="1:42">
      <c r="A3496" s="1" t="s">
        <v>46</v>
      </c>
      <c r="B3496" s="1" t="s">
        <v>6021</v>
      </c>
      <c r="C3496" s="1" t="s">
        <v>6021</v>
      </c>
      <c r="G3496" s="16"/>
      <c r="M3496">
        <v>1</v>
      </c>
      <c r="N3496">
        <v>-2</v>
      </c>
      <c r="O3496">
        <v>0</v>
      </c>
      <c r="P3496">
        <v>45</v>
      </c>
      <c r="Q3496">
        <v>-90</v>
      </c>
      <c r="R3496" t="s">
        <v>241</v>
      </c>
      <c r="S3496">
        <v>0</v>
      </c>
      <c r="T3496" t="s">
        <v>52</v>
      </c>
      <c r="U3496">
        <v>0</v>
      </c>
      <c r="V3496">
        <v>0</v>
      </c>
      <c r="W3496">
        <v>400061</v>
      </c>
      <c r="X3496" t="s">
        <v>56</v>
      </c>
      <c r="Y3496" t="s">
        <v>57</v>
      </c>
      <c r="AE3496">
        <v>0</v>
      </c>
      <c r="AP3496" t="s">
        <v>169</v>
      </c>
    </row>
    <row r="3497" spans="1:42">
      <c r="A3497" s="1" t="s">
        <v>46</v>
      </c>
      <c r="B3497" s="1" t="s">
        <v>6022</v>
      </c>
      <c r="C3497" s="1" t="s">
        <v>6022</v>
      </c>
      <c r="G3497" s="16"/>
      <c r="M3497">
        <v>1</v>
      </c>
      <c r="N3497">
        <v>-327.14999999999998</v>
      </c>
      <c r="O3497">
        <v>0</v>
      </c>
      <c r="P3497">
        <v>25</v>
      </c>
      <c r="Q3497">
        <v>-8178.75</v>
      </c>
      <c r="R3497">
        <v>0</v>
      </c>
      <c r="S3497">
        <v>0</v>
      </c>
      <c r="T3497" t="s">
        <v>3335</v>
      </c>
      <c r="U3497">
        <v>0</v>
      </c>
      <c r="V3497">
        <v>0</v>
      </c>
      <c r="W3497">
        <v>400061</v>
      </c>
      <c r="X3497" t="s">
        <v>56</v>
      </c>
      <c r="Y3497" t="s">
        <v>57</v>
      </c>
      <c r="AE3497">
        <v>0</v>
      </c>
      <c r="AP3497" t="s">
        <v>169</v>
      </c>
    </row>
    <row r="3498" spans="1:42">
      <c r="A3498" s="1" t="s">
        <v>46</v>
      </c>
      <c r="B3498" s="1" t="s">
        <v>6023</v>
      </c>
      <c r="C3498" s="1" t="s">
        <v>6023</v>
      </c>
      <c r="G3498" s="16"/>
      <c r="M3498">
        <v>1</v>
      </c>
      <c r="N3498">
        <v>1078.5</v>
      </c>
      <c r="O3498">
        <v>0</v>
      </c>
      <c r="P3498">
        <v>2.2999999999999998</v>
      </c>
      <c r="Q3498">
        <v>2480.5500000000002</v>
      </c>
      <c r="R3498">
        <v>0</v>
      </c>
      <c r="S3498">
        <v>0</v>
      </c>
      <c r="T3498" t="s">
        <v>52</v>
      </c>
      <c r="U3498">
        <v>0</v>
      </c>
      <c r="V3498">
        <v>0</v>
      </c>
      <c r="W3498">
        <v>400030</v>
      </c>
      <c r="X3498" t="s">
        <v>56</v>
      </c>
      <c r="Y3498" t="s">
        <v>57</v>
      </c>
      <c r="AE3498">
        <v>0</v>
      </c>
      <c r="AP3498" t="s">
        <v>92</v>
      </c>
    </row>
    <row r="3499" spans="1:42">
      <c r="G3499" s="16"/>
    </row>
    <row r="3500" spans="1:42">
      <c r="G3500" s="16"/>
    </row>
    <row r="3501" spans="1:42">
      <c r="G3501" s="16"/>
    </row>
    <row r="3502" spans="1:42">
      <c r="G3502" s="16"/>
    </row>
    <row r="3503" spans="1:42">
      <c r="G3503" s="16"/>
    </row>
    <row r="3504" spans="1:42">
      <c r="G3504" s="16"/>
    </row>
    <row r="3505" spans="1:42">
      <c r="G3505" s="16"/>
    </row>
    <row r="3506" spans="1:42">
      <c r="G3506" s="16"/>
    </row>
    <row r="3507" spans="1:42">
      <c r="G3507" s="16"/>
    </row>
    <row r="3508" spans="1:42">
      <c r="A3508" s="1" t="s">
        <v>46</v>
      </c>
      <c r="B3508" s="1" t="s">
        <v>6024</v>
      </c>
      <c r="C3508" s="1" t="s">
        <v>6024</v>
      </c>
      <c r="G3508" s="16"/>
      <c r="M3508">
        <v>1</v>
      </c>
      <c r="N3508">
        <v>1225</v>
      </c>
      <c r="O3508">
        <v>0</v>
      </c>
      <c r="P3508">
        <v>0.15</v>
      </c>
      <c r="Q3508">
        <v>183.75</v>
      </c>
      <c r="R3508">
        <v>0</v>
      </c>
      <c r="S3508">
        <v>0</v>
      </c>
      <c r="T3508" t="s">
        <v>52</v>
      </c>
      <c r="U3508">
        <v>0</v>
      </c>
      <c r="V3508">
        <v>0</v>
      </c>
      <c r="W3508">
        <v>400158</v>
      </c>
      <c r="X3508" t="s">
        <v>56</v>
      </c>
      <c r="Y3508" t="s">
        <v>57</v>
      </c>
      <c r="AE3508">
        <v>0</v>
      </c>
      <c r="AP3508" t="s">
        <v>61</v>
      </c>
    </row>
    <row r="3509" spans="1:42">
      <c r="G3509" s="16"/>
    </row>
    <row r="3510" spans="1:42">
      <c r="G3510" s="16"/>
    </row>
    <row r="3511" spans="1:42">
      <c r="A3511" s="1" t="s">
        <v>46</v>
      </c>
      <c r="B3511" s="1" t="s">
        <v>6025</v>
      </c>
      <c r="C3511" s="1" t="s">
        <v>6025</v>
      </c>
      <c r="G3511" s="16"/>
      <c r="I3511">
        <v>71.5</v>
      </c>
      <c r="M3511">
        <v>1</v>
      </c>
      <c r="N3511">
        <v>1</v>
      </c>
      <c r="O3511">
        <v>0</v>
      </c>
      <c r="P3511">
        <v>29.42</v>
      </c>
      <c r="Q3511">
        <v>29.42</v>
      </c>
      <c r="R3511" t="s">
        <v>107</v>
      </c>
      <c r="S3511">
        <v>0</v>
      </c>
      <c r="T3511" t="s">
        <v>52</v>
      </c>
      <c r="U3511">
        <v>0</v>
      </c>
      <c r="V3511">
        <v>0</v>
      </c>
      <c r="W3511">
        <v>400013</v>
      </c>
      <c r="AE3511">
        <v>0</v>
      </c>
      <c r="AH3511">
        <v>71.5</v>
      </c>
      <c r="AP3511" t="s">
        <v>232</v>
      </c>
    </row>
    <row r="3512" spans="1:42">
      <c r="A3512" s="1" t="s">
        <v>46</v>
      </c>
      <c r="B3512" s="1" t="s">
        <v>6026</v>
      </c>
      <c r="C3512" s="1" t="s">
        <v>6026</v>
      </c>
      <c r="G3512" s="16"/>
      <c r="I3512">
        <v>58.3</v>
      </c>
      <c r="M3512">
        <v>1</v>
      </c>
      <c r="N3512">
        <v>7</v>
      </c>
      <c r="O3512">
        <v>0</v>
      </c>
      <c r="P3512">
        <v>29.42</v>
      </c>
      <c r="Q3512">
        <v>205.9</v>
      </c>
      <c r="R3512" t="s">
        <v>107</v>
      </c>
      <c r="S3512">
        <v>0</v>
      </c>
      <c r="T3512" t="s">
        <v>52</v>
      </c>
      <c r="U3512">
        <v>0</v>
      </c>
      <c r="V3512">
        <v>0</v>
      </c>
      <c r="W3512">
        <v>400013</v>
      </c>
      <c r="AE3512">
        <v>0</v>
      </c>
      <c r="AH3512">
        <v>58.3</v>
      </c>
      <c r="AP3512" t="s">
        <v>232</v>
      </c>
    </row>
    <row r="3513" spans="1:42">
      <c r="G3513" s="16"/>
    </row>
    <row r="3514" spans="1:42">
      <c r="A3514" s="1" t="s">
        <v>46</v>
      </c>
      <c r="B3514" s="1" t="s">
        <v>6027</v>
      </c>
      <c r="C3514" s="1" t="s">
        <v>6027</v>
      </c>
      <c r="G3514" s="16"/>
      <c r="I3514">
        <v>63.8</v>
      </c>
      <c r="M3514">
        <v>1</v>
      </c>
      <c r="N3514">
        <v>2</v>
      </c>
      <c r="O3514">
        <v>0</v>
      </c>
      <c r="P3514">
        <v>29.42</v>
      </c>
      <c r="Q3514">
        <v>58.83</v>
      </c>
      <c r="R3514" t="s">
        <v>107</v>
      </c>
      <c r="S3514">
        <v>0</v>
      </c>
      <c r="T3514" t="s">
        <v>52</v>
      </c>
      <c r="U3514">
        <v>0</v>
      </c>
      <c r="V3514">
        <v>0</v>
      </c>
      <c r="W3514">
        <v>400013</v>
      </c>
      <c r="AE3514">
        <v>0</v>
      </c>
      <c r="AH3514">
        <v>63.8</v>
      </c>
      <c r="AP3514" t="s">
        <v>232</v>
      </c>
    </row>
    <row r="3515" spans="1:42">
      <c r="G3515" s="16"/>
    </row>
    <row r="3516" spans="1:42">
      <c r="A3516" s="1" t="s">
        <v>46</v>
      </c>
      <c r="B3516" s="1" t="s">
        <v>6028</v>
      </c>
      <c r="C3516" s="1" t="s">
        <v>6028</v>
      </c>
      <c r="G3516" s="16"/>
      <c r="I3516">
        <v>72.599999999999994</v>
      </c>
      <c r="M3516">
        <v>1</v>
      </c>
      <c r="N3516">
        <v>1</v>
      </c>
      <c r="O3516">
        <v>0</v>
      </c>
      <c r="P3516">
        <v>46.15</v>
      </c>
      <c r="Q3516">
        <v>46.15</v>
      </c>
      <c r="R3516" t="s">
        <v>107</v>
      </c>
      <c r="S3516">
        <v>0</v>
      </c>
      <c r="T3516" t="s">
        <v>52</v>
      </c>
      <c r="U3516">
        <v>0</v>
      </c>
      <c r="V3516">
        <v>0</v>
      </c>
      <c r="W3516">
        <v>400022</v>
      </c>
      <c r="AE3516">
        <v>0</v>
      </c>
      <c r="AH3516">
        <v>72.599999999999994</v>
      </c>
      <c r="AP3516" t="s">
        <v>3714</v>
      </c>
    </row>
    <row r="3517" spans="1:42">
      <c r="A3517" s="1" t="s">
        <v>46</v>
      </c>
      <c r="B3517" s="1" t="s">
        <v>6029</v>
      </c>
      <c r="C3517" s="1" t="s">
        <v>6029</v>
      </c>
      <c r="G3517" s="16"/>
      <c r="M3517">
        <v>1</v>
      </c>
      <c r="N3517">
        <v>23</v>
      </c>
      <c r="O3517">
        <v>0</v>
      </c>
      <c r="P3517">
        <v>4</v>
      </c>
      <c r="Q3517">
        <v>92</v>
      </c>
      <c r="R3517">
        <v>0</v>
      </c>
      <c r="S3517">
        <v>0</v>
      </c>
      <c r="T3517" t="s">
        <v>71</v>
      </c>
      <c r="W3517">
        <v>400133</v>
      </c>
      <c r="AE3517">
        <v>0</v>
      </c>
      <c r="AP3517" t="s">
        <v>4040</v>
      </c>
    </row>
    <row r="3518" spans="1:42">
      <c r="A3518" s="1" t="s">
        <v>46</v>
      </c>
      <c r="B3518" s="1" t="s">
        <v>6030</v>
      </c>
      <c r="C3518" s="1" t="s">
        <v>6030</v>
      </c>
      <c r="G3518" s="16"/>
      <c r="M3518">
        <v>1</v>
      </c>
      <c r="N3518">
        <v>2063</v>
      </c>
      <c r="O3518">
        <v>0</v>
      </c>
      <c r="P3518">
        <v>2.5</v>
      </c>
      <c r="Q3518">
        <v>5157.5</v>
      </c>
      <c r="R3518">
        <v>0</v>
      </c>
      <c r="S3518">
        <v>0</v>
      </c>
      <c r="T3518" t="s">
        <v>52</v>
      </c>
      <c r="U3518">
        <v>0</v>
      </c>
      <c r="V3518">
        <v>0</v>
      </c>
      <c r="W3518">
        <v>400091</v>
      </c>
      <c r="X3518" t="s">
        <v>56</v>
      </c>
      <c r="Y3518" t="s">
        <v>57</v>
      </c>
      <c r="AE3518">
        <v>0</v>
      </c>
      <c r="AP3518" t="s">
        <v>3931</v>
      </c>
    </row>
    <row r="3519" spans="1:42">
      <c r="G3519" s="16"/>
    </row>
    <row r="3520" spans="1:42">
      <c r="G3520" s="16"/>
    </row>
    <row r="3521" spans="1:42">
      <c r="G3521" s="16"/>
    </row>
    <row r="3522" spans="1:42">
      <c r="A3522" s="1" t="s">
        <v>46</v>
      </c>
      <c r="B3522" s="1" t="s">
        <v>6031</v>
      </c>
      <c r="C3522" s="1" t="s">
        <v>6031</v>
      </c>
      <c r="G3522" s="16"/>
      <c r="M3522">
        <v>1</v>
      </c>
      <c r="N3522">
        <v>-10</v>
      </c>
      <c r="O3522">
        <v>0</v>
      </c>
      <c r="AE3522">
        <v>0</v>
      </c>
    </row>
    <row r="3523" spans="1:42">
      <c r="A3523" s="1" t="s">
        <v>46</v>
      </c>
      <c r="B3523" s="1" t="s">
        <v>6032</v>
      </c>
      <c r="C3523" s="1" t="s">
        <v>6032</v>
      </c>
      <c r="G3523" s="16"/>
      <c r="M3523">
        <v>1</v>
      </c>
      <c r="N3523">
        <v>99</v>
      </c>
      <c r="O3523">
        <v>0</v>
      </c>
      <c r="P3523">
        <v>0.35</v>
      </c>
      <c r="Q3523">
        <v>34.65</v>
      </c>
      <c r="W3523">
        <v>400033</v>
      </c>
      <c r="AE3523">
        <v>0</v>
      </c>
      <c r="AP3523" t="s">
        <v>126</v>
      </c>
    </row>
    <row r="3524" spans="1:42">
      <c r="A3524" s="1" t="s">
        <v>46</v>
      </c>
      <c r="B3524" s="1" t="s">
        <v>6033</v>
      </c>
      <c r="C3524" s="1" t="s">
        <v>6033</v>
      </c>
      <c r="G3524" s="16"/>
      <c r="M3524">
        <v>1</v>
      </c>
      <c r="N3524">
        <v>5</v>
      </c>
      <c r="O3524">
        <v>0</v>
      </c>
      <c r="P3524">
        <v>1.5</v>
      </c>
      <c r="Q3524">
        <v>7.5</v>
      </c>
      <c r="R3524">
        <v>0</v>
      </c>
      <c r="S3524">
        <v>0</v>
      </c>
      <c r="T3524" t="s">
        <v>52</v>
      </c>
      <c r="W3524">
        <v>400140</v>
      </c>
      <c r="AE3524">
        <v>0</v>
      </c>
      <c r="AP3524" t="s">
        <v>4033</v>
      </c>
    </row>
    <row r="3525" spans="1:42">
      <c r="A3525" s="1" t="s">
        <v>46</v>
      </c>
      <c r="B3525" s="1" t="s">
        <v>6034</v>
      </c>
      <c r="C3525" s="1" t="s">
        <v>6034</v>
      </c>
      <c r="G3525" s="16"/>
      <c r="M3525">
        <v>1</v>
      </c>
      <c r="N3525">
        <v>5</v>
      </c>
      <c r="O3525">
        <v>0</v>
      </c>
      <c r="P3525">
        <v>2</v>
      </c>
      <c r="Q3525">
        <v>10</v>
      </c>
      <c r="R3525">
        <v>0</v>
      </c>
      <c r="S3525">
        <v>0</v>
      </c>
      <c r="T3525" t="s">
        <v>52</v>
      </c>
      <c r="W3525">
        <v>400140</v>
      </c>
      <c r="AE3525">
        <v>0</v>
      </c>
      <c r="AP3525" t="s">
        <v>4033</v>
      </c>
    </row>
    <row r="3526" spans="1:42">
      <c r="A3526" s="1" t="s">
        <v>46</v>
      </c>
      <c r="B3526" s="1" t="s">
        <v>6035</v>
      </c>
      <c r="C3526" s="1" t="s">
        <v>6035</v>
      </c>
      <c r="G3526" s="16"/>
      <c r="M3526">
        <v>1</v>
      </c>
      <c r="N3526">
        <v>50</v>
      </c>
      <c r="O3526">
        <v>0</v>
      </c>
      <c r="P3526">
        <v>2.25</v>
      </c>
      <c r="Q3526">
        <v>112.5</v>
      </c>
      <c r="R3526">
        <v>0</v>
      </c>
      <c r="S3526">
        <v>0</v>
      </c>
      <c r="T3526" t="s">
        <v>52</v>
      </c>
      <c r="U3526" t="s">
        <v>52</v>
      </c>
      <c r="V3526">
        <v>0</v>
      </c>
      <c r="W3526">
        <v>400158</v>
      </c>
      <c r="AE3526">
        <v>0</v>
      </c>
      <c r="AP3526" t="s">
        <v>61</v>
      </c>
    </row>
    <row r="3527" spans="1:42">
      <c r="A3527" s="1" t="s">
        <v>46</v>
      </c>
      <c r="B3527" s="1" t="s">
        <v>6036</v>
      </c>
      <c r="C3527" s="1" t="s">
        <v>6036</v>
      </c>
      <c r="G3527" s="16"/>
      <c r="M3527">
        <v>1</v>
      </c>
      <c r="N3527">
        <v>-5</v>
      </c>
      <c r="O3527">
        <v>0</v>
      </c>
      <c r="R3527">
        <v>0</v>
      </c>
      <c r="S3527">
        <v>0</v>
      </c>
      <c r="T3527" t="s">
        <v>52</v>
      </c>
      <c r="U3527">
        <v>0</v>
      </c>
      <c r="V3527">
        <v>0</v>
      </c>
      <c r="W3527">
        <v>400033</v>
      </c>
      <c r="X3527" t="s">
        <v>56</v>
      </c>
      <c r="Y3527" t="s">
        <v>57</v>
      </c>
      <c r="AE3527">
        <v>0</v>
      </c>
      <c r="AP3527" t="s">
        <v>126</v>
      </c>
    </row>
    <row r="3528" spans="1:42">
      <c r="A3528" s="1" t="s">
        <v>46</v>
      </c>
      <c r="B3528" s="1" t="s">
        <v>6037</v>
      </c>
      <c r="C3528" s="1" t="s">
        <v>6037</v>
      </c>
      <c r="G3528" s="16"/>
      <c r="M3528">
        <v>1</v>
      </c>
      <c r="N3528">
        <v>4</v>
      </c>
      <c r="O3528">
        <v>0</v>
      </c>
      <c r="P3528">
        <v>6.7</v>
      </c>
      <c r="Q3528">
        <v>26.8</v>
      </c>
      <c r="R3528">
        <v>0</v>
      </c>
      <c r="S3528">
        <v>0</v>
      </c>
      <c r="T3528" t="s">
        <v>52</v>
      </c>
      <c r="U3528">
        <v>0</v>
      </c>
      <c r="V3528">
        <v>0</v>
      </c>
      <c r="W3528">
        <v>400033</v>
      </c>
      <c r="X3528" t="s">
        <v>56</v>
      </c>
      <c r="Y3528" t="s">
        <v>57</v>
      </c>
      <c r="AE3528">
        <v>0</v>
      </c>
      <c r="AP3528" t="s">
        <v>126</v>
      </c>
    </row>
    <row r="3529" spans="1:42">
      <c r="A3529" s="1" t="s">
        <v>46</v>
      </c>
      <c r="B3529" s="1" t="s">
        <v>6038</v>
      </c>
      <c r="C3529" s="1" t="s">
        <v>6038</v>
      </c>
      <c r="G3529" s="16"/>
      <c r="M3529">
        <v>1</v>
      </c>
      <c r="N3529">
        <v>3</v>
      </c>
      <c r="O3529">
        <v>0</v>
      </c>
      <c r="P3529">
        <v>35</v>
      </c>
      <c r="Q3529">
        <v>105</v>
      </c>
      <c r="W3529">
        <v>400130</v>
      </c>
      <c r="AE3529">
        <v>0</v>
      </c>
      <c r="AP3529" t="s">
        <v>139</v>
      </c>
    </row>
    <row r="3530" spans="1:42">
      <c r="A3530" s="1" t="s">
        <v>46</v>
      </c>
      <c r="B3530" s="1" t="s">
        <v>6039</v>
      </c>
      <c r="C3530" s="1" t="s">
        <v>6039</v>
      </c>
      <c r="G3530" s="16"/>
      <c r="M3530">
        <v>1</v>
      </c>
      <c r="N3530">
        <v>6</v>
      </c>
      <c r="O3530">
        <v>0</v>
      </c>
      <c r="P3530">
        <v>1.75</v>
      </c>
      <c r="Q3530">
        <v>10.5</v>
      </c>
      <c r="R3530">
        <v>0</v>
      </c>
      <c r="S3530">
        <v>0</v>
      </c>
      <c r="T3530" t="s">
        <v>52</v>
      </c>
      <c r="U3530">
        <v>0</v>
      </c>
      <c r="V3530">
        <v>0</v>
      </c>
      <c r="W3530">
        <v>400017</v>
      </c>
      <c r="X3530" t="s">
        <v>56</v>
      </c>
      <c r="Y3530" t="s">
        <v>57</v>
      </c>
      <c r="AE3530">
        <v>0</v>
      </c>
      <c r="AP3530" t="s">
        <v>49</v>
      </c>
    </row>
    <row r="3531" spans="1:42">
      <c r="A3531" s="1" t="s">
        <v>46</v>
      </c>
      <c r="B3531" s="1" t="s">
        <v>6040</v>
      </c>
      <c r="C3531" s="1" t="s">
        <v>6040</v>
      </c>
      <c r="G3531" s="16"/>
      <c r="M3531">
        <v>1</v>
      </c>
      <c r="N3531">
        <v>319</v>
      </c>
      <c r="O3531">
        <v>0</v>
      </c>
      <c r="P3531">
        <v>0.1</v>
      </c>
      <c r="Q3531">
        <v>31.9</v>
      </c>
      <c r="R3531">
        <v>0</v>
      </c>
      <c r="S3531">
        <v>0</v>
      </c>
      <c r="T3531" t="s">
        <v>52</v>
      </c>
      <c r="U3531">
        <v>0</v>
      </c>
      <c r="V3531">
        <v>0</v>
      </c>
      <c r="W3531">
        <v>400032</v>
      </c>
      <c r="X3531" t="s">
        <v>56</v>
      </c>
      <c r="Y3531" t="s">
        <v>57</v>
      </c>
      <c r="AE3531">
        <v>0</v>
      </c>
      <c r="AP3531" t="s">
        <v>404</v>
      </c>
    </row>
    <row r="3532" spans="1:42">
      <c r="A3532" s="1" t="s">
        <v>46</v>
      </c>
      <c r="B3532" s="1" t="s">
        <v>6041</v>
      </c>
      <c r="C3532" s="1" t="s">
        <v>6041</v>
      </c>
      <c r="G3532" s="16"/>
      <c r="M3532">
        <v>1</v>
      </c>
      <c r="N3532">
        <v>-2743</v>
      </c>
      <c r="O3532">
        <v>0</v>
      </c>
      <c r="P3532">
        <v>13.5</v>
      </c>
      <c r="Q3532">
        <v>-37030.5</v>
      </c>
      <c r="R3532">
        <v>0</v>
      </c>
      <c r="S3532">
        <v>0</v>
      </c>
      <c r="T3532" t="s">
        <v>52</v>
      </c>
      <c r="U3532">
        <v>0</v>
      </c>
      <c r="V3532">
        <v>0</v>
      </c>
      <c r="W3532">
        <v>400091</v>
      </c>
      <c r="X3532" t="s">
        <v>56</v>
      </c>
      <c r="Y3532" t="s">
        <v>57</v>
      </c>
      <c r="AE3532">
        <v>0</v>
      </c>
      <c r="AP3532" t="s">
        <v>3931</v>
      </c>
    </row>
    <row r="3533" spans="1:42">
      <c r="A3533" s="1" t="s">
        <v>46</v>
      </c>
      <c r="B3533" s="1" t="s">
        <v>6042</v>
      </c>
      <c r="C3533" s="1" t="s">
        <v>6042</v>
      </c>
      <c r="G3533" s="16"/>
      <c r="M3533">
        <v>1</v>
      </c>
      <c r="N3533">
        <v>127</v>
      </c>
      <c r="O3533">
        <v>0</v>
      </c>
      <c r="P3533">
        <v>0.25</v>
      </c>
      <c r="Q3533">
        <v>31.75</v>
      </c>
      <c r="R3533">
        <v>0</v>
      </c>
      <c r="S3533">
        <v>0</v>
      </c>
      <c r="T3533" t="s">
        <v>52</v>
      </c>
      <c r="U3533">
        <v>0</v>
      </c>
      <c r="V3533">
        <v>0</v>
      </c>
      <c r="W3533">
        <v>400017</v>
      </c>
      <c r="X3533" t="s">
        <v>56</v>
      </c>
      <c r="Y3533" t="s">
        <v>57</v>
      </c>
      <c r="AE3533">
        <v>0</v>
      </c>
      <c r="AP3533" t="s">
        <v>49</v>
      </c>
    </row>
    <row r="3534" spans="1:42">
      <c r="A3534" s="1" t="s">
        <v>46</v>
      </c>
      <c r="B3534" s="1" t="s">
        <v>6043</v>
      </c>
      <c r="C3534" s="1" t="s">
        <v>6043</v>
      </c>
      <c r="G3534" s="16"/>
      <c r="M3534">
        <v>1</v>
      </c>
      <c r="N3534">
        <v>10</v>
      </c>
      <c r="O3534">
        <v>0</v>
      </c>
      <c r="P3534">
        <v>0.25</v>
      </c>
      <c r="Q3534">
        <v>2.5</v>
      </c>
      <c r="R3534">
        <v>0</v>
      </c>
      <c r="S3534">
        <v>0</v>
      </c>
      <c r="T3534" t="s">
        <v>52</v>
      </c>
      <c r="U3534">
        <v>0</v>
      </c>
      <c r="V3534">
        <v>0</v>
      </c>
      <c r="W3534">
        <v>400080</v>
      </c>
      <c r="X3534" t="s">
        <v>56</v>
      </c>
      <c r="Y3534" t="s">
        <v>57</v>
      </c>
      <c r="AE3534">
        <v>0</v>
      </c>
      <c r="AP3534" t="s">
        <v>696</v>
      </c>
    </row>
    <row r="3535" spans="1:42">
      <c r="G3535" s="16"/>
    </row>
    <row r="3536" spans="1:42">
      <c r="G3536" s="16"/>
    </row>
    <row r="3537" spans="1:42">
      <c r="G3537" s="16"/>
    </row>
    <row r="3538" spans="1:42">
      <c r="G3538" s="16"/>
    </row>
    <row r="3539" spans="1:42">
      <c r="G3539" s="16"/>
    </row>
    <row r="3540" spans="1:42">
      <c r="G3540" s="16"/>
    </row>
    <row r="3541" spans="1:42">
      <c r="G3541" s="16"/>
    </row>
    <row r="3542" spans="1:42">
      <c r="G3542" s="16"/>
    </row>
    <row r="3543" spans="1:42">
      <c r="G3543" s="16"/>
    </row>
    <row r="3544" spans="1:42">
      <c r="G3544" s="16"/>
    </row>
    <row r="3545" spans="1:42">
      <c r="G3545" s="16"/>
    </row>
    <row r="3546" spans="1:42">
      <c r="G3546" s="16"/>
    </row>
    <row r="3547" spans="1:42">
      <c r="G3547" s="16"/>
    </row>
    <row r="3548" spans="1:42">
      <c r="G3548" s="16"/>
    </row>
    <row r="3549" spans="1:42">
      <c r="A3549" s="1" t="s">
        <v>46</v>
      </c>
      <c r="B3549" s="1" t="s">
        <v>6044</v>
      </c>
      <c r="C3549" s="1" t="s">
        <v>6044</v>
      </c>
      <c r="G3549" s="16"/>
      <c r="M3549">
        <v>1</v>
      </c>
      <c r="N3549">
        <v>42</v>
      </c>
      <c r="O3549">
        <v>0</v>
      </c>
      <c r="P3549">
        <v>0.76</v>
      </c>
      <c r="Q3549">
        <v>31.89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400013</v>
      </c>
      <c r="X3549" t="s">
        <v>56</v>
      </c>
      <c r="Y3549" t="s">
        <v>57</v>
      </c>
      <c r="AE3549">
        <v>0</v>
      </c>
      <c r="AP3549" t="s">
        <v>232</v>
      </c>
    </row>
    <row r="3550" spans="1:42">
      <c r="G3550" s="16"/>
    </row>
    <row r="3551" spans="1:42">
      <c r="G3551" s="16"/>
    </row>
    <row r="3552" spans="1:42">
      <c r="G3552" s="16"/>
    </row>
    <row r="3553" spans="1:31">
      <c r="G3553" s="16"/>
    </row>
    <row r="3554" spans="1:31">
      <c r="G3554" s="16"/>
    </row>
    <row r="3555" spans="1:31">
      <c r="G3555" s="16"/>
    </row>
    <row r="3556" spans="1:31">
      <c r="G3556" s="16"/>
    </row>
    <row r="3557" spans="1:31">
      <c r="G3557" s="16"/>
    </row>
    <row r="3558" spans="1:31">
      <c r="A3558" s="1" t="s">
        <v>46</v>
      </c>
      <c r="B3558" s="1" t="s">
        <v>6045</v>
      </c>
      <c r="C3558" s="1" t="s">
        <v>6045</v>
      </c>
      <c r="G3558" s="16"/>
      <c r="M3558">
        <v>1</v>
      </c>
      <c r="N3558">
        <v>-1</v>
      </c>
      <c r="O3558">
        <v>0</v>
      </c>
      <c r="AE3558">
        <v>0</v>
      </c>
    </row>
    <row r="3559" spans="1:31">
      <c r="G3559" s="16"/>
    </row>
    <row r="3560" spans="1:31">
      <c r="G3560" s="16"/>
    </row>
    <row r="3561" spans="1:31">
      <c r="G3561" s="16"/>
    </row>
    <row r="3562" spans="1:31">
      <c r="G3562" s="16"/>
    </row>
    <row r="3563" spans="1:31">
      <c r="G3563" s="16"/>
    </row>
    <row r="3564" spans="1:31">
      <c r="G3564" s="16"/>
    </row>
    <row r="3565" spans="1:31">
      <c r="G3565" s="16"/>
    </row>
    <row r="3566" spans="1:31">
      <c r="G3566" s="16"/>
    </row>
    <row r="3567" spans="1:31">
      <c r="G3567" s="16"/>
    </row>
    <row r="3568" spans="1:31">
      <c r="G3568" s="16"/>
    </row>
    <row r="3569" spans="1:42">
      <c r="G3569" s="16"/>
    </row>
    <row r="3570" spans="1:42">
      <c r="G3570" s="16"/>
    </row>
    <row r="3571" spans="1:42">
      <c r="G3571" s="16"/>
    </row>
    <row r="3572" spans="1:42">
      <c r="G3572" s="16"/>
    </row>
    <row r="3573" spans="1:42">
      <c r="A3573" s="1" t="s">
        <v>46</v>
      </c>
      <c r="B3573" s="1" t="s">
        <v>6046</v>
      </c>
      <c r="C3573" s="1" t="s">
        <v>6046</v>
      </c>
      <c r="G3573" s="16"/>
      <c r="M3573">
        <v>1</v>
      </c>
      <c r="N3573">
        <v>30</v>
      </c>
      <c r="O3573">
        <v>0</v>
      </c>
      <c r="P3573">
        <v>0.57999999999999996</v>
      </c>
      <c r="Q3573">
        <v>17.399999999999999</v>
      </c>
      <c r="R3573" t="s">
        <v>241</v>
      </c>
      <c r="S3573">
        <v>0</v>
      </c>
      <c r="T3573" t="s">
        <v>209</v>
      </c>
      <c r="U3573">
        <v>0</v>
      </c>
      <c r="V3573">
        <v>0</v>
      </c>
      <c r="W3573">
        <v>400061</v>
      </c>
      <c r="X3573" t="s">
        <v>56</v>
      </c>
      <c r="Y3573" t="s">
        <v>57</v>
      </c>
      <c r="AE3573">
        <v>0</v>
      </c>
      <c r="AP3573" t="s">
        <v>169</v>
      </c>
    </row>
    <row r="3574" spans="1:42">
      <c r="G3574" s="16"/>
    </row>
    <row r="3575" spans="1:42">
      <c r="G3575" s="16"/>
    </row>
    <row r="3576" spans="1:42">
      <c r="A3576" s="1" t="s">
        <v>46</v>
      </c>
      <c r="B3576" s="1" t="s">
        <v>6047</v>
      </c>
      <c r="C3576" s="1" t="s">
        <v>6047</v>
      </c>
      <c r="G3576" s="16"/>
      <c r="M3576">
        <v>1</v>
      </c>
      <c r="N3576">
        <v>470</v>
      </c>
      <c r="O3576">
        <v>0</v>
      </c>
      <c r="P3576">
        <v>0.75</v>
      </c>
      <c r="Q3576">
        <v>352.5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400112</v>
      </c>
      <c r="X3576" t="s">
        <v>56</v>
      </c>
      <c r="Y3576" t="s">
        <v>57</v>
      </c>
      <c r="AE3576">
        <v>0</v>
      </c>
      <c r="AP3576" t="s">
        <v>220</v>
      </c>
    </row>
    <row r="3577" spans="1:42">
      <c r="G3577" s="16"/>
    </row>
    <row r="3578" spans="1:42">
      <c r="G3578" s="16"/>
    </row>
    <row r="3579" spans="1:42">
      <c r="G3579" s="16"/>
    </row>
    <row r="3580" spans="1:42">
      <c r="G3580" s="16"/>
    </row>
    <row r="3581" spans="1:42">
      <c r="G3581" s="16"/>
    </row>
    <row r="3582" spans="1:42">
      <c r="G3582" s="16"/>
    </row>
    <row r="3583" spans="1:42">
      <c r="G3583" s="16"/>
    </row>
    <row r="3584" spans="1:42">
      <c r="G3584" s="16"/>
    </row>
    <row r="3585" spans="1:42">
      <c r="G3585" s="16"/>
    </row>
    <row r="3586" spans="1:42">
      <c r="G3586" s="16"/>
    </row>
    <row r="3587" spans="1:42">
      <c r="G3587" s="16"/>
    </row>
    <row r="3588" spans="1:42">
      <c r="G3588" s="16"/>
    </row>
    <row r="3589" spans="1:42">
      <c r="G3589" s="16"/>
    </row>
    <row r="3590" spans="1:42">
      <c r="G3590" s="16"/>
    </row>
    <row r="3591" spans="1:42">
      <c r="A3591" s="1" t="s">
        <v>46</v>
      </c>
      <c r="B3591" s="1" t="s">
        <v>6048</v>
      </c>
      <c r="C3591" s="1" t="s">
        <v>6048</v>
      </c>
      <c r="G3591" s="16"/>
      <c r="M3591">
        <v>1</v>
      </c>
      <c r="N3591">
        <v>1960</v>
      </c>
      <c r="O3591">
        <v>0</v>
      </c>
      <c r="P3591">
        <v>1.9</v>
      </c>
      <c r="Q3591">
        <v>3724</v>
      </c>
      <c r="R3591">
        <v>0</v>
      </c>
      <c r="S3591">
        <v>0</v>
      </c>
      <c r="T3591" t="s">
        <v>52</v>
      </c>
      <c r="U3591">
        <v>0</v>
      </c>
      <c r="V3591">
        <v>0</v>
      </c>
      <c r="W3591">
        <v>400194</v>
      </c>
      <c r="X3591" t="s">
        <v>56</v>
      </c>
      <c r="Y3591" t="s">
        <v>57</v>
      </c>
      <c r="AE3591">
        <v>0</v>
      </c>
      <c r="AP3591" t="s">
        <v>173</v>
      </c>
    </row>
    <row r="3592" spans="1:42">
      <c r="A3592" s="1" t="s">
        <v>46</v>
      </c>
      <c r="B3592" s="1" t="s">
        <v>6049</v>
      </c>
      <c r="C3592" s="1" t="s">
        <v>6049</v>
      </c>
      <c r="G3592" s="16"/>
      <c r="M3592">
        <v>1</v>
      </c>
      <c r="N3592">
        <v>163</v>
      </c>
      <c r="O3592">
        <v>0</v>
      </c>
      <c r="P3592">
        <v>7.0000000000000007E-2</v>
      </c>
      <c r="Q3592">
        <v>11.41</v>
      </c>
      <c r="R3592">
        <v>0</v>
      </c>
      <c r="S3592">
        <v>0</v>
      </c>
      <c r="T3592" t="s">
        <v>52</v>
      </c>
      <c r="W3592">
        <v>400017</v>
      </c>
      <c r="AE3592">
        <v>0</v>
      </c>
      <c r="AP3592" t="s">
        <v>49</v>
      </c>
    </row>
    <row r="3593" spans="1:42">
      <c r="A3593" s="1" t="s">
        <v>46</v>
      </c>
      <c r="B3593" s="1" t="s">
        <v>6050</v>
      </c>
      <c r="C3593" s="1" t="s">
        <v>6050</v>
      </c>
      <c r="G3593" s="16"/>
      <c r="M3593">
        <v>1</v>
      </c>
      <c r="N3593">
        <v>111</v>
      </c>
      <c r="O3593">
        <v>0</v>
      </c>
      <c r="P3593">
        <v>1.75</v>
      </c>
      <c r="Q3593">
        <v>194.25</v>
      </c>
      <c r="R3593">
        <v>0</v>
      </c>
      <c r="S3593">
        <v>0</v>
      </c>
      <c r="T3593" t="s">
        <v>52</v>
      </c>
      <c r="U3593" t="s">
        <v>52</v>
      </c>
      <c r="V3593">
        <v>0</v>
      </c>
      <c r="W3593">
        <v>400158</v>
      </c>
      <c r="X3593" t="s">
        <v>56</v>
      </c>
      <c r="Y3593" t="s">
        <v>57</v>
      </c>
      <c r="AE3593">
        <v>0</v>
      </c>
      <c r="AP3593" t="s">
        <v>61</v>
      </c>
    </row>
    <row r="3594" spans="1:42">
      <c r="A3594" s="1" t="s">
        <v>46</v>
      </c>
      <c r="B3594" s="1" t="s">
        <v>6051</v>
      </c>
      <c r="C3594" s="1" t="s">
        <v>6051</v>
      </c>
      <c r="G3594" s="16"/>
      <c r="M3594">
        <v>1</v>
      </c>
      <c r="N3594">
        <v>53</v>
      </c>
      <c r="O3594">
        <v>0</v>
      </c>
      <c r="P3594">
        <v>5</v>
      </c>
      <c r="Q3594">
        <v>265</v>
      </c>
      <c r="R3594">
        <v>0</v>
      </c>
      <c r="S3594">
        <v>0</v>
      </c>
      <c r="T3594" t="s">
        <v>52</v>
      </c>
      <c r="U3594">
        <v>0</v>
      </c>
      <c r="V3594">
        <v>0</v>
      </c>
      <c r="W3594">
        <v>400017</v>
      </c>
      <c r="X3594" t="s">
        <v>56</v>
      </c>
      <c r="Y3594" t="s">
        <v>57</v>
      </c>
      <c r="AE3594">
        <v>0</v>
      </c>
      <c r="AP3594" t="s">
        <v>49</v>
      </c>
    </row>
    <row r="3595" spans="1:42">
      <c r="A3595" s="1" t="s">
        <v>46</v>
      </c>
      <c r="B3595" s="1" t="s">
        <v>6052</v>
      </c>
      <c r="C3595" s="1" t="s">
        <v>6052</v>
      </c>
      <c r="G3595" s="16"/>
      <c r="M3595">
        <v>1</v>
      </c>
      <c r="N3595">
        <v>1</v>
      </c>
      <c r="O3595">
        <v>0</v>
      </c>
      <c r="P3595">
        <v>16.8</v>
      </c>
      <c r="Q3595">
        <v>16.8</v>
      </c>
      <c r="R3595">
        <v>0</v>
      </c>
      <c r="S3595">
        <v>0</v>
      </c>
      <c r="T3595" t="s">
        <v>52</v>
      </c>
      <c r="U3595">
        <v>0</v>
      </c>
      <c r="V3595">
        <v>0</v>
      </c>
      <c r="W3595">
        <v>400032</v>
      </c>
      <c r="X3595" t="s">
        <v>56</v>
      </c>
      <c r="Y3595" t="s">
        <v>57</v>
      </c>
      <c r="AE3595">
        <v>0</v>
      </c>
      <c r="AP3595" t="s">
        <v>404</v>
      </c>
    </row>
    <row r="3596" spans="1:42">
      <c r="G3596"/>
    </row>
    <row r="3597" spans="1:42">
      <c r="G3597"/>
    </row>
    <row r="3598" spans="1:42">
      <c r="G3598"/>
    </row>
    <row r="3599" spans="1:42">
      <c r="G3599"/>
    </row>
    <row r="3600" spans="1:42">
      <c r="G3600"/>
    </row>
    <row r="3601" spans="7:7">
      <c r="G3601"/>
    </row>
    <row r="3602" spans="7:7">
      <c r="G3602"/>
    </row>
    <row r="3603" spans="7:7">
      <c r="G3603"/>
    </row>
    <row r="3604" spans="7:7">
      <c r="G3604"/>
    </row>
    <row r="3605" spans="7:7">
      <c r="G3605"/>
    </row>
    <row r="3606" spans="7:7">
      <c r="G3606"/>
    </row>
    <row r="3607" spans="7:7">
      <c r="G3607"/>
    </row>
    <row r="3608" spans="7:7">
      <c r="G3608"/>
    </row>
    <row r="3609" spans="7:7">
      <c r="G3609"/>
    </row>
    <row r="3610" spans="7:7">
      <c r="G3610"/>
    </row>
    <row r="3611" spans="7:7">
      <c r="G3611"/>
    </row>
    <row r="3612" spans="7:7">
      <c r="G3612"/>
    </row>
    <row r="3613" spans="7:7">
      <c r="G3613"/>
    </row>
    <row r="3614" spans="7:7">
      <c r="G3614"/>
    </row>
    <row r="3615" spans="7:7">
      <c r="G3615"/>
    </row>
    <row r="3616" spans="7:7">
      <c r="G3616"/>
    </row>
    <row r="3617" spans="7:7">
      <c r="G3617"/>
    </row>
    <row r="3618" spans="7:7">
      <c r="G3618"/>
    </row>
    <row r="3619" spans="7:7">
      <c r="G3619"/>
    </row>
    <row r="3620" spans="7:7">
      <c r="G3620"/>
    </row>
    <row r="3621" spans="7:7">
      <c r="G3621"/>
    </row>
    <row r="3622" spans="7:7">
      <c r="G3622"/>
    </row>
    <row r="3623" spans="7:7">
      <c r="G3623"/>
    </row>
    <row r="3624" spans="7:7">
      <c r="G3624"/>
    </row>
    <row r="3625" spans="7:7">
      <c r="G3625"/>
    </row>
    <row r="3626" spans="7:7">
      <c r="G3626"/>
    </row>
    <row r="3627" spans="7:7">
      <c r="G3627"/>
    </row>
    <row r="3628" spans="7:7">
      <c r="G3628"/>
    </row>
    <row r="3629" spans="7:7">
      <c r="G3629"/>
    </row>
    <row r="3630" spans="7:7">
      <c r="G3630"/>
    </row>
    <row r="3631" spans="7:7">
      <c r="G3631"/>
    </row>
    <row r="3632" spans="7:7">
      <c r="G3632"/>
    </row>
    <row r="3633" spans="7:7">
      <c r="G3633"/>
    </row>
    <row r="3634" spans="7:7">
      <c r="G3634"/>
    </row>
    <row r="3635" spans="7:7">
      <c r="G3635"/>
    </row>
    <row r="3636" spans="7:7">
      <c r="G3636"/>
    </row>
    <row r="3637" spans="7:7">
      <c r="G3637"/>
    </row>
    <row r="3638" spans="7:7">
      <c r="G3638"/>
    </row>
    <row r="3639" spans="7:7">
      <c r="G3639"/>
    </row>
    <row r="3640" spans="7:7">
      <c r="G3640"/>
    </row>
    <row r="3641" spans="7:7">
      <c r="G3641"/>
    </row>
    <row r="3642" spans="7:7">
      <c r="G3642"/>
    </row>
    <row r="3643" spans="7:7">
      <c r="G3643"/>
    </row>
    <row r="3644" spans="7:7">
      <c r="G3644"/>
    </row>
    <row r="3645" spans="7:7">
      <c r="G3645"/>
    </row>
    <row r="3646" spans="7:7">
      <c r="G3646"/>
    </row>
    <row r="3647" spans="7:7" ht="15"/>
    <row r="3648" spans="7:7" ht="15"/>
    <row r="3649" ht="15"/>
    <row r="3650" ht="15"/>
    <row r="3651" ht="15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4D68D-014B-41E9-9AFC-FD6CA5D7DB49}">
  <sheetPr codeName="Sheet2"/>
  <dimension ref="A1:C500"/>
  <sheetViews>
    <sheetView rightToLeft="1" zoomScaleNormal="100" workbookViewId="0">
      <selection activeCell="B10" sqref="B10"/>
    </sheetView>
  </sheetViews>
  <sheetFormatPr defaultColWidth="9.140625" defaultRowHeight="18"/>
  <cols>
    <col min="1" max="1" width="21.28515625" style="6" customWidth="1"/>
    <col min="2" max="2" width="63.85546875" style="6" customWidth="1"/>
    <col min="3" max="3" width="14.5703125" style="6" customWidth="1"/>
    <col min="4" max="48" width="9.42578125" style="7" customWidth="1"/>
    <col min="49" max="16384" width="9.140625" style="7"/>
  </cols>
  <sheetData>
    <row r="1" spans="1:3" ht="21">
      <c r="A1" s="8" t="s">
        <v>6053</v>
      </c>
      <c r="B1" s="7"/>
      <c r="C1" s="7"/>
    </row>
    <row r="2" spans="1:3" ht="21">
      <c r="A2" s="8">
        <v>63</v>
      </c>
      <c r="B2" s="7"/>
      <c r="C2" s="7"/>
    </row>
    <row r="3" spans="1:3" ht="21">
      <c r="A3" s="11"/>
      <c r="B3" s="7"/>
      <c r="C3" s="7"/>
    </row>
    <row r="4" spans="1:3" ht="21">
      <c r="A4" s="8"/>
      <c r="B4" s="7"/>
      <c r="C4" s="7"/>
    </row>
    <row r="5" spans="1:3" ht="21">
      <c r="A5" s="8"/>
      <c r="B5" s="7"/>
      <c r="C5" s="7"/>
    </row>
    <row r="6" spans="1:3" ht="21">
      <c r="A6" s="8"/>
      <c r="B6" s="7"/>
      <c r="C6" s="7"/>
    </row>
    <row r="7" spans="1:3">
      <c r="A7" s="6" t="str" cm="1">
        <f t="array" ref="A7:A14">_xlfn.LET(_xlpm.words, _xlfn._xlws.FILTER(A1:A6, A1:A6&lt;&gt;""),
  _xlfn._xlws.FILTER((الاصناف!E:E&amp;"|"&amp;الاصناف!G:G),
    _xlfn.BYROW(الاصناف!E:E, _xlfn.LAMBDA(_xlpm.name, AND(ISNUMBER(SEARCH(_xlpm.words, _xlpm.name))))),
    "لا نتائج"))</f>
        <v>قسطل المنيوم تلحيم 63 ملم اخضر تركي|</v>
      </c>
      <c r="B7" s="6" t="str">
        <f>IF(A7="","",HYPERLINK("#الاصناف!E"&amp;MATCH(LEFT(A7,FIND("|",A7)-1),الاصناف!E:E,0),"✏️ " &amp; LEFT(A7,FIND("|",A7)-1)))</f>
        <v>✏️ قسطل المنيوم تلحيم 63 ملم اخضر تركي</v>
      </c>
      <c r="C7" s="6" t="str">
        <f>IF(A7="","",HYPERLINK("#الاصناف!G"&amp;MATCH(LEFT(A7,FIND("|",A7)-1),الاصناف!E:E,0),"💰 " &amp; RIGHT(A7,LEN(A7)-FIND("|",A7)) &amp; " $"))</f>
        <v>💰  $</v>
      </c>
    </row>
    <row r="8" spans="1:3">
      <c r="A8" s="6" t="str">
        <v>قسطل المنيوم تلحيم 63 ملم اسود تركي|</v>
      </c>
      <c r="B8" s="6" t="str">
        <f>IF(A8="","",HYPERLINK("#الاصناف!E"&amp;MATCH(LEFT(A8,FIND("|",A8)-1),الاصناف!E:E,0),"✏️ " &amp; LEFT(A8,FIND("|",A8)-1)))</f>
        <v>✏️ قسطل المنيوم تلحيم 63 ملم اسود تركي</v>
      </c>
      <c r="C8" s="6" t="str">
        <f>IF(A8="","",HYPERLINK("#الاصناف!G"&amp;MATCH(LEFT(A8,FIND("|",A8)-1),الاصناف!E:E,0),"💰 " &amp; RIGHT(A8,LEN(A8)-FIND("|",A8)) &amp; " $"))</f>
        <v>💰  $</v>
      </c>
    </row>
    <row r="9" spans="1:3">
      <c r="A9" s="6" t="str">
        <v>قسطل تلحيم 63 ملم ابيض تركي|</v>
      </c>
      <c r="B9" s="6" t="str">
        <f>IF(A9="","",HYPERLINK("#الاصناف!E"&amp;MATCH(LEFT(A9,FIND("|",A9)-1),الاصناف!E:E,0),"✏️ " &amp; LEFT(A9,FIND("|",A9)-1)))</f>
        <v>✏️ قسطل تلحيم 63 ملم ابيض تركي</v>
      </c>
      <c r="C9" s="6" t="str">
        <f>IF(A9="","",HYPERLINK("#الاصناف!G"&amp;MATCH(LEFT(A9,FIND("|",A9)-1),الاصناف!E:E,0),"💰 " &amp; RIGHT(A9,LEN(A9)-FIND("|",A9)) &amp; " $"))</f>
        <v>💰  $</v>
      </c>
    </row>
    <row r="10" spans="1:3">
      <c r="A10" s="6" t="str">
        <v>قسطل تلحيم 63 ملم اخضر تركي|23</v>
      </c>
      <c r="B10" s="6" t="str">
        <f>IF(A10="","",HYPERLINK("#الاصناف!E"&amp;MATCH(LEFT(A10,FIND("|",A10)-1),الاصناف!E:E,0),"✏️ " &amp; LEFT(A10,FIND("|",A10)-1)))</f>
        <v>✏️ قسطل تلحيم 63 ملم اخضر تركي</v>
      </c>
      <c r="C10" s="6" t="str">
        <f>IF(A10="","",HYPERLINK("#الاصناف!G"&amp;MATCH(LEFT(A10,FIND("|",A10)-1),الاصناف!E:E,0),"💰 " &amp; RIGHT(A10,LEN(A10)-FIND("|",A10)) &amp; " $"))</f>
        <v>💰 23 $</v>
      </c>
    </row>
    <row r="11" spans="1:3">
      <c r="A11" s="6" t="str">
        <v>قسطل تلحيم 63 ملم اسود تركي|</v>
      </c>
      <c r="B11" s="6" t="str">
        <f>IF(A11="","",HYPERLINK("#الاصناف!E"&amp;MATCH(LEFT(A11,FIND("|",A11)-1),الاصناف!E:E,0),"✏️ " &amp; LEFT(A11,FIND("|",A11)-1)))</f>
        <v>✏️ قسطل تلحيم 63 ملم اسود تركي</v>
      </c>
      <c r="C11" s="6" t="str">
        <f>IF(A11="","",HYPERLINK("#الاصناف!G"&amp;MATCH(LEFT(A11,FIND("|",A11)-1),الاصناف!E:E,0),"💰 " &amp; RIGHT(A11,LEN(A11)-FIND("|",A11)) &amp; " $"))</f>
        <v>💰  $</v>
      </c>
    </row>
    <row r="12" spans="1:3">
      <c r="A12" s="6" t="str">
        <v>قسطل تلحيم فيبر 63 ملم اخضر تركي|</v>
      </c>
      <c r="B12" s="6" t="str">
        <f>IF(A12="","",HYPERLINK("#الاصناف!E"&amp;MATCH(LEFT(A12,FIND("|",A12)-1),الاصناف!E:E,0),"✏️ " &amp; LEFT(A12,FIND("|",A12)-1)))</f>
        <v>✏️ قسطل تلحيم فيبر 63 ملم اخضر تركي</v>
      </c>
      <c r="C12" s="6" t="str">
        <f>IF(A12="","",HYPERLINK("#الاصناف!G"&amp;MATCH(LEFT(A12,FIND("|",A12)-1),الاصناف!E:E,0),"💰 " &amp; RIGHT(A12,LEN(A12)-FIND("|",A12)) &amp; " $"))</f>
        <v>💰  $</v>
      </c>
    </row>
    <row r="13" spans="1:3">
      <c r="A13" s="6" t="str">
        <v>قسطل ضغط 63 ملم رمادي|</v>
      </c>
      <c r="B13" s="6" t="str">
        <f>IF(A13="","",HYPERLINK("#الاصناف!E"&amp;MATCH(LEFT(A13,FIND("|",A13)-1),الاصناف!E:E,0),"✏️ " &amp; LEFT(A13,FIND("|",A13)-1)))</f>
        <v>✏️ قسطل ضغط 63 ملم رمادي</v>
      </c>
      <c r="C13" s="6" t="str">
        <f>IF(A13="","",HYPERLINK("#الاصناف!G"&amp;MATCH(LEFT(A13,FIND("|",A13)-1),الاصناف!E:E,0),"💰 " &amp; RIGHT(A13,LEN(A13)-FIND("|",A13)) &amp; " $"))</f>
        <v>💰  $</v>
      </c>
    </row>
    <row r="14" spans="1:3">
      <c r="A14" s="6" t="str">
        <v>قسطل تلحيم 63 ملم اخضر ايطالي ITALY RIETTI|</v>
      </c>
      <c r="B14" s="6" t="str">
        <f>IF(A14="","",HYPERLINK("#الاصناف!E"&amp;MATCH(LEFT(A14,FIND("|",A14)-1),الاصناف!E:E,0),"✏️ " &amp; LEFT(A14,FIND("|",A14)-1)))</f>
        <v>✏️ قسطل تلحيم 63 ملم اخضر ايطالي ITALY RIETTI</v>
      </c>
      <c r="C14" s="6" t="str">
        <f>IF(A14="","",HYPERLINK("#الاصناف!G"&amp;MATCH(LEFT(A14,FIND("|",A14)-1),الاصناف!E:E,0),"💰 " &amp; RIGHT(A14,LEN(A14)-FIND("|",A14)) &amp; " $"))</f>
        <v>💰  $</v>
      </c>
    </row>
    <row r="15" spans="1:3">
      <c r="B15" s="6" t="str">
        <f>IF(A15="","",HYPERLINK("#الاصناف!E"&amp;MATCH(LEFT(A15,FIND("|",A15)-1),الاصناف!E:E,0),"✏️ " &amp; LEFT(A15,FIND("|",A15)-1)))</f>
        <v/>
      </c>
      <c r="C15" s="6" t="str">
        <f>IF(A15="","",HYPERLINK("#الاصناف!G"&amp;MATCH(LEFT(A15,FIND("|",A15)-1),الاصناف!E:E,0),"💰 " &amp; RIGHT(A15,LEN(A15)-FIND("|",A15)) &amp; " $"))</f>
        <v/>
      </c>
    </row>
    <row r="16" spans="1:3">
      <c r="B16" s="6" t="str">
        <f>IF(A16="","",HYPERLINK("#الاصناف!E"&amp;MATCH(LEFT(A16,FIND("|",A16)-1),الاصناف!E:E,0),"✏️ " &amp; LEFT(A16,FIND("|",A16)-1)))</f>
        <v/>
      </c>
      <c r="C16" s="6" t="str">
        <f>IF(A16="","",HYPERLINK("#الاصناف!G"&amp;MATCH(LEFT(A16,FIND("|",A16)-1),الاصناف!E:E,0),"💰 " &amp; RIGHT(A16,LEN(A16)-FIND("|",A16)) &amp; " $"))</f>
        <v/>
      </c>
    </row>
    <row r="17" spans="2:3" ht="18.75">
      <c r="B17" s="20" t="str">
        <f>IF(A17="","",HYPERLINK("#الاصناف!E"&amp;MATCH(LEFT(A17,FIND("|",A17)-1),الاصناف!E:E,0),"✏️ " &amp; LEFT(A17,FIND("|",A17)-1)))</f>
        <v/>
      </c>
      <c r="C17" s="6" t="str">
        <f>IF(A17="","",HYPERLINK("#الاصناف!G"&amp;MATCH(LEFT(A17,FIND("|",A17)-1),الاصناف!E:E,0),"💰 " &amp; RIGHT(A17,LEN(A17)-FIND("|",A17)) &amp; " $"))</f>
        <v/>
      </c>
    </row>
    <row r="18" spans="2:3">
      <c r="B18" s="6" t="str">
        <f>IF(A18="","",HYPERLINK("#الاصناف!E"&amp;MATCH(LEFT(A18,FIND("|",A18)-1),الاصناف!E:E,0),"✏️ " &amp; LEFT(A18,FIND("|",A18)-1)))</f>
        <v/>
      </c>
      <c r="C18" s="6" t="str">
        <f>IF(A18="","",HYPERLINK("#الاصناف!G"&amp;MATCH(LEFT(A18,FIND("|",A18)-1),الاصناف!E:E,0),"💰 " &amp; RIGHT(A18,LEN(A18)-FIND("|",A18)) &amp; " $"))</f>
        <v/>
      </c>
    </row>
    <row r="19" spans="2:3">
      <c r="B19" s="6" t="str">
        <f>IF(A19="","",HYPERLINK("#الاصناف!E"&amp;MATCH(LEFT(A19,FIND("|",A19)-1),الاصناف!E:E,0),"✏️ " &amp; LEFT(A19,FIND("|",A19)-1)))</f>
        <v/>
      </c>
      <c r="C19" s="6" t="str">
        <f>IF(A19="","",HYPERLINK("#الاصناف!G"&amp;MATCH(LEFT(A19,FIND("|",A19)-1),الاصناف!E:E,0),"💰 " &amp; RIGHT(A19,LEN(A19)-FIND("|",A19)) &amp; " $"))</f>
        <v/>
      </c>
    </row>
    <row r="20" spans="2:3">
      <c r="B20" s="6" t="str">
        <f>IF(A20="","",HYPERLINK("#الاصناف!E"&amp;MATCH(LEFT(A20,FIND("|",A20)-1),الاصناف!E:E,0),"✏️ " &amp; LEFT(A20,FIND("|",A20)-1)))</f>
        <v/>
      </c>
      <c r="C20" s="6" t="str">
        <f>IF(A20="","",HYPERLINK("#الاصناف!G"&amp;MATCH(LEFT(A20,FIND("|",A20)-1),الاصناف!E:E,0),"💰 " &amp; RIGHT(A20,LEN(A20)-FIND("|",A20)) &amp; " $"))</f>
        <v/>
      </c>
    </row>
    <row r="21" spans="2:3">
      <c r="B21" s="6" t="str">
        <f>IF(A21="","",HYPERLINK("#الاصناف!E"&amp;MATCH(LEFT(A21,FIND("|",A21)-1),الاصناف!E:E,0),"✏️ " &amp; LEFT(A21,FIND("|",A21)-1)))</f>
        <v/>
      </c>
      <c r="C21" s="6" t="str">
        <f>IF(A21="","",HYPERLINK("#الاصناف!G"&amp;MATCH(LEFT(A21,FIND("|",A21)-1),الاصناف!E:E,0),"💰 " &amp; RIGHT(A21,LEN(A21)-FIND("|",A21)) &amp; " $"))</f>
        <v/>
      </c>
    </row>
    <row r="22" spans="2:3">
      <c r="B22" s="6" t="str">
        <f>IF(A22="","",HYPERLINK("#الاصناف!E"&amp;MATCH(LEFT(A22,FIND("|",A22)-1),الاصناف!E:E,0),"✏️ " &amp; LEFT(A22,FIND("|",A22)-1)))</f>
        <v/>
      </c>
      <c r="C22" s="6" t="str">
        <f>IF(A22="","",HYPERLINK("#الاصناف!G"&amp;MATCH(LEFT(A22,FIND("|",A22)-1),الاصناف!E:E,0),"💰 " &amp; RIGHT(A22,LEN(A22)-FIND("|",A22)) &amp; " $"))</f>
        <v/>
      </c>
    </row>
    <row r="23" spans="2:3">
      <c r="B23" s="6" t="str">
        <f>IF(A23="","",HYPERLINK("#الاصناف!E"&amp;MATCH(LEFT(A23,FIND("|",A23)-1),الاصناف!E:E,0),"✏️ " &amp; LEFT(A23,FIND("|",A23)-1)))</f>
        <v/>
      </c>
      <c r="C23" s="6" t="str">
        <f>IF(A23="","",HYPERLINK("#الاصناف!G"&amp;MATCH(LEFT(A23,FIND("|",A23)-1),الاصناف!E:E,0),"💰 " &amp; RIGHT(A23,LEN(A23)-FIND("|",A23)) &amp; " $"))</f>
        <v/>
      </c>
    </row>
    <row r="24" spans="2:3">
      <c r="B24" s="6" t="str">
        <f>IF(A24="","",HYPERLINK("#الاصناف!E"&amp;MATCH(LEFT(A24,FIND("|",A24)-1),الاصناف!E:E,0),"✏️ " &amp; LEFT(A24,FIND("|",A24)-1)))</f>
        <v/>
      </c>
      <c r="C24" s="6" t="str">
        <f>IF(A24="","",HYPERLINK("#الاصناف!G"&amp;MATCH(LEFT(A24,FIND("|",A24)-1),الاصناف!E:E,0),"💰 " &amp; RIGHT(A24,LEN(A24)-FIND("|",A24)) &amp; " $"))</f>
        <v/>
      </c>
    </row>
    <row r="25" spans="2:3">
      <c r="B25" s="6" t="str">
        <f>IF(A25="","",HYPERLINK("#الاصناف!E"&amp;MATCH(LEFT(A25,FIND("|",A25)-1),الاصناف!E:E,0),"✏️ " &amp; LEFT(A25,FIND("|",A25)-1)))</f>
        <v/>
      </c>
      <c r="C25" s="6" t="str">
        <f>IF(A25="","",HYPERLINK("#الاصناف!G"&amp;MATCH(LEFT(A25,FIND("|",A25)-1),الاصناف!E:E,0),"💰 " &amp; RIGHT(A25,LEN(A25)-FIND("|",A25)) &amp; " $"))</f>
        <v/>
      </c>
    </row>
    <row r="26" spans="2:3">
      <c r="B26" s="6" t="str">
        <f>IF(A26="","",HYPERLINK("#الاصناف!E"&amp;MATCH(LEFT(A26,FIND("|",A26)-1),الاصناف!E:E,0),"✏️ " &amp; LEFT(A26,FIND("|",A26)-1)))</f>
        <v/>
      </c>
      <c r="C26" s="6" t="str">
        <f>IF(A26="","",HYPERLINK("#الاصناف!G"&amp;MATCH(LEFT(A26,FIND("|",A26)-1),الاصناف!E:E,0),"💰 " &amp; RIGHT(A26,LEN(A26)-FIND("|",A26)) &amp; " $"))</f>
        <v/>
      </c>
    </row>
    <row r="27" spans="2:3">
      <c r="B27" s="6" t="str">
        <f>IF(A27="","",HYPERLINK("#الاصناف!E"&amp;MATCH(LEFT(A27,FIND("|",A27)-1),الاصناف!E:E,0),"✏️ " &amp; LEFT(A27,FIND("|",A27)-1)))</f>
        <v/>
      </c>
      <c r="C27" s="6" t="str">
        <f>IF(A27="","",HYPERLINK("#الاصناف!G"&amp;MATCH(LEFT(A27,FIND("|",A27)-1),الاصناف!E:E,0),"💰 " &amp; RIGHT(A27,LEN(A27)-FIND("|",A27)) &amp; " $"))</f>
        <v/>
      </c>
    </row>
    <row r="28" spans="2:3">
      <c r="B28" s="6" t="str">
        <f>IF(A28="","",HYPERLINK("#الاصناف!E"&amp;MATCH(LEFT(A28,FIND("|",A28)-1),الاصناف!E:E,0),"✏️ " &amp; LEFT(A28,FIND("|",A28)-1)))</f>
        <v/>
      </c>
      <c r="C28" s="6" t="str">
        <f>IF(A28="","",HYPERLINK("#الاصناف!G"&amp;MATCH(LEFT(A28,FIND("|",A28)-1),الاصناف!E:E,0),"💰 " &amp; RIGHT(A28,LEN(A28)-FIND("|",A28)) &amp; " $"))</f>
        <v/>
      </c>
    </row>
    <row r="29" spans="2:3">
      <c r="B29" s="6" t="str">
        <f>IF(A29="","",HYPERLINK("#الاصناف!E"&amp;MATCH(LEFT(A29,FIND("|",A29)-1),الاصناف!E:E,0),"✏️ " &amp; LEFT(A29,FIND("|",A29)-1)))</f>
        <v/>
      </c>
      <c r="C29" s="6" t="str">
        <f>IF(A29="","",HYPERLINK("#الاصناف!G"&amp;MATCH(LEFT(A29,FIND("|",A29)-1),الاصناف!E:E,0),"💰 " &amp; RIGHT(A29,LEN(A29)-FIND("|",A29)) &amp; " $"))</f>
        <v/>
      </c>
    </row>
    <row r="30" spans="2:3">
      <c r="B30" s="6" t="str">
        <f>IF(A30="","",HYPERLINK("#الاصناف!E"&amp;MATCH(LEFT(A30,FIND("|",A30)-1),الاصناف!E:E,0),"✏️ " &amp; LEFT(A30,FIND("|",A30)-1)))</f>
        <v/>
      </c>
      <c r="C30" s="6" t="str">
        <f>IF(A30="","",HYPERLINK("#الاصناف!G"&amp;MATCH(LEFT(A30,FIND("|",A30)-1),الاصناف!E:E,0),"💰 " &amp; RIGHT(A30,LEN(A30)-FIND("|",A30)) &amp; " $"))</f>
        <v/>
      </c>
    </row>
    <row r="31" spans="2:3">
      <c r="B31" s="6" t="str">
        <f>IF(A31="","",HYPERLINK("#الاصناف!E"&amp;MATCH(LEFT(A31,FIND("|",A31)-1),الاصناف!E:E,0),"✏️ " &amp; LEFT(A31,FIND("|",A31)-1)))</f>
        <v/>
      </c>
      <c r="C31" s="6" t="str">
        <f>IF(A31="","",HYPERLINK("#الاصناف!G"&amp;MATCH(LEFT(A31,FIND("|",A31)-1),الاصناف!E:E,0),"💰 " &amp; RIGHT(A31,LEN(A31)-FIND("|",A31)) &amp; " $"))</f>
        <v/>
      </c>
    </row>
    <row r="32" spans="2:3">
      <c r="B32" s="6" t="str">
        <f>IF(A32="","",HYPERLINK("#الاصناف!E"&amp;MATCH(LEFT(A32,FIND("|",A32)-1),الاصناف!E:E,0),"✏️ " &amp; LEFT(A32,FIND("|",A32)-1)))</f>
        <v/>
      </c>
      <c r="C32" s="6" t="str">
        <f>IF(A32="","",HYPERLINK("#الاصناف!G"&amp;MATCH(LEFT(A32,FIND("|",A32)-1),الاصناف!E:E,0),"💰 " &amp; RIGHT(A32,LEN(A32)-FIND("|",A32)) &amp; " $"))</f>
        <v/>
      </c>
    </row>
    <row r="33" spans="2:3">
      <c r="B33" s="6" t="str">
        <f>IF(A33="","",HYPERLINK("#الاصناف!E"&amp;MATCH(LEFT(A33,FIND("|",A33)-1),الاصناف!E:E,0),"✏️ " &amp; LEFT(A33,FIND("|",A33)-1)))</f>
        <v/>
      </c>
      <c r="C33" s="6" t="str">
        <f>IF(A33="","",HYPERLINK("#الاصناف!G"&amp;MATCH(LEFT(A33,FIND("|",A33)-1),الاصناف!E:E,0),"💰 " &amp; RIGHT(A33,LEN(A33)-FIND("|",A33)) &amp; " $"))</f>
        <v/>
      </c>
    </row>
    <row r="34" spans="2:3">
      <c r="B34" s="6" t="str">
        <f>IF(A34="","",HYPERLINK("#الاصناف!E"&amp;MATCH(LEFT(A34,FIND("|",A34)-1),الاصناف!E:E,0),"✏️ " &amp; LEFT(A34,FIND("|",A34)-1)))</f>
        <v/>
      </c>
      <c r="C34" s="6" t="str">
        <f>IF(A34="","",HYPERLINK("#الاصناف!G"&amp;MATCH(LEFT(A34,FIND("|",A34)-1),الاصناف!E:E,0),"💰 " &amp; RIGHT(A34,LEN(A34)-FIND("|",A34)) &amp; " $"))</f>
        <v/>
      </c>
    </row>
    <row r="35" spans="2:3">
      <c r="B35" s="6" t="str">
        <f>IF(A35="","",HYPERLINK("#الاصناف!E"&amp;MATCH(LEFT(A35,FIND("|",A35)-1),الاصناف!E:E,0),"✏️ " &amp; LEFT(A35,FIND("|",A35)-1)))</f>
        <v/>
      </c>
      <c r="C35" s="6" t="str">
        <f>IF(A35="","",HYPERLINK("#الاصناف!G"&amp;MATCH(LEFT(A35,FIND("|",A35)-1),الاصناف!E:E,0),"💰 " &amp; RIGHT(A35,LEN(A35)-FIND("|",A35)) &amp; " $"))</f>
        <v/>
      </c>
    </row>
    <row r="36" spans="2:3">
      <c r="B36" s="6" t="str">
        <f>IF(A36="","",HYPERLINK("#الاصناف!E"&amp;MATCH(LEFT(A36,FIND("|",A36)-1),الاصناف!E:E,0),"✏️ " &amp; LEFT(A36,FIND("|",A36)-1)))</f>
        <v/>
      </c>
      <c r="C36" s="6" t="str">
        <f>IF(A36="","",HYPERLINK("#الاصناف!G"&amp;MATCH(LEFT(A36,FIND("|",A36)-1),الاصناف!E:E,0),"💰 " &amp; RIGHT(A36,LEN(A36)-FIND("|",A36)) &amp; " $"))</f>
        <v/>
      </c>
    </row>
    <row r="37" spans="2:3">
      <c r="B37" s="6" t="str">
        <f>IF(A37="","",HYPERLINK("#الاصناف!E"&amp;MATCH(LEFT(A37,FIND("|",A37)-1),الاصناف!E:E,0),"✏️ " &amp; LEFT(A37,FIND("|",A37)-1)))</f>
        <v/>
      </c>
      <c r="C37" s="6" t="str">
        <f>IF(A37="","",HYPERLINK("#الاصناف!G"&amp;MATCH(LEFT(A37,FIND("|",A37)-1),الاصناف!E:E,0),"💰 " &amp; RIGHT(A37,LEN(A37)-FIND("|",A37)) &amp; " $"))</f>
        <v/>
      </c>
    </row>
    <row r="38" spans="2:3">
      <c r="B38" s="6" t="str">
        <f>IF(A38="","",HYPERLINK("#الاصناف!E"&amp;MATCH(LEFT(A38,FIND("|",A38)-1),الاصناف!E:E,0),"✏️ " &amp; LEFT(A38,FIND("|",A38)-1)))</f>
        <v/>
      </c>
      <c r="C38" s="6" t="str">
        <f>IF(A38="","",HYPERLINK("#الاصناف!G"&amp;MATCH(LEFT(A38,FIND("|",A38)-1),الاصناف!E:E,0),"💰 " &amp; RIGHT(A38,LEN(A38)-FIND("|",A38)) &amp; " $"))</f>
        <v/>
      </c>
    </row>
    <row r="40" spans="2:3">
      <c r="B40" s="6" t="str">
        <f>IF(A40="","",HYPERLINK("#الاصناف!E"&amp;MATCH(LEFT(A40,FIND("|",A40)-1),الاصناف!E:E,0),"✏️ " &amp; LEFT(A40,FIND("|",A40)-1)))</f>
        <v/>
      </c>
      <c r="C40" s="6" t="str">
        <f>IF(A40="","",HYPERLINK("#الاصناف!G"&amp;MATCH(LEFT(A40,FIND("|",A40)-1),الاصناف!E:E,0),"💰 " &amp; RIGHT(A40,LEN(A40)-FIND("|",A40)) &amp; " $"))</f>
        <v/>
      </c>
    </row>
    <row r="41" spans="2:3">
      <c r="B41" s="6" t="str">
        <f>IF(A41="","",HYPERLINK("#الاصناف!E"&amp;MATCH(LEFT(A41,FIND("|",A41)-1),الاصناف!E:E,0),"✏️ " &amp; LEFT(A41,FIND("|",A41)-1)))</f>
        <v/>
      </c>
      <c r="C41" s="6" t="str">
        <f>IF(A41="","",HYPERLINK("#الاصناف!G"&amp;MATCH(LEFT(A41,FIND("|",A41)-1),الاصناف!E:E,0),"💰 " &amp; RIGHT(A41,LEN(A41)-FIND("|",A41)) &amp; " $"))</f>
        <v/>
      </c>
    </row>
    <row r="42" spans="2:3">
      <c r="B42" s="6" t="str">
        <f>IF(A42="","",HYPERLINK("#الاصناف!E"&amp;MATCH(LEFT(A42,FIND("|",A42)-1),الاصناف!E:E,0),"✏️ " &amp; LEFT(A42,FIND("|",A42)-1)))</f>
        <v/>
      </c>
      <c r="C42" s="6" t="str">
        <f>IF(A42="","",HYPERLINK("#الاصناف!G"&amp;MATCH(LEFT(A42,FIND("|",A42)-1),الاصناف!E:E,0),"💰 " &amp; RIGHT(A42,LEN(A42)-FIND("|",A42)) &amp; " $"))</f>
        <v/>
      </c>
    </row>
    <row r="43" spans="2:3">
      <c r="B43" s="6" t="str">
        <f>IF(A43="","",HYPERLINK("#الاصناف!E"&amp;MATCH(LEFT(A43,FIND("|",A43)-1),الاصناف!E:E,0),"✏️ " &amp; LEFT(A43,FIND("|",A43)-1)))</f>
        <v/>
      </c>
      <c r="C43" s="6" t="str">
        <f>IF(A43="","",HYPERLINK("#الاصناف!G"&amp;MATCH(LEFT(A43,FIND("|",A43)-1),الاصناف!E:E,0),"💰 " &amp; RIGHT(A43,LEN(A43)-FIND("|",A43)) &amp; " $"))</f>
        <v/>
      </c>
    </row>
    <row r="44" spans="2:3">
      <c r="B44" s="6" t="str">
        <f>IF(A44="","",HYPERLINK("#الاصناف!E"&amp;MATCH(LEFT(A44,FIND("|",A44)-1),الاصناف!E:E,0),"✏️ " &amp; LEFT(A44,FIND("|",A44)-1)))</f>
        <v/>
      </c>
      <c r="C44" s="6" t="str">
        <f>IF(A44="","",HYPERLINK("#الاصناف!G"&amp;MATCH(LEFT(A44,FIND("|",A44)-1),الاصناف!E:E,0),"💰 " &amp; RIGHT(A44,LEN(A44)-FIND("|",A44)) &amp; " $"))</f>
        <v/>
      </c>
    </row>
    <row r="45" spans="2:3">
      <c r="B45" s="6" t="str">
        <f>IF(A45="","",HYPERLINK("#الاصناف!E"&amp;MATCH(LEFT(A45,FIND("|",A45)-1),الاصناف!E:E,0),"✏️ " &amp; LEFT(A45,FIND("|",A45)-1)))</f>
        <v/>
      </c>
      <c r="C45" s="6" t="str">
        <f>IF(A45="","",HYPERLINK("#الاصناف!G"&amp;MATCH(LEFT(A45,FIND("|",A45)-1),الاصناف!E:E,0),"💰 " &amp; RIGHT(A45,LEN(A45)-FIND("|",A45)) &amp; " $"))</f>
        <v/>
      </c>
    </row>
    <row r="46" spans="2:3">
      <c r="B46" s="6" t="str">
        <f>IF(A46="","",HYPERLINK("#الاصناف!E"&amp;MATCH(LEFT(A46,FIND("|",A46)-1),الاصناف!E:E,0),"✏️ " &amp; LEFT(A46,FIND("|",A46)-1)))</f>
        <v/>
      </c>
      <c r="C46" s="6" t="str">
        <f>IF(A46="","",HYPERLINK("#الاصناف!G"&amp;MATCH(LEFT(A46,FIND("|",A46)-1),الاصناف!E:E,0),"💰 " &amp; RIGHT(A46,LEN(A46)-FIND("|",A46)) &amp; " $"))</f>
        <v/>
      </c>
    </row>
    <row r="47" spans="2:3">
      <c r="B47" s="6" t="str">
        <f>IF(A47="","",HYPERLINK("#الاصناف!E"&amp;MATCH(LEFT(A47,FIND("|",A47)-1),الاصناف!E:E,0),"✏️ " &amp; LEFT(A47,FIND("|",A47)-1)))</f>
        <v/>
      </c>
      <c r="C47" s="6" t="str">
        <f>IF(A47="","",HYPERLINK("#الاصناف!G"&amp;MATCH(LEFT(A47,FIND("|",A47)-1),الاصناف!E:E,0),"💰 " &amp; RIGHT(A47,LEN(A47)-FIND("|",A47)) &amp; " $"))</f>
        <v/>
      </c>
    </row>
    <row r="48" spans="2:3">
      <c r="B48" s="6" t="str">
        <f>IF(A48="","",HYPERLINK("#الاصناف!E"&amp;MATCH(LEFT(A48,FIND("|",A48)-1),الاصناف!E:E,0),"✏️ " &amp; LEFT(A48,FIND("|",A48)-1)))</f>
        <v/>
      </c>
      <c r="C48" s="6" t="str">
        <f>IF(A48="","",HYPERLINK("#الاصناف!G"&amp;MATCH(LEFT(A48,FIND("|",A48)-1),الاصناف!E:E,0),"💰 " &amp; RIGHT(A48,LEN(A48)-FIND("|",A48)) &amp; " $"))</f>
        <v/>
      </c>
    </row>
    <row r="49" spans="2:3">
      <c r="B49" s="6" t="str">
        <f>IF(A49="","",HYPERLINK("#الاصناف!E"&amp;MATCH(LEFT(A49,FIND("|",A49)-1),الاصناف!E:E,0),"✏️ " &amp; LEFT(A49,FIND("|",A49)-1)))</f>
        <v/>
      </c>
      <c r="C49" s="6" t="str">
        <f>IF(A49="","",HYPERLINK("#الاصناف!G"&amp;MATCH(LEFT(A49,FIND("|",A49)-1),الاصناف!E:E,0),"💰 " &amp; RIGHT(A49,LEN(A49)-FIND("|",A49)) &amp; " $"))</f>
        <v/>
      </c>
    </row>
    <row r="50" spans="2:3">
      <c r="B50" s="6" t="str">
        <f>IF(A50="","",HYPERLINK("#الاصناف!E"&amp;MATCH(LEFT(A50,FIND("|",A50)-1),الاصناف!E:E,0),"✏️ " &amp; LEFT(A50,FIND("|",A50)-1)))</f>
        <v/>
      </c>
      <c r="C50" s="6" t="str">
        <f>IF(A50="","",HYPERLINK("#الاصناف!G"&amp;MATCH(LEFT(A50,FIND("|",A50)-1),الاصناف!E:E,0),"💰 " &amp; RIGHT(A50,LEN(A50)-FIND("|",A50)) &amp; " $"))</f>
        <v/>
      </c>
    </row>
    <row r="51" spans="2:3">
      <c r="B51" s="6" t="str">
        <f>IF(A51="","",HYPERLINK("#الاصناف!E"&amp;MATCH(LEFT(A51,FIND("|",A51)-1),الاصناف!E:E,0),"✏️ " &amp; LEFT(A51,FIND("|",A51)-1)))</f>
        <v/>
      </c>
      <c r="C51" s="6" t="str">
        <f>IF(A51="","",HYPERLINK("#الاصناف!G"&amp;MATCH(LEFT(A51,FIND("|",A51)-1),الاصناف!E:E,0),"💰 " &amp; RIGHT(A51,LEN(A51)-FIND("|",A51)) &amp; " $"))</f>
        <v/>
      </c>
    </row>
    <row r="52" spans="2:3">
      <c r="B52" s="6" t="str">
        <f>IF(A52="","",HYPERLINK("#الاصناف!E"&amp;MATCH(LEFT(A52,FIND("|",A52)-1),الاصناف!E:E,0),"✏️ " &amp; LEFT(A52,FIND("|",A52)-1)))</f>
        <v/>
      </c>
      <c r="C52" s="6" t="str">
        <f>IF(A52="","",HYPERLINK("#الاصناف!G"&amp;MATCH(LEFT(A52,FIND("|",A52)-1),الاصناف!E:E,0),"💰 " &amp; RIGHT(A52,LEN(A52)-FIND("|",A52)) &amp; " $"))</f>
        <v/>
      </c>
    </row>
    <row r="53" spans="2:3">
      <c r="B53" s="6" t="str">
        <f>IF(A53="","",HYPERLINK("#الاصناف!E"&amp;MATCH(LEFT(A53,FIND("|",A53)-1),الاصناف!E:E,0),"✏️ " &amp; LEFT(A53,FIND("|",A53)-1)))</f>
        <v/>
      </c>
      <c r="C53" s="6" t="str">
        <f>IF(A53="","",HYPERLINK("#الاصناف!G"&amp;MATCH(LEFT(A53,FIND("|",A53)-1),الاصناف!E:E,0),"💰 " &amp; RIGHT(A53,LEN(A53)-FIND("|",A53)) &amp; " $"))</f>
        <v/>
      </c>
    </row>
    <row r="54" spans="2:3">
      <c r="B54" s="6" t="str">
        <f>IF(A54="","",HYPERLINK("#الاصناف!E"&amp;MATCH(LEFT(A54,FIND("|",A54)-1),الاصناف!E:E,0),"✏️ " &amp; LEFT(A54,FIND("|",A54)-1)))</f>
        <v/>
      </c>
      <c r="C54" s="6" t="str">
        <f>IF(A54="","",HYPERLINK("#الاصناف!G"&amp;MATCH(LEFT(A54,FIND("|",A54)-1),الاصناف!E:E,0),"💰 " &amp; RIGHT(A54,LEN(A54)-FIND("|",A54)) &amp; " $"))</f>
        <v/>
      </c>
    </row>
    <row r="55" spans="2:3">
      <c r="B55" s="6" t="str">
        <f>IF(A55="","",HYPERLINK("#الاصناف!E"&amp;MATCH(LEFT(A55,FIND("|",A55)-1),الاصناف!E:E,0),"✏️ " &amp; LEFT(A55,FIND("|",A55)-1)))</f>
        <v/>
      </c>
      <c r="C55" s="6" t="str">
        <f>IF(A55="","",HYPERLINK("#الاصناف!G"&amp;MATCH(LEFT(A55,FIND("|",A55)-1),الاصناف!E:E,0),"💰 " &amp; RIGHT(A55,LEN(A55)-FIND("|",A55)) &amp; " $"))</f>
        <v/>
      </c>
    </row>
    <row r="56" spans="2:3">
      <c r="B56" s="6" t="str">
        <f>IF(A56="","",HYPERLINK("#الاصناف!E"&amp;MATCH(LEFT(A56,FIND("|",A56)-1),الاصناف!E:E,0),"✏️ " &amp; LEFT(A56,FIND("|",A56)-1)))</f>
        <v/>
      </c>
      <c r="C56" s="6" t="str">
        <f>IF(A56="","",HYPERLINK("#الاصناف!G"&amp;MATCH(LEFT(A56,FIND("|",A56)-1),الاصناف!E:E,0),"💰 " &amp; RIGHT(A56,LEN(A56)-FIND("|",A56)) &amp; " $"))</f>
        <v/>
      </c>
    </row>
    <row r="57" spans="2:3">
      <c r="B57" s="6" t="str">
        <f>IF(A57="","",HYPERLINK("#الاصناف!E"&amp;MATCH(LEFT(A57,FIND("|",A57)-1),الاصناف!E:E,0),"✏️ " &amp; LEFT(A57,FIND("|",A57)-1)))</f>
        <v/>
      </c>
      <c r="C57" s="6" t="str">
        <f>IF(A57="","",HYPERLINK("#الاصناف!G"&amp;MATCH(LEFT(A57,FIND("|",A57)-1),الاصناف!E:E,0),"💰 " &amp; RIGHT(A57,LEN(A57)-FIND("|",A57)) &amp; " $"))</f>
        <v/>
      </c>
    </row>
    <row r="58" spans="2:3">
      <c r="B58" s="6" t="str">
        <f>IF(A58="","",HYPERLINK("#الاصناف!E"&amp;MATCH(LEFT(A58,FIND("|",A58)-1),الاصناف!E:E,0),"✏️ " &amp; LEFT(A58,FIND("|",A58)-1)))</f>
        <v/>
      </c>
      <c r="C58" s="6" t="str">
        <f>IF(A58="","",HYPERLINK("#الاصناف!G"&amp;MATCH(LEFT(A58,FIND("|",A58)-1),الاصناف!E:E,0),"💰 " &amp; RIGHT(A58,LEN(A58)-FIND("|",A58)) &amp; " $"))</f>
        <v/>
      </c>
    </row>
    <row r="59" spans="2:3">
      <c r="B59" s="6" t="str">
        <f>IF(A59="","",HYPERLINK("#الاصناف!E"&amp;MATCH(LEFT(A59,FIND("|",A59)-1),الاصناف!E:E,0),"✏️ " &amp; LEFT(A59,FIND("|",A59)-1)))</f>
        <v/>
      </c>
      <c r="C59" s="6" t="str">
        <f>IF(A59="","",HYPERLINK("#الاصناف!G"&amp;MATCH(LEFT(A59,FIND("|",A59)-1),الاصناف!E:E,0),"💰 " &amp; RIGHT(A59,LEN(A59)-FIND("|",A59)) &amp; " $"))</f>
        <v/>
      </c>
    </row>
    <row r="60" spans="2:3">
      <c r="B60" s="6" t="str">
        <f>IF(A60="","",HYPERLINK("#الاصناف!E"&amp;MATCH(LEFT(A60,FIND("|",A60)-1),الاصناف!E:E,0),"✏️ " &amp; LEFT(A60,FIND("|",A60)-1)))</f>
        <v/>
      </c>
      <c r="C60" s="6" t="str">
        <f>IF(A60="","",HYPERLINK("#الاصناف!G"&amp;MATCH(LEFT(A60,FIND("|",A60)-1),الاصناف!E:E,0),"💰 " &amp; RIGHT(A60,LEN(A60)-FIND("|",A60)) &amp; " $"))</f>
        <v/>
      </c>
    </row>
    <row r="61" spans="2:3">
      <c r="B61" s="6" t="str">
        <f>IF(A61="","",HYPERLINK("#الاصناف!E"&amp;MATCH(LEFT(A61,FIND("|",A61)-1),الاصناف!E:E,0),"✏️ " &amp; LEFT(A61,FIND("|",A61)-1)))</f>
        <v/>
      </c>
      <c r="C61" s="6" t="str">
        <f>IF(A61="","",HYPERLINK("#الاصناف!G"&amp;MATCH(LEFT(A61,FIND("|",A61)-1),الاصناف!E:E,0),"💰 " &amp; RIGHT(A61,LEN(A61)-FIND("|",A61)) &amp; " $"))</f>
        <v/>
      </c>
    </row>
    <row r="62" spans="2:3">
      <c r="B62" s="6" t="str">
        <f>IF(A62="","",HYPERLINK("#الاصناف!E"&amp;MATCH(LEFT(A62,FIND("|",A62)-1),الاصناف!E:E,0),"✏️ " &amp; LEFT(A62,FIND("|",A62)-1)))</f>
        <v/>
      </c>
      <c r="C62" s="6" t="str">
        <f>IF(A62="","",HYPERLINK("#الاصناف!G"&amp;MATCH(LEFT(A62,FIND("|",A62)-1),الاصناف!E:E,0),"💰 " &amp; RIGHT(A62,LEN(A62)-FIND("|",A62)) &amp; " $"))</f>
        <v/>
      </c>
    </row>
    <row r="63" spans="2:3">
      <c r="B63" s="6" t="str">
        <f>IF(A63="","",HYPERLINK("#الاصناف!E"&amp;MATCH(LEFT(A63,FIND("|",A63)-1),الاصناف!E:E,0),"✏️ " &amp; LEFT(A63,FIND("|",A63)-1)))</f>
        <v/>
      </c>
      <c r="C63" s="6" t="str">
        <f>IF(A63="","",HYPERLINK("#الاصناف!G"&amp;MATCH(LEFT(A63,FIND("|",A63)-1),الاصناف!E:E,0),"💰 " &amp; RIGHT(A63,LEN(A63)-FIND("|",A63)) &amp; " $"))</f>
        <v/>
      </c>
    </row>
    <row r="64" spans="2:3">
      <c r="B64" s="6" t="str">
        <f>IF(A64="","",HYPERLINK("#الاصناف!E"&amp;MATCH(LEFT(A64,FIND("|",A64)-1),الاصناف!E:E,0),"✏️ " &amp; LEFT(A64,FIND("|",A64)-1)))</f>
        <v/>
      </c>
      <c r="C64" s="6" t="str">
        <f>IF(A64="","",HYPERLINK("#الاصناف!G"&amp;MATCH(LEFT(A64,FIND("|",A64)-1),الاصناف!E:E,0),"💰 " &amp; RIGHT(A64,LEN(A64)-FIND("|",A64)) &amp; " $"))</f>
        <v/>
      </c>
    </row>
    <row r="65" spans="2:3">
      <c r="B65" s="6" t="str">
        <f>IF(A65="","",HYPERLINK("#الاصناف!E"&amp;MATCH(LEFT(A65,FIND("|",A65)-1),الاصناف!E:E,0),"✏️ " &amp; LEFT(A65,FIND("|",A65)-1)))</f>
        <v/>
      </c>
      <c r="C65" s="6" t="str">
        <f>IF(A65="","",HYPERLINK("#الاصناف!G"&amp;MATCH(LEFT(A65,FIND("|",A65)-1),الاصناف!E:E,0),"💰 " &amp; RIGHT(A65,LEN(A65)-FIND("|",A65)) &amp; " $"))</f>
        <v/>
      </c>
    </row>
    <row r="66" spans="2:3">
      <c r="B66" s="6" t="str">
        <f>IF(A66="","",HYPERLINK("#الاصناف!E"&amp;MATCH(LEFT(A66,FIND("|",A66)-1),الاصناف!E:E,0),"✏️ " &amp; LEFT(A66,FIND("|",A66)-1)))</f>
        <v/>
      </c>
      <c r="C66" s="6" t="str">
        <f>IF(A66="","",HYPERLINK("#الاصناف!G"&amp;MATCH(LEFT(A66,FIND("|",A66)-1),الاصناف!E:E,0),"💰 " &amp; RIGHT(A66,LEN(A66)-FIND("|",A66)) &amp; " $"))</f>
        <v/>
      </c>
    </row>
    <row r="67" spans="2:3">
      <c r="B67" s="6" t="str">
        <f>IF(A67="","",HYPERLINK("#الاصناف!E"&amp;MATCH(LEFT(A67,FIND("|",A67)-1),الاصناف!E:E,0),"✏️ " &amp; LEFT(A67,FIND("|",A67)-1)))</f>
        <v/>
      </c>
      <c r="C67" s="6" t="str">
        <f>IF(A67="","",HYPERLINK("#الاصناف!G"&amp;MATCH(LEFT(A67,FIND("|",A67)-1),الاصناف!E:E,0),"💰 " &amp; RIGHT(A67,LEN(A67)-FIND("|",A67)) &amp; " $"))</f>
        <v/>
      </c>
    </row>
    <row r="68" spans="2:3">
      <c r="B68" s="6" t="str">
        <f>IF(A68="","",HYPERLINK("#الاصناف!E"&amp;MATCH(LEFT(A68,FIND("|",A68)-1),الاصناف!E:E,0),"✏️ " &amp; LEFT(A68,FIND("|",A68)-1)))</f>
        <v/>
      </c>
      <c r="C68" s="6" t="str">
        <f>IF(A68="","",HYPERLINK("#الاصناف!G"&amp;MATCH(LEFT(A68,FIND("|",A68)-1),الاصناف!E:E,0),"💰 " &amp; RIGHT(A68,LEN(A68)-FIND("|",A68)) &amp; " $"))</f>
        <v/>
      </c>
    </row>
    <row r="69" spans="2:3">
      <c r="B69" s="6" t="str">
        <f>IF(A69="","",HYPERLINK("#الاصناف!E"&amp;MATCH(LEFT(A69,FIND("|",A69)-1),الاصناف!E:E,0),"✏️ " &amp; LEFT(A69,FIND("|",A69)-1)))</f>
        <v/>
      </c>
      <c r="C69" s="6" t="str">
        <f>IF(A69="","",HYPERLINK("#الاصناف!G"&amp;MATCH(LEFT(A69,FIND("|",A69)-1),الاصناف!E:E,0),"💰 " &amp; RIGHT(A69,LEN(A69)-FIND("|",A69)) &amp; " $"))</f>
        <v/>
      </c>
    </row>
    <row r="70" spans="2:3">
      <c r="B70" s="6" t="str">
        <f>IF(A70="","",HYPERLINK("#الاصناف!E"&amp;MATCH(LEFT(A70,FIND("|",A70)-1),الاصناف!E:E,0),"✏️ " &amp; LEFT(A70,FIND("|",A70)-1)))</f>
        <v/>
      </c>
      <c r="C70" s="6" t="str">
        <f>IF(A70="","",HYPERLINK("#الاصناف!G"&amp;MATCH(LEFT(A70,FIND("|",A70)-1),الاصناف!E:E,0),"💰 " &amp; RIGHT(A70,LEN(A70)-FIND("|",A70)) &amp; " $"))</f>
        <v/>
      </c>
    </row>
    <row r="71" spans="2:3">
      <c r="B71" s="6" t="str">
        <f>IF(A71="","",HYPERLINK("#الاصناف!E"&amp;MATCH(LEFT(A71,FIND("|",A71)-1),الاصناف!E:E,0),"✏️ " &amp; LEFT(A71,FIND("|",A71)-1)))</f>
        <v/>
      </c>
      <c r="C71" s="6" t="str">
        <f>IF(A71="","",HYPERLINK("#الاصناف!G"&amp;MATCH(LEFT(A71,FIND("|",A71)-1),الاصناف!E:E,0),"💰 " &amp; RIGHT(A71,LEN(A71)-FIND("|",A71)) &amp; " $"))</f>
        <v/>
      </c>
    </row>
    <row r="72" spans="2:3">
      <c r="B72" s="6" t="str">
        <f>IF(A72="","",HYPERLINK("#الاصناف!E"&amp;MATCH(LEFT(A72,FIND("|",A72)-1),الاصناف!E:E,0),"✏️ " &amp; LEFT(A72,FIND("|",A72)-1)))</f>
        <v/>
      </c>
      <c r="C72" s="6" t="str">
        <f>IF(A72="","",HYPERLINK("#الاصناف!G"&amp;MATCH(LEFT(A72,FIND("|",A72)-1),الاصناف!E:E,0),"💰 " &amp; RIGHT(A72,LEN(A72)-FIND("|",A72)) &amp; " $"))</f>
        <v/>
      </c>
    </row>
    <row r="73" spans="2:3">
      <c r="B73" s="6" t="str">
        <f>IF(A73="","",HYPERLINK("#الاصناف!E"&amp;MATCH(LEFT(A73,FIND("|",A73)-1),الاصناف!E:E,0),"✏️ " &amp; LEFT(A73,FIND("|",A73)-1)))</f>
        <v/>
      </c>
      <c r="C73" s="6" t="str">
        <f>IF(A73="","",HYPERLINK("#الاصناف!G"&amp;MATCH(LEFT(A73,FIND("|",A73)-1),الاصناف!E:E,0),"💰 " &amp; RIGHT(A73,LEN(A73)-FIND("|",A73)) &amp; " $"))</f>
        <v/>
      </c>
    </row>
    <row r="74" spans="2:3">
      <c r="B74" s="6" t="str">
        <f>IF(A74="","",HYPERLINK("#الاصناف!E"&amp;MATCH(LEFT(A74,FIND("|",A74)-1),الاصناف!E:E,0),"✏️ " &amp; LEFT(A74,FIND("|",A74)-1)))</f>
        <v/>
      </c>
      <c r="C74" s="6" t="str">
        <f>IF(A74="","",HYPERLINK("#الاصناف!G"&amp;MATCH(LEFT(A74,FIND("|",A74)-1),الاصناف!E:E,0),"💰 " &amp; RIGHT(A74,LEN(A74)-FIND("|",A74)) &amp; " $"))</f>
        <v/>
      </c>
    </row>
    <row r="75" spans="2:3">
      <c r="B75" s="6" t="str">
        <f>IF(A75="","",HYPERLINK("#الاصناف!E"&amp;MATCH(LEFT(A75,FIND("|",A75)-1),الاصناف!E:E,0),"✏️ " &amp; LEFT(A75,FIND("|",A75)-1)))</f>
        <v/>
      </c>
      <c r="C75" s="6" t="str">
        <f>IF(A75="","",HYPERLINK("#الاصناف!G"&amp;MATCH(LEFT(A75,FIND("|",A75)-1),الاصناف!E:E,0),"💰 " &amp; RIGHT(A75,LEN(A75)-FIND("|",A75)) &amp; " $"))</f>
        <v/>
      </c>
    </row>
    <row r="76" spans="2:3">
      <c r="B76" s="6" t="str">
        <f>IF(A76="","",HYPERLINK("#الاصناف!E"&amp;MATCH(LEFT(A76,FIND("|",A76)-1),الاصناف!E:E,0),"✏️ " &amp; LEFT(A76,FIND("|",A76)-1)))</f>
        <v/>
      </c>
      <c r="C76" s="6" t="str">
        <f>IF(A76="","",HYPERLINK("#الاصناف!G"&amp;MATCH(LEFT(A76,FIND("|",A76)-1),الاصناف!E:E,0),"💰 " &amp; RIGHT(A76,LEN(A76)-FIND("|",A76)) &amp; " $"))</f>
        <v/>
      </c>
    </row>
    <row r="77" spans="2:3">
      <c r="B77" s="6" t="str">
        <f>IF(A77="","",HYPERLINK("#الاصناف!E"&amp;MATCH(LEFT(A77,FIND("|",A77)-1),الاصناف!E:E,0),"✏️ " &amp; LEFT(A77,FIND("|",A77)-1)))</f>
        <v/>
      </c>
      <c r="C77" s="6" t="str">
        <f>IF(A77="","",HYPERLINK("#الاصناف!G"&amp;MATCH(LEFT(A77,FIND("|",A77)-1),الاصناف!E:E,0),"💰 " &amp; RIGHT(A77,LEN(A77)-FIND("|",A77)) &amp; " $"))</f>
        <v/>
      </c>
    </row>
    <row r="78" spans="2:3">
      <c r="B78" s="6" t="str">
        <f>IF(A78="","",HYPERLINK("#الاصناف!E"&amp;MATCH(LEFT(A78,FIND("|",A78)-1),الاصناف!E:E,0),"✏️ " &amp; LEFT(A78,FIND("|",A78)-1)))</f>
        <v/>
      </c>
      <c r="C78" s="6" t="str">
        <f>IF(A78="","",HYPERLINK("#الاصناف!G"&amp;MATCH(LEFT(A78,FIND("|",A78)-1),الاصناف!E:E,0),"💰 " &amp; RIGHT(A78,LEN(A78)-FIND("|",A78)) &amp; " $"))</f>
        <v/>
      </c>
    </row>
    <row r="79" spans="2:3">
      <c r="B79" s="6" t="str">
        <f>IF(A79="","",HYPERLINK("#الاصناف!E"&amp;MATCH(LEFT(A79,FIND("|",A79)-1),الاصناف!E:E,0),"✏️ " &amp; LEFT(A79,FIND("|",A79)-1)))</f>
        <v/>
      </c>
      <c r="C79" s="6" t="str">
        <f>IF(A79="","",HYPERLINK("#الاصناف!G"&amp;MATCH(LEFT(A79,FIND("|",A79)-1),الاصناف!E:E,0),"💰 " &amp; RIGHT(A79,LEN(A79)-FIND("|",A79)) &amp; " $"))</f>
        <v/>
      </c>
    </row>
    <row r="80" spans="2:3">
      <c r="B80" s="6" t="str">
        <f>IF(A80="","",HYPERLINK("#الاصناف!E"&amp;MATCH(LEFT(A80,FIND("|",A80)-1),الاصناف!E:E,0),"✏️ " &amp; LEFT(A80,FIND("|",A80)-1)))</f>
        <v/>
      </c>
      <c r="C80" s="6" t="str">
        <f>IF(A80="","",HYPERLINK("#الاصناف!G"&amp;MATCH(LEFT(A80,FIND("|",A80)-1),الاصناف!E:E,0),"💰 " &amp; RIGHT(A80,LEN(A80)-FIND("|",A80)) &amp; " $"))</f>
        <v/>
      </c>
    </row>
    <row r="81" spans="2:3">
      <c r="B81" s="6" t="str">
        <f>IF(A81="","",HYPERLINK("#الاصناف!E"&amp;MATCH(LEFT(A81,FIND("|",A81)-1),الاصناف!E:E,0),"✏️ " &amp; LEFT(A81,FIND("|",A81)-1)))</f>
        <v/>
      </c>
      <c r="C81" s="6" t="str">
        <f>IF(A81="","",HYPERLINK("#الاصناف!G"&amp;MATCH(LEFT(A81,FIND("|",A81)-1),الاصناف!E:E,0),"💰 " &amp; RIGHT(A81,LEN(A81)-FIND("|",A81)) &amp; " $"))</f>
        <v/>
      </c>
    </row>
    <row r="82" spans="2:3">
      <c r="B82" s="6" t="str">
        <f>IF(A82="","",HYPERLINK("#الاصناف!E"&amp;MATCH(LEFT(A82,FIND("|",A82)-1),الاصناف!E:E,0),"✏️ " &amp; LEFT(A82,FIND("|",A82)-1)))</f>
        <v/>
      </c>
      <c r="C82" s="6" t="str">
        <f>IF(A82="","",HYPERLINK("#الاصناف!G"&amp;MATCH(LEFT(A82,FIND("|",A82)-1),الاصناف!E:E,0),"💰 " &amp; RIGHT(A82,LEN(A82)-FIND("|",A82)) &amp; " $"))</f>
        <v/>
      </c>
    </row>
    <row r="83" spans="2:3">
      <c r="B83" s="6" t="str">
        <f>IF(A83="","",HYPERLINK("#الاصناف!E"&amp;MATCH(LEFT(A83,FIND("|",A83)-1),الاصناف!E:E,0),"✏️ " &amp; LEFT(A83,FIND("|",A83)-1)))</f>
        <v/>
      </c>
      <c r="C83" s="6" t="str">
        <f>IF(A83="","",HYPERLINK("#الاصناف!G"&amp;MATCH(LEFT(A83,FIND("|",A83)-1),الاصناف!E:E,0),"💰 " &amp; RIGHT(A83,LEN(A83)-FIND("|",A83)) &amp; " $"))</f>
        <v/>
      </c>
    </row>
    <row r="84" spans="2:3">
      <c r="B84" s="6" t="str">
        <f>IF(A84="","",HYPERLINK("#الاصناف!E"&amp;MATCH(LEFT(A84,FIND("|",A84)-1),الاصناف!E:E,0),"✏️ " &amp; LEFT(A84,FIND("|",A84)-1)))</f>
        <v/>
      </c>
      <c r="C84" s="6" t="str">
        <f>IF(A84="","",HYPERLINK("#الاصناف!G"&amp;MATCH(LEFT(A84,FIND("|",A84)-1),الاصناف!E:E,0),"💰 " &amp; RIGHT(A84,LEN(A84)-FIND("|",A84)) &amp; " $"))</f>
        <v/>
      </c>
    </row>
    <row r="85" spans="2:3">
      <c r="B85" s="6" t="str">
        <f>IF(A85="","",HYPERLINK("#الاصناف!E"&amp;MATCH(LEFT(A85,FIND("|",A85)-1),الاصناف!E:E,0),"✏️ " &amp; LEFT(A85,FIND("|",A85)-1)))</f>
        <v/>
      </c>
      <c r="C85" s="6" t="str">
        <f>IF(A85="","",HYPERLINK("#الاصناف!G"&amp;MATCH(LEFT(A85,FIND("|",A85)-1),الاصناف!E:E,0),"💰 " &amp; RIGHT(A85,LEN(A85)-FIND("|",A85)) &amp; " $"))</f>
        <v/>
      </c>
    </row>
    <row r="86" spans="2:3">
      <c r="B86" s="6" t="str">
        <f>IF(A86="","",HYPERLINK("#الاصناف!E"&amp;MATCH(LEFT(A86,FIND("|",A86)-1),الاصناف!E:E,0),"✏️ " &amp; LEFT(A86,FIND("|",A86)-1)))</f>
        <v/>
      </c>
      <c r="C86" s="6" t="str">
        <f>IF(A86="","",HYPERLINK("#الاصناف!G"&amp;MATCH(LEFT(A86,FIND("|",A86)-1),الاصناف!E:E,0),"💰 " &amp; RIGHT(A86,LEN(A86)-FIND("|",A86)) &amp; " $"))</f>
        <v/>
      </c>
    </row>
    <row r="87" spans="2:3">
      <c r="B87" s="6" t="str">
        <f>IF(A87="","",HYPERLINK("#الاصناف!E"&amp;MATCH(LEFT(A87,FIND("|",A87)-1),الاصناف!E:E,0),"✏️ " &amp; LEFT(A87,FIND("|",A87)-1)))</f>
        <v/>
      </c>
      <c r="C87" s="6" t="str">
        <f>IF(A87="","",HYPERLINK("#الاصناف!G"&amp;MATCH(LEFT(A87,FIND("|",A87)-1),الاصناف!E:E,0),"💰 " &amp; RIGHT(A87,LEN(A87)-FIND("|",A87)) &amp; " $"))</f>
        <v/>
      </c>
    </row>
    <row r="88" spans="2:3">
      <c r="B88" s="6" t="str">
        <f>IF(A88="","",HYPERLINK("#الاصناف!E"&amp;MATCH(LEFT(A88,FIND("|",A88)-1),الاصناف!E:E,0),"✏️ " &amp; LEFT(A88,FIND("|",A88)-1)))</f>
        <v/>
      </c>
      <c r="C88" s="6" t="str">
        <f>IF(A88="","",HYPERLINK("#الاصناف!G"&amp;MATCH(LEFT(A88,FIND("|",A88)-1),الاصناف!E:E,0),"💰 " &amp; RIGHT(A88,LEN(A88)-FIND("|",A88)) &amp; " $"))</f>
        <v/>
      </c>
    </row>
    <row r="89" spans="2:3">
      <c r="B89" s="6" t="str">
        <f>IF(A89="","",HYPERLINK("#الاصناف!E"&amp;MATCH(LEFT(A89,FIND("|",A89)-1),الاصناف!E:E,0),"✏️ " &amp; LEFT(A89,FIND("|",A89)-1)))</f>
        <v/>
      </c>
      <c r="C89" s="6" t="str">
        <f>IF(A89="","",HYPERLINK("#الاصناف!G"&amp;MATCH(LEFT(A89,FIND("|",A89)-1),الاصناف!E:E,0),"💰 " &amp; RIGHT(A89,LEN(A89)-FIND("|",A89)) &amp; " $"))</f>
        <v/>
      </c>
    </row>
    <row r="90" spans="2:3">
      <c r="B90" s="6" t="str">
        <f>IF(A90="","",HYPERLINK("#الاصناف!E"&amp;MATCH(LEFT(A90,FIND("|",A90)-1),الاصناف!E:E,0),"✏️ " &amp; LEFT(A90,FIND("|",A90)-1)))</f>
        <v/>
      </c>
      <c r="C90" s="6" t="str">
        <f>IF(A90="","",HYPERLINK("#الاصناف!G"&amp;MATCH(LEFT(A90,FIND("|",A90)-1),الاصناف!E:E,0),"💰 " &amp; RIGHT(A90,LEN(A90)-FIND("|",A90)) &amp; " $"))</f>
        <v/>
      </c>
    </row>
    <row r="91" spans="2:3">
      <c r="B91" s="6" t="str">
        <f>IF(A91="","",HYPERLINK("#الاصناف!E"&amp;MATCH(LEFT(A91,FIND("|",A91)-1),الاصناف!E:E,0),"✏️ " &amp; LEFT(A91,FIND("|",A91)-1)))</f>
        <v/>
      </c>
      <c r="C91" s="6" t="str">
        <f>IF(A91="","",HYPERLINK("#الاصناف!G"&amp;MATCH(LEFT(A91,FIND("|",A91)-1),الاصناف!E:E,0),"💰 " &amp; RIGHT(A91,LEN(A91)-FIND("|",A91)) &amp; " $"))</f>
        <v/>
      </c>
    </row>
    <row r="92" spans="2:3">
      <c r="B92" s="6" t="str">
        <f>IF(A92="","",HYPERLINK("#الاصناف!E"&amp;MATCH(LEFT(A92,FIND("|",A92)-1),الاصناف!E:E,0),"✏️ " &amp; LEFT(A92,FIND("|",A92)-1)))</f>
        <v/>
      </c>
      <c r="C92" s="6" t="str">
        <f>IF(A92="","",HYPERLINK("#الاصناف!G"&amp;MATCH(LEFT(A92,FIND("|",A92)-1),الاصناف!E:E,0),"💰 " &amp; RIGHT(A92,LEN(A92)-FIND("|",A92)) &amp; " $"))</f>
        <v/>
      </c>
    </row>
    <row r="93" spans="2:3">
      <c r="B93" s="6" t="str">
        <f>IF(A93="","",HYPERLINK("#الاصناف!E"&amp;MATCH(LEFT(A93,FIND("|",A93)-1),الاصناف!E:E,0),"✏️ " &amp; LEFT(A93,FIND("|",A93)-1)))</f>
        <v/>
      </c>
      <c r="C93" s="6" t="str">
        <f>IF(A93="","",HYPERLINK("#الاصناف!G"&amp;MATCH(LEFT(A93,FIND("|",A93)-1),الاصناف!E:E,0),"💰 " &amp; RIGHT(A93,LEN(A93)-FIND("|",A93)) &amp; " $"))</f>
        <v/>
      </c>
    </row>
    <row r="94" spans="2:3">
      <c r="B94" s="6" t="str">
        <f>IF(A94="","",HYPERLINK("#الاصناف!E"&amp;MATCH(LEFT(A94,FIND("|",A94)-1),الاصناف!E:E,0),"✏️ " &amp; LEFT(A94,FIND("|",A94)-1)))</f>
        <v/>
      </c>
      <c r="C94" s="6" t="str">
        <f>IF(A94="","",HYPERLINK("#الاصناف!G"&amp;MATCH(LEFT(A94,FIND("|",A94)-1),الاصناف!E:E,0),"💰 " &amp; RIGHT(A94,LEN(A94)-FIND("|",A94)) &amp; " $"))</f>
        <v/>
      </c>
    </row>
    <row r="95" spans="2:3">
      <c r="B95" s="6" t="str">
        <f>IF(A95="","",HYPERLINK("#الاصناف!E"&amp;MATCH(LEFT(A95,FIND("|",A95)-1),الاصناف!E:E,0),"✏️ " &amp; LEFT(A95,FIND("|",A95)-1)))</f>
        <v/>
      </c>
      <c r="C95" s="6" t="str">
        <f>IF(A95="","",HYPERLINK("#الاصناف!G"&amp;MATCH(LEFT(A95,FIND("|",A95)-1),الاصناف!E:E,0),"💰 " &amp; RIGHT(A95,LEN(A95)-FIND("|",A95)) &amp; " $"))</f>
        <v/>
      </c>
    </row>
    <row r="96" spans="2:3">
      <c r="B96" s="6" t="str">
        <f>IF(A96="","",HYPERLINK("#الاصناف!E"&amp;MATCH(LEFT(A96,FIND("|",A96)-1),الاصناف!E:E,0),"✏️ " &amp; LEFT(A96,FIND("|",A96)-1)))</f>
        <v/>
      </c>
      <c r="C96" s="6" t="str">
        <f>IF(A96="","",HYPERLINK("#الاصناف!G"&amp;MATCH(LEFT(A96,FIND("|",A96)-1),الاصناف!E:E,0),"💰 " &amp; RIGHT(A96,LEN(A96)-FIND("|",A96)) &amp; " $"))</f>
        <v/>
      </c>
    </row>
    <row r="97" spans="2:3">
      <c r="B97" s="6" t="str">
        <f>IF(A97="","",HYPERLINK("#الاصناف!E"&amp;MATCH(LEFT(A97,FIND("|",A97)-1),الاصناف!E:E,0),"✏️ " &amp; LEFT(A97,FIND("|",A97)-1)))</f>
        <v/>
      </c>
      <c r="C97" s="6" t="str">
        <f>IF(A97="","",HYPERLINK("#الاصناف!G"&amp;MATCH(LEFT(A97,FIND("|",A97)-1),الاصناف!E:E,0),"💰 " &amp; RIGHT(A97,LEN(A97)-FIND("|",A97)) &amp; " $"))</f>
        <v/>
      </c>
    </row>
    <row r="98" spans="2:3">
      <c r="B98" s="6" t="str">
        <f>IF(A98="","",HYPERLINK("#الاصناف!E"&amp;MATCH(LEFT(A98,FIND("|",A98)-1),الاصناف!E:E,0),"✏️ " &amp; LEFT(A98,FIND("|",A98)-1)))</f>
        <v/>
      </c>
      <c r="C98" s="6" t="str">
        <f>IF(A98="","",HYPERLINK("#الاصناف!G"&amp;MATCH(LEFT(A98,FIND("|",A98)-1),الاصناف!E:E,0),"💰 " &amp; RIGHT(A98,LEN(A98)-FIND("|",A98)) &amp; " $"))</f>
        <v/>
      </c>
    </row>
    <row r="99" spans="2:3">
      <c r="B99" s="6" t="str">
        <f>IF(A99="","",HYPERLINK("#الاصناف!E"&amp;MATCH(LEFT(A99,FIND("|",A99)-1),الاصناف!E:E,0),"✏️ " &amp; LEFT(A99,FIND("|",A99)-1)))</f>
        <v/>
      </c>
      <c r="C99" s="6" t="str">
        <f>IF(A99="","",HYPERLINK("#الاصناف!G"&amp;MATCH(LEFT(A99,FIND("|",A99)-1),الاصناف!E:E,0),"💰 " &amp; RIGHT(A99,LEN(A99)-FIND("|",A99)) &amp; " $"))</f>
        <v/>
      </c>
    </row>
    <row r="100" spans="2:3">
      <c r="B100" s="6" t="str">
        <f>IF(A100="","",HYPERLINK("#الاصناف!E"&amp;MATCH(LEFT(A100,FIND("|",A100)-1),الاصناف!E:E,0),"✏️ " &amp; LEFT(A100,FIND("|",A100)-1)))</f>
        <v/>
      </c>
      <c r="C100" s="6" t="str">
        <f>IF(A100="","",HYPERLINK("#الاصناف!G"&amp;MATCH(LEFT(A100,FIND("|",A100)-1),الاصناف!E:E,0),"💰 " &amp; RIGHT(A100,LEN(A100)-FIND("|",A100)) &amp; " $"))</f>
        <v/>
      </c>
    </row>
    <row r="101" spans="2:3">
      <c r="B101" s="6" t="str">
        <f>IF(A101="","",HYPERLINK("#الاصناف!E"&amp;MATCH(LEFT(A101,FIND("|",A101)-1),الاصناف!E:E,0),"✏️ " &amp; LEFT(A101,FIND("|",A101)-1)))</f>
        <v/>
      </c>
      <c r="C101" s="6" t="str">
        <f>IF(A101="","",HYPERLINK("#الاصناف!G"&amp;MATCH(LEFT(A101,FIND("|",A101)-1),الاصناف!E:E,0),"💰 " &amp; RIGHT(A101,LEN(A101)-FIND("|",A101)) &amp; " $"))</f>
        <v/>
      </c>
    </row>
    <row r="102" spans="2:3">
      <c r="B102" s="6" t="str">
        <f>IF(A102="","",HYPERLINK("#الاصناف!E"&amp;MATCH(LEFT(A102,FIND("|",A102)-1),الاصناف!E:E,0),"✏️ " &amp; LEFT(A102,FIND("|",A102)-1)))</f>
        <v/>
      </c>
      <c r="C102" s="6" t="str">
        <f>IF(A102="","",HYPERLINK("#الاصناف!G"&amp;MATCH(LEFT(A102,FIND("|",A102)-1),الاصناف!E:E,0),"💰 " &amp; RIGHT(A102,LEN(A102)-FIND("|",A102)) &amp; " $"))</f>
        <v/>
      </c>
    </row>
    <row r="103" spans="2:3">
      <c r="B103" s="6" t="str">
        <f>IF(A103="","",HYPERLINK("#الاصناف!E"&amp;MATCH(LEFT(A103,FIND("|",A103)-1),الاصناف!E:E,0),"✏️ " &amp; LEFT(A103,FIND("|",A103)-1)))</f>
        <v/>
      </c>
      <c r="C103" s="6" t="str">
        <f>IF(A103="","",HYPERLINK("#الاصناف!G"&amp;MATCH(LEFT(A103,FIND("|",A103)-1),الاصناف!E:E,0),"💰 " &amp; RIGHT(A103,LEN(A103)-FIND("|",A103)) &amp; " $"))</f>
        <v/>
      </c>
    </row>
    <row r="104" spans="2:3">
      <c r="B104" s="6" t="str">
        <f>IF(A104="","",HYPERLINK("#الاصناف!E"&amp;MATCH(LEFT(A104,FIND("|",A104)-1),الاصناف!E:E,0),"✏️ " &amp; LEFT(A104,FIND("|",A104)-1)))</f>
        <v/>
      </c>
      <c r="C104" s="6" t="str">
        <f>IF(A104="","",HYPERLINK("#الاصناف!G"&amp;MATCH(LEFT(A104,FIND("|",A104)-1),الاصناف!E:E,0),"💰 " &amp; RIGHT(A104,LEN(A104)-FIND("|",A104)) &amp; " $"))</f>
        <v/>
      </c>
    </row>
    <row r="105" spans="2:3">
      <c r="B105" s="6" t="str">
        <f>IF(A105="","",HYPERLINK("#الاصناف!E"&amp;MATCH(LEFT(A105,FIND("|",A105)-1),الاصناف!E:E,0),"✏️ " &amp; LEFT(A105,FIND("|",A105)-1)))</f>
        <v/>
      </c>
      <c r="C105" s="6" t="str">
        <f>IF(A105="","",HYPERLINK("#الاصناف!G"&amp;MATCH(LEFT(A105,FIND("|",A105)-1),الاصناف!E:E,0),"💰 " &amp; RIGHT(A105,LEN(A105)-FIND("|",A105)) &amp; " $"))</f>
        <v/>
      </c>
    </row>
    <row r="106" spans="2:3">
      <c r="B106" s="6" t="str">
        <f>IF(A106="","",HYPERLINK("#الاصناف!E"&amp;MATCH(LEFT(A106,FIND("|",A106)-1),الاصناف!E:E,0),"✏️ " &amp; LEFT(A106,FIND("|",A106)-1)))</f>
        <v/>
      </c>
      <c r="C106" s="6" t="str">
        <f>IF(A106="","",HYPERLINK("#الاصناف!G"&amp;MATCH(LEFT(A106,FIND("|",A106)-1),الاصناف!E:E,0),"💰 " &amp; RIGHT(A106,LEN(A106)-FIND("|",A106)) &amp; " $"))</f>
        <v/>
      </c>
    </row>
    <row r="107" spans="2:3">
      <c r="B107" s="6" t="str">
        <f>IF(A107="","",HYPERLINK("#الاصناف!E"&amp;MATCH(LEFT(A107,FIND("|",A107)-1),الاصناف!E:E,0),"✏️ " &amp; LEFT(A107,FIND("|",A107)-1)))</f>
        <v/>
      </c>
      <c r="C107" s="6" t="str">
        <f>IF(A107="","",HYPERLINK("#الاصناف!G"&amp;MATCH(LEFT(A107,FIND("|",A107)-1),الاصناف!E:E,0),"💰 " &amp; RIGHT(A107,LEN(A107)-FIND("|",A107)) &amp; " $"))</f>
        <v/>
      </c>
    </row>
    <row r="108" spans="2:3">
      <c r="B108" s="6" t="str">
        <f>IF(A108="","",HYPERLINK("#الاصناف!E"&amp;MATCH(LEFT(A108,FIND("|",A108)-1),الاصناف!E:E,0),"✏️ " &amp; LEFT(A108,FIND("|",A108)-1)))</f>
        <v/>
      </c>
      <c r="C108" s="6" t="str">
        <f>IF(A108="","",HYPERLINK("#الاصناف!G"&amp;MATCH(LEFT(A108,FIND("|",A108)-1),الاصناف!E:E,0),"💰 " &amp; RIGHT(A108,LEN(A108)-FIND("|",A108)) &amp; " $"))</f>
        <v/>
      </c>
    </row>
    <row r="109" spans="2:3">
      <c r="B109" s="6" t="str">
        <f>IF(A109="","",HYPERLINK("#الاصناف!E"&amp;MATCH(LEFT(A109,FIND("|",A109)-1),الاصناف!E:E,0),"✏️ " &amp; LEFT(A109,FIND("|",A109)-1)))</f>
        <v/>
      </c>
      <c r="C109" s="6" t="str">
        <f>IF(A109="","",HYPERLINK("#الاصناف!G"&amp;MATCH(LEFT(A109,FIND("|",A109)-1),الاصناف!E:E,0),"💰 " &amp; RIGHT(A109,LEN(A109)-FIND("|",A109)) &amp; " $"))</f>
        <v/>
      </c>
    </row>
    <row r="110" spans="2:3">
      <c r="B110" s="6" t="str">
        <f>IF(A110="","",HYPERLINK("#الاصناف!E"&amp;MATCH(LEFT(A110,FIND("|",A110)-1),الاصناف!E:E,0),"✏️ " &amp; LEFT(A110,FIND("|",A110)-1)))</f>
        <v/>
      </c>
      <c r="C110" s="6" t="str">
        <f>IF(A110="","",HYPERLINK("#الاصناف!G"&amp;MATCH(LEFT(A110,FIND("|",A110)-1),الاصناف!E:E,0),"💰 " &amp; RIGHT(A110,LEN(A110)-FIND("|",A110)) &amp; " $"))</f>
        <v/>
      </c>
    </row>
    <row r="111" spans="2:3">
      <c r="B111" s="6" t="str">
        <f>IF(A111="","",HYPERLINK("#الاصناف!E"&amp;MATCH(LEFT(A111,FIND("|",A111)-1),الاصناف!E:E,0),"✏️ " &amp; LEFT(A111,FIND("|",A111)-1)))</f>
        <v/>
      </c>
      <c r="C111" s="6" t="str">
        <f>IF(A111="","",HYPERLINK("#الاصناف!G"&amp;MATCH(LEFT(A111,FIND("|",A111)-1),الاصناف!E:E,0),"💰 " &amp; RIGHT(A111,LEN(A111)-FIND("|",A111)) &amp; " $"))</f>
        <v/>
      </c>
    </row>
    <row r="112" spans="2:3">
      <c r="B112" s="6" t="str">
        <f>IF(A112="","",HYPERLINK("#الاصناف!E"&amp;MATCH(LEFT(A112,FIND("|",A112)-1),الاصناف!E:E,0),"✏️ " &amp; LEFT(A112,FIND("|",A112)-1)))</f>
        <v/>
      </c>
      <c r="C112" s="6" t="str">
        <f>IF(A112="","",HYPERLINK("#الاصناف!G"&amp;MATCH(LEFT(A112,FIND("|",A112)-1),الاصناف!E:E,0),"💰 " &amp; RIGHT(A112,LEN(A112)-FIND("|",A112)) &amp; " $"))</f>
        <v/>
      </c>
    </row>
    <row r="113" spans="2:3">
      <c r="B113" s="6" t="str">
        <f>IF(A113="","",HYPERLINK("#الاصناف!E"&amp;MATCH(LEFT(A113,FIND("|",A113)-1),الاصناف!E:E,0),"✏️ " &amp; LEFT(A113,FIND("|",A113)-1)))</f>
        <v/>
      </c>
      <c r="C113" s="6" t="str">
        <f>IF(A113="","",HYPERLINK("#الاصناف!G"&amp;MATCH(LEFT(A113,FIND("|",A113)-1),الاصناف!E:E,0),"💰 " &amp; RIGHT(A113,LEN(A113)-FIND("|",A113)) &amp; " $"))</f>
        <v/>
      </c>
    </row>
    <row r="114" spans="2:3">
      <c r="B114" s="6" t="str">
        <f>IF(A114="","",HYPERLINK("#الاصناف!E"&amp;MATCH(LEFT(A114,FIND("|",A114)-1),الاصناف!E:E,0),"✏️ " &amp; LEFT(A114,FIND("|",A114)-1)))</f>
        <v/>
      </c>
      <c r="C114" s="6" t="str">
        <f>IF(A114="","",HYPERLINK("#الاصناف!G"&amp;MATCH(LEFT(A114,FIND("|",A114)-1),الاصناف!E:E,0),"💰 " &amp; RIGHT(A114,LEN(A114)-FIND("|",A114)) &amp; " $"))</f>
        <v/>
      </c>
    </row>
    <row r="115" spans="2:3">
      <c r="B115" s="6" t="str">
        <f>IF(A115="","",HYPERLINK("#الاصناف!E"&amp;MATCH(LEFT(A115,FIND("|",A115)-1),الاصناف!E:E,0),"✏️ " &amp; LEFT(A115,FIND("|",A115)-1)))</f>
        <v/>
      </c>
      <c r="C115" s="6" t="str">
        <f>IF(A115="","",HYPERLINK("#الاصناف!G"&amp;MATCH(LEFT(A115,FIND("|",A115)-1),الاصناف!E:E,0),"💰 " &amp; RIGHT(A115,LEN(A115)-FIND("|",A115)) &amp; " $"))</f>
        <v/>
      </c>
    </row>
    <row r="116" spans="2:3">
      <c r="B116" s="6" t="str">
        <f>IF(A116="","",HYPERLINK("#الاصناف!E"&amp;MATCH(LEFT(A116,FIND("|",A116)-1),الاصناف!E:E,0),"✏️ " &amp; LEFT(A116,FIND("|",A116)-1)))</f>
        <v/>
      </c>
      <c r="C116" s="6" t="str">
        <f>IF(A116="","",HYPERLINK("#الاصناف!G"&amp;MATCH(LEFT(A116,FIND("|",A116)-1),الاصناف!E:E,0),"💰 " &amp; RIGHT(A116,LEN(A116)-FIND("|",A116)) &amp; " $"))</f>
        <v/>
      </c>
    </row>
    <row r="117" spans="2:3">
      <c r="B117" s="6" t="str">
        <f>IF(A117="","",HYPERLINK("#الاصناف!E"&amp;MATCH(LEFT(A117,FIND("|",A117)-1),الاصناف!E:E,0),"✏️ " &amp; LEFT(A117,FIND("|",A117)-1)))</f>
        <v/>
      </c>
      <c r="C117" s="6" t="str">
        <f>IF(A117="","",HYPERLINK("#الاصناف!G"&amp;MATCH(LEFT(A117,FIND("|",A117)-1),الاصناف!E:E,0),"💰 " &amp; RIGHT(A117,LEN(A117)-FIND("|",A117)) &amp; " $"))</f>
        <v/>
      </c>
    </row>
    <row r="118" spans="2:3">
      <c r="B118" s="6" t="str">
        <f>IF(A118="","",HYPERLINK("#الاصناف!E"&amp;MATCH(LEFT(A118,FIND("|",A118)-1),الاصناف!E:E,0),"✏️ " &amp; LEFT(A118,FIND("|",A118)-1)))</f>
        <v/>
      </c>
      <c r="C118" s="6" t="str">
        <f>IF(A118="","",HYPERLINK("#الاصناف!G"&amp;MATCH(LEFT(A118,FIND("|",A118)-1),الاصناف!E:E,0),"💰 " &amp; RIGHT(A118,LEN(A118)-FIND("|",A118)) &amp; " $"))</f>
        <v/>
      </c>
    </row>
    <row r="119" spans="2:3">
      <c r="B119" s="6" t="str">
        <f>IF(A119="","",HYPERLINK("#الاصناف!E"&amp;MATCH(LEFT(A119,FIND("|",A119)-1),الاصناف!E:E,0),"✏️ " &amp; LEFT(A119,FIND("|",A119)-1)))</f>
        <v/>
      </c>
      <c r="C119" s="6" t="str">
        <f>IF(A119="","",HYPERLINK("#الاصناف!G"&amp;MATCH(LEFT(A119,FIND("|",A119)-1),الاصناف!E:E,0),"💰 " &amp; RIGHT(A119,LEN(A119)-FIND("|",A119)) &amp; " $"))</f>
        <v/>
      </c>
    </row>
    <row r="120" spans="2:3">
      <c r="B120" s="6" t="str">
        <f>IF(A120="","",HYPERLINK("#الاصناف!E"&amp;MATCH(LEFT(A120,FIND("|",A120)-1),الاصناف!E:E,0),"✏️ " &amp; LEFT(A120,FIND("|",A120)-1)))</f>
        <v/>
      </c>
      <c r="C120" s="6" t="str">
        <f>IF(A120="","",HYPERLINK("#الاصناف!G"&amp;MATCH(LEFT(A120,FIND("|",A120)-1),الاصناف!E:E,0),"💰 " &amp; RIGHT(A120,LEN(A120)-FIND("|",A120)) &amp; " $"))</f>
        <v/>
      </c>
    </row>
    <row r="121" spans="2:3">
      <c r="B121" s="6" t="str">
        <f>IF(A121="","",HYPERLINK("#الاصناف!E"&amp;MATCH(LEFT(A121,FIND("|",A121)-1),الاصناف!E:E,0),"✏️ " &amp; LEFT(A121,FIND("|",A121)-1)))</f>
        <v/>
      </c>
      <c r="C121" s="6" t="str">
        <f>IF(A121="","",HYPERLINK("#الاصناف!G"&amp;MATCH(LEFT(A121,FIND("|",A121)-1),الاصناف!E:E,0),"💰 " &amp; RIGHT(A121,LEN(A121)-FIND("|",A121)) &amp; " $"))</f>
        <v/>
      </c>
    </row>
    <row r="122" spans="2:3">
      <c r="B122" s="6" t="str">
        <f>IF(A122="","",HYPERLINK("#الاصناف!E"&amp;MATCH(LEFT(A122,FIND("|",A122)-1),الاصناف!E:E,0),"✏️ " &amp; LEFT(A122,FIND("|",A122)-1)))</f>
        <v/>
      </c>
      <c r="C122" s="6" t="str">
        <f>IF(A122="","",HYPERLINK("#الاصناف!G"&amp;MATCH(LEFT(A122,FIND("|",A122)-1),الاصناف!E:E,0),"💰 " &amp; RIGHT(A122,LEN(A122)-FIND("|",A122)) &amp; " $"))</f>
        <v/>
      </c>
    </row>
    <row r="123" spans="2:3">
      <c r="B123" s="6" t="str">
        <f>IF(A123="","",HYPERLINK("#الاصناف!E"&amp;MATCH(LEFT(A123,FIND("|",A123)-1),الاصناف!E:E,0),"✏️ " &amp; LEFT(A123,FIND("|",A123)-1)))</f>
        <v/>
      </c>
      <c r="C123" s="6" t="str">
        <f>IF(A123="","",HYPERLINK("#الاصناف!G"&amp;MATCH(LEFT(A123,FIND("|",A123)-1),الاصناف!E:E,0),"💰 " &amp; RIGHT(A123,LEN(A123)-FIND("|",A123)) &amp; " $"))</f>
        <v/>
      </c>
    </row>
    <row r="124" spans="2:3">
      <c r="B124" s="6" t="str">
        <f>IF(A124="","",HYPERLINK("#الاصناف!E"&amp;MATCH(LEFT(A124,FIND("|",A124)-1),الاصناف!E:E,0),"✏️ " &amp; LEFT(A124,FIND("|",A124)-1)))</f>
        <v/>
      </c>
      <c r="C124" s="6" t="str">
        <f>IF(A124="","",HYPERLINK("#الاصناف!G"&amp;MATCH(LEFT(A124,FIND("|",A124)-1),الاصناف!E:E,0),"💰 " &amp; RIGHT(A124,LEN(A124)-FIND("|",A124)) &amp; " $"))</f>
        <v/>
      </c>
    </row>
    <row r="125" spans="2:3">
      <c r="B125" s="6" t="str">
        <f>IF(A125="","",HYPERLINK("#الاصناف!E"&amp;MATCH(LEFT(A125,FIND("|",A125)-1),الاصناف!E:E,0),"✏️ " &amp; LEFT(A125,FIND("|",A125)-1)))</f>
        <v/>
      </c>
      <c r="C125" s="6" t="str">
        <f>IF(A125="","",HYPERLINK("#الاصناف!G"&amp;MATCH(LEFT(A125,FIND("|",A125)-1),الاصناف!E:E,0),"💰 " &amp; RIGHT(A125,LEN(A125)-FIND("|",A125)) &amp; " $"))</f>
        <v/>
      </c>
    </row>
    <row r="126" spans="2:3">
      <c r="B126" s="6" t="str">
        <f>IF(A126="","",HYPERLINK("#الاصناف!E"&amp;MATCH(LEFT(A126,FIND("|",A126)-1),الاصناف!E:E,0),"✏️ " &amp; LEFT(A126,FIND("|",A126)-1)))</f>
        <v/>
      </c>
      <c r="C126" s="6" t="str">
        <f>IF(A126="","",HYPERLINK("#الاصناف!G"&amp;MATCH(LEFT(A126,FIND("|",A126)-1),الاصناف!E:E,0),"💰 " &amp; RIGHT(A126,LEN(A126)-FIND("|",A126)) &amp; " $"))</f>
        <v/>
      </c>
    </row>
    <row r="127" spans="2:3">
      <c r="B127" s="6" t="str">
        <f>IF(A127="","",HYPERLINK("#الاصناف!E"&amp;MATCH(LEFT(A127,FIND("|",A127)-1),الاصناف!E:E,0),"✏️ " &amp; LEFT(A127,FIND("|",A127)-1)))</f>
        <v/>
      </c>
      <c r="C127" s="6" t="str">
        <f>IF(A127="","",HYPERLINK("#الاصناف!G"&amp;MATCH(LEFT(A127,FIND("|",A127)-1),الاصناف!E:E,0),"💰 " &amp; RIGHT(A127,LEN(A127)-FIND("|",A127)) &amp; " $"))</f>
        <v/>
      </c>
    </row>
    <row r="128" spans="2:3">
      <c r="B128" s="6" t="str">
        <f>IF(A128="","",HYPERLINK("#الاصناف!E"&amp;MATCH(LEFT(A128,FIND("|",A128)-1),الاصناف!E:E,0),"✏️ " &amp; LEFT(A128,FIND("|",A128)-1)))</f>
        <v/>
      </c>
      <c r="C128" s="6" t="str">
        <f>IF(A128="","",HYPERLINK("#الاصناف!G"&amp;MATCH(LEFT(A128,FIND("|",A128)-1),الاصناف!E:E,0),"💰 " &amp; RIGHT(A128,LEN(A128)-FIND("|",A128)) &amp; " $"))</f>
        <v/>
      </c>
    </row>
    <row r="129" spans="2:3">
      <c r="B129" s="6" t="str">
        <f>IF(A129="","",HYPERLINK("#الاصناف!E"&amp;MATCH(LEFT(A129,FIND("|",A129)-1),الاصناف!E:E,0),"✏️ " &amp; LEFT(A129,FIND("|",A129)-1)))</f>
        <v/>
      </c>
      <c r="C129" s="6" t="str">
        <f>IF(A129="","",HYPERLINK("#الاصناف!G"&amp;MATCH(LEFT(A129,FIND("|",A129)-1),الاصناف!E:E,0),"💰 " &amp; RIGHT(A129,LEN(A129)-FIND("|",A129)) &amp; " $"))</f>
        <v/>
      </c>
    </row>
    <row r="130" spans="2:3">
      <c r="B130" s="6" t="str">
        <f>IF(A130="","",HYPERLINK("#الاصناف!E"&amp;MATCH(LEFT(A130,FIND("|",A130)-1),الاصناف!E:E,0),"✏️ " &amp; LEFT(A130,FIND("|",A130)-1)))</f>
        <v/>
      </c>
      <c r="C130" s="6" t="str">
        <f>IF(A130="","",HYPERLINK("#الاصناف!G"&amp;MATCH(LEFT(A130,FIND("|",A130)-1),الاصناف!E:E,0),"💰 " &amp; RIGHT(A130,LEN(A130)-FIND("|",A130)) &amp; " $"))</f>
        <v/>
      </c>
    </row>
    <row r="131" spans="2:3">
      <c r="B131" s="6" t="str">
        <f>IF(A131="","",HYPERLINK("#الاصناف!E"&amp;MATCH(LEFT(A131,FIND("|",A131)-1),الاصناف!E:E,0),"✏️ " &amp; LEFT(A131,FIND("|",A131)-1)))</f>
        <v/>
      </c>
      <c r="C131" s="6" t="str">
        <f>IF(A131="","",HYPERLINK("#الاصناف!G"&amp;MATCH(LEFT(A131,FIND("|",A131)-1),الاصناف!E:E,0),"💰 " &amp; RIGHT(A131,LEN(A131)-FIND("|",A131)) &amp; " $"))</f>
        <v/>
      </c>
    </row>
    <row r="132" spans="2:3">
      <c r="B132" s="6" t="str">
        <f>IF(A132="","",HYPERLINK("#الاصناف!E"&amp;MATCH(LEFT(A132,FIND("|",A132)-1),الاصناف!E:E,0),"✏️ " &amp; LEFT(A132,FIND("|",A132)-1)))</f>
        <v/>
      </c>
      <c r="C132" s="6" t="str">
        <f>IF(A132="","",HYPERLINK("#الاصناف!G"&amp;MATCH(LEFT(A132,FIND("|",A132)-1),الاصناف!E:E,0),"💰 " &amp; RIGHT(A132,LEN(A132)-FIND("|",A132)) &amp; " $"))</f>
        <v/>
      </c>
    </row>
    <row r="133" spans="2:3">
      <c r="B133" s="6" t="str">
        <f>IF(A133="","",HYPERLINK("#الاصناف!E"&amp;MATCH(LEFT(A133,FIND("|",A133)-1),الاصناف!E:E,0),"✏️ " &amp; LEFT(A133,FIND("|",A133)-1)))</f>
        <v/>
      </c>
      <c r="C133" s="6" t="str">
        <f>IF(A133="","",HYPERLINK("#الاصناف!G"&amp;MATCH(LEFT(A133,FIND("|",A133)-1),الاصناف!E:E,0),"💰 " &amp; RIGHT(A133,LEN(A133)-FIND("|",A133)) &amp; " $"))</f>
        <v/>
      </c>
    </row>
    <row r="134" spans="2:3">
      <c r="B134" s="6" t="str">
        <f>IF(A134="","",HYPERLINK("#الاصناف!E"&amp;MATCH(LEFT(A134,FIND("|",A134)-1),الاصناف!E:E,0),"✏️ " &amp; LEFT(A134,FIND("|",A134)-1)))</f>
        <v/>
      </c>
      <c r="C134" s="6" t="str">
        <f>IF(A134="","",HYPERLINK("#الاصناف!G"&amp;MATCH(LEFT(A134,FIND("|",A134)-1),الاصناف!E:E,0),"💰 " &amp; RIGHT(A134,LEN(A134)-FIND("|",A134)) &amp; " $"))</f>
        <v/>
      </c>
    </row>
    <row r="135" spans="2:3">
      <c r="B135" s="6" t="str">
        <f>IF(A135="","",HYPERLINK("#الاصناف!E"&amp;MATCH(LEFT(A135,FIND("|",A135)-1),الاصناف!E:E,0),"✏️ " &amp; LEFT(A135,FIND("|",A135)-1)))</f>
        <v/>
      </c>
      <c r="C135" s="6" t="str">
        <f>IF(A135="","",HYPERLINK("#الاصناف!G"&amp;MATCH(LEFT(A135,FIND("|",A135)-1),الاصناف!E:E,0),"💰 " &amp; RIGHT(A135,LEN(A135)-FIND("|",A135)) &amp; " $"))</f>
        <v/>
      </c>
    </row>
    <row r="136" spans="2:3">
      <c r="B136" s="6" t="str">
        <f>IF(A136="","",HYPERLINK("#الاصناف!E"&amp;MATCH(LEFT(A136,FIND("|",A136)-1),الاصناف!E:E,0),"✏️ " &amp; LEFT(A136,FIND("|",A136)-1)))</f>
        <v/>
      </c>
      <c r="C136" s="6" t="str">
        <f>IF(A136="","",HYPERLINK("#الاصناف!G"&amp;MATCH(LEFT(A136,FIND("|",A136)-1),الاصناف!E:E,0),"💰 " &amp; RIGHT(A136,LEN(A136)-FIND("|",A136)) &amp; " $"))</f>
        <v/>
      </c>
    </row>
    <row r="137" spans="2:3">
      <c r="B137" s="6" t="str">
        <f>IF(A137="","",HYPERLINK("#الاصناف!E"&amp;MATCH(LEFT(A137,FIND("|",A137)-1),الاصناف!E:E,0),"✏️ " &amp; LEFT(A137,FIND("|",A137)-1)))</f>
        <v/>
      </c>
      <c r="C137" s="6" t="str">
        <f>IF(A137="","",HYPERLINK("#الاصناف!G"&amp;MATCH(LEFT(A137,FIND("|",A137)-1),الاصناف!E:E,0),"💰 " &amp; RIGHT(A137,LEN(A137)-FIND("|",A137)) &amp; " $"))</f>
        <v/>
      </c>
    </row>
    <row r="138" spans="2:3">
      <c r="B138" s="6" t="str">
        <f>IF(A138="","",HYPERLINK("#الاصناف!E"&amp;MATCH(LEFT(A138,FIND("|",A138)-1),الاصناف!E:E,0),"✏️ " &amp; LEFT(A138,FIND("|",A138)-1)))</f>
        <v/>
      </c>
      <c r="C138" s="6" t="str">
        <f>IF(A138="","",HYPERLINK("#الاصناف!G"&amp;MATCH(LEFT(A138,FIND("|",A138)-1),الاصناف!E:E,0),"💰 " &amp; RIGHT(A138,LEN(A138)-FIND("|",A138)) &amp; " $"))</f>
        <v/>
      </c>
    </row>
    <row r="139" spans="2:3">
      <c r="B139" s="6" t="str">
        <f>IF(A139="","",HYPERLINK("#الاصناف!E"&amp;MATCH(LEFT(A139,FIND("|",A139)-1),الاصناف!E:E,0),"✏️ " &amp; LEFT(A139,FIND("|",A139)-1)))</f>
        <v/>
      </c>
      <c r="C139" s="6" t="str">
        <f>IF(A139="","",HYPERLINK("#الاصناف!G"&amp;MATCH(LEFT(A139,FIND("|",A139)-1),الاصناف!E:E,0),"💰 " &amp; RIGHT(A139,LEN(A139)-FIND("|",A139)) &amp; " $"))</f>
        <v/>
      </c>
    </row>
    <row r="140" spans="2:3">
      <c r="B140" s="6" t="str">
        <f>IF(A140="","",HYPERLINK("#الاصناف!E"&amp;MATCH(LEFT(A140,FIND("|",A140)-1),الاصناف!E:E,0),"✏️ " &amp; LEFT(A140,FIND("|",A140)-1)))</f>
        <v/>
      </c>
      <c r="C140" s="6" t="str">
        <f>IF(A140="","",HYPERLINK("#الاصناف!G"&amp;MATCH(LEFT(A140,FIND("|",A140)-1),الاصناف!E:E,0),"💰 " &amp; RIGHT(A140,LEN(A140)-FIND("|",A140)) &amp; " $"))</f>
        <v/>
      </c>
    </row>
    <row r="141" spans="2:3">
      <c r="B141" s="6" t="str">
        <f>IF(A141="","",HYPERLINK("#الاصناف!E"&amp;MATCH(LEFT(A141,FIND("|",A141)-1),الاصناف!E:E,0),"✏️ " &amp; LEFT(A141,FIND("|",A141)-1)))</f>
        <v/>
      </c>
      <c r="C141" s="6" t="str">
        <f>IF(A141="","",HYPERLINK("#الاصناف!G"&amp;MATCH(LEFT(A141,FIND("|",A141)-1),الاصناف!E:E,0),"💰 " &amp; RIGHT(A141,LEN(A141)-FIND("|",A141)) &amp; " $"))</f>
        <v/>
      </c>
    </row>
    <row r="142" spans="2:3">
      <c r="B142" s="6" t="str">
        <f>IF(A142="","",HYPERLINK("#الاصناف!E"&amp;MATCH(LEFT(A142,FIND("|",A142)-1),الاصناف!E:E,0),"✏️ " &amp; LEFT(A142,FIND("|",A142)-1)))</f>
        <v/>
      </c>
      <c r="C142" s="6" t="str">
        <f>IF(A142="","",HYPERLINK("#الاصناف!G"&amp;MATCH(LEFT(A142,FIND("|",A142)-1),الاصناف!E:E,0),"💰 " &amp; RIGHT(A142,LEN(A142)-FIND("|",A142)) &amp; " $"))</f>
        <v/>
      </c>
    </row>
    <row r="143" spans="2:3">
      <c r="B143" s="6" t="str">
        <f>IF(A143="","",HYPERLINK("#الاصناف!E"&amp;MATCH(LEFT(A143,FIND("|",A143)-1),الاصناف!E:E,0),"✏️ " &amp; LEFT(A143,FIND("|",A143)-1)))</f>
        <v/>
      </c>
      <c r="C143" s="6" t="str">
        <f>IF(A143="","",HYPERLINK("#الاصناف!G"&amp;MATCH(LEFT(A143,FIND("|",A143)-1),الاصناف!E:E,0),"💰 " &amp; RIGHT(A143,LEN(A143)-FIND("|",A143)) &amp; " $"))</f>
        <v/>
      </c>
    </row>
    <row r="144" spans="2:3">
      <c r="B144" s="6" t="str">
        <f>IF(A144="","",HYPERLINK("#الاصناف!E"&amp;MATCH(LEFT(A144,FIND("|",A144)-1),الاصناف!E:E,0),"✏️ " &amp; LEFT(A144,FIND("|",A144)-1)))</f>
        <v/>
      </c>
      <c r="C144" s="6" t="str">
        <f>IF(A144="","",HYPERLINK("#الاصناف!G"&amp;MATCH(LEFT(A144,FIND("|",A144)-1),الاصناف!E:E,0),"💰 " &amp; RIGHT(A144,LEN(A144)-FIND("|",A144)) &amp; " $"))</f>
        <v/>
      </c>
    </row>
    <row r="145" spans="2:3">
      <c r="B145" s="6" t="str">
        <f>IF(A145="","",HYPERLINK("#الاصناف!E"&amp;MATCH(LEFT(A145,FIND("|",A145)-1),الاصناف!E:E,0),"✏️ " &amp; LEFT(A145,FIND("|",A145)-1)))</f>
        <v/>
      </c>
      <c r="C145" s="6" t="str">
        <f>IF(A145="","",HYPERLINK("#الاصناف!G"&amp;MATCH(LEFT(A145,FIND("|",A145)-1),الاصناف!E:E,0),"💰 " &amp; RIGHT(A145,LEN(A145)-FIND("|",A145)) &amp; " $"))</f>
        <v/>
      </c>
    </row>
    <row r="146" spans="2:3">
      <c r="B146" s="6" t="str">
        <f>IF(A146="","",HYPERLINK("#الاصناف!E"&amp;MATCH(LEFT(A146,FIND("|",A146)-1),الاصناف!E:E,0),"✏️ " &amp; LEFT(A146,FIND("|",A146)-1)))</f>
        <v/>
      </c>
      <c r="C146" s="6" t="str">
        <f>IF(A146="","",HYPERLINK("#الاصناف!G"&amp;MATCH(LEFT(A146,FIND("|",A146)-1),الاصناف!E:E,0),"💰 " &amp; RIGHT(A146,LEN(A146)-FIND("|",A146)) &amp; " $"))</f>
        <v/>
      </c>
    </row>
    <row r="147" spans="2:3">
      <c r="B147" s="6" t="str">
        <f>IF(A147="","",HYPERLINK("#الاصناف!E"&amp;MATCH(LEFT(A147,FIND("|",A147)-1),الاصناف!E:E,0),"✏️ " &amp; LEFT(A147,FIND("|",A147)-1)))</f>
        <v/>
      </c>
      <c r="C147" s="6" t="str">
        <f>IF(A147="","",HYPERLINK("#الاصناف!G"&amp;MATCH(LEFT(A147,FIND("|",A147)-1),الاصناف!E:E,0),"💰 " &amp; RIGHT(A147,LEN(A147)-FIND("|",A147)) &amp; " $"))</f>
        <v/>
      </c>
    </row>
    <row r="148" spans="2:3">
      <c r="B148" s="6" t="str">
        <f>IF(A148="","",HYPERLINK("#الاصناف!E"&amp;MATCH(LEFT(A148,FIND("|",A148)-1),الاصناف!E:E,0),"✏️ " &amp; LEFT(A148,FIND("|",A148)-1)))</f>
        <v/>
      </c>
      <c r="C148" s="6" t="str">
        <f>IF(A148="","",HYPERLINK("#الاصناف!G"&amp;MATCH(LEFT(A148,FIND("|",A148)-1),الاصناف!E:E,0),"💰 " &amp; RIGHT(A148,LEN(A148)-FIND("|",A148)) &amp; " $"))</f>
        <v/>
      </c>
    </row>
    <row r="149" spans="2:3">
      <c r="B149" s="6" t="str">
        <f>IF(A149="","",HYPERLINK("#الاصناف!E"&amp;MATCH(LEFT(A149,FIND("|",A149)-1),الاصناف!E:E,0),"✏️ " &amp; LEFT(A149,FIND("|",A149)-1)))</f>
        <v/>
      </c>
      <c r="C149" s="6" t="str">
        <f>IF(A149="","",HYPERLINK("#الاصناف!G"&amp;MATCH(LEFT(A149,FIND("|",A149)-1),الاصناف!E:E,0),"💰 " &amp; RIGHT(A149,LEN(A149)-FIND("|",A149)) &amp; " $"))</f>
        <v/>
      </c>
    </row>
    <row r="150" spans="2:3">
      <c r="B150" s="6" t="str">
        <f>IF(A150="","",HYPERLINK("#الاصناف!E"&amp;MATCH(LEFT(A150,FIND("|",A150)-1),الاصناف!E:E,0),"✏️ " &amp; LEFT(A150,FIND("|",A150)-1)))</f>
        <v/>
      </c>
      <c r="C150" s="6" t="str">
        <f>IF(A150="","",HYPERLINK("#الاصناف!G"&amp;MATCH(LEFT(A150,FIND("|",A150)-1),الاصناف!E:E,0),"💰 " &amp; RIGHT(A150,LEN(A150)-FIND("|",A150)) &amp; " $"))</f>
        <v/>
      </c>
    </row>
    <row r="151" spans="2:3">
      <c r="B151" s="6" t="str">
        <f>IF(A151="","",HYPERLINK("#الاصناف!E"&amp;MATCH(LEFT(A151,FIND("|",A151)-1),الاصناف!E:E,0),"✏️ " &amp; LEFT(A151,FIND("|",A151)-1)))</f>
        <v/>
      </c>
      <c r="C151" s="6" t="str">
        <f>IF(A151="","",HYPERLINK("#الاصناف!G"&amp;MATCH(LEFT(A151,FIND("|",A151)-1),الاصناف!E:E,0),"💰 " &amp; RIGHT(A151,LEN(A151)-FIND("|",A151)) &amp; " $"))</f>
        <v/>
      </c>
    </row>
    <row r="152" spans="2:3">
      <c r="B152" s="6" t="str">
        <f>IF(A152="","",HYPERLINK("#الاصناف!E"&amp;MATCH(LEFT(A152,FIND("|",A152)-1),الاصناف!E:E,0),"✏️ " &amp; LEFT(A152,FIND("|",A152)-1)))</f>
        <v/>
      </c>
      <c r="C152" s="6" t="str">
        <f>IF(A152="","",HYPERLINK("#الاصناف!G"&amp;MATCH(LEFT(A152,FIND("|",A152)-1),الاصناف!E:E,0),"💰 " &amp; RIGHT(A152,LEN(A152)-FIND("|",A152)) &amp; " $"))</f>
        <v/>
      </c>
    </row>
    <row r="153" spans="2:3">
      <c r="B153" s="6" t="str">
        <f>IF(A153="","",HYPERLINK("#الاصناف!E"&amp;MATCH(LEFT(A153,FIND("|",A153)-1),الاصناف!E:E,0),"✏️ " &amp; LEFT(A153,FIND("|",A153)-1)))</f>
        <v/>
      </c>
      <c r="C153" s="6" t="str">
        <f>IF(A153="","",HYPERLINK("#الاصناف!G"&amp;MATCH(LEFT(A153,FIND("|",A153)-1),الاصناف!E:E,0),"💰 " &amp; RIGHT(A153,LEN(A153)-FIND("|",A153)) &amp; " $"))</f>
        <v/>
      </c>
    </row>
    <row r="154" spans="2:3">
      <c r="B154" s="6" t="str">
        <f>IF(A154="","",HYPERLINK("#الاصناف!E"&amp;MATCH(LEFT(A154,FIND("|",A154)-1),الاصناف!E:E,0),"✏️ " &amp; LEFT(A154,FIND("|",A154)-1)))</f>
        <v/>
      </c>
      <c r="C154" s="6" t="str">
        <f>IF(A154="","",HYPERLINK("#الاصناف!G"&amp;MATCH(LEFT(A154,FIND("|",A154)-1),الاصناف!E:E,0),"💰 " &amp; RIGHT(A154,LEN(A154)-FIND("|",A154)) &amp; " $"))</f>
        <v/>
      </c>
    </row>
    <row r="155" spans="2:3">
      <c r="B155" s="6" t="str">
        <f>IF(A155="","",HYPERLINK("#الاصناف!E"&amp;MATCH(LEFT(A155,FIND("|",A155)-1),الاصناف!E:E,0),"✏️ " &amp; LEFT(A155,FIND("|",A155)-1)))</f>
        <v/>
      </c>
      <c r="C155" s="6" t="str">
        <f>IF(A155="","",HYPERLINK("#الاصناف!G"&amp;MATCH(LEFT(A155,FIND("|",A155)-1),الاصناف!E:E,0),"💰 " &amp; RIGHT(A155,LEN(A155)-FIND("|",A155)) &amp; " $"))</f>
        <v/>
      </c>
    </row>
    <row r="156" spans="2:3">
      <c r="B156" s="6" t="str">
        <f>IF(A156="","",HYPERLINK("#الاصناف!E"&amp;MATCH(LEFT(A156,FIND("|",A156)-1),الاصناف!E:E,0),"✏️ " &amp; LEFT(A156,FIND("|",A156)-1)))</f>
        <v/>
      </c>
      <c r="C156" s="6" t="str">
        <f>IF(A156="","",HYPERLINK("#الاصناف!G"&amp;MATCH(LEFT(A156,FIND("|",A156)-1),الاصناف!E:E,0),"💰 " &amp; RIGHT(A156,LEN(A156)-FIND("|",A156)) &amp; " $"))</f>
        <v/>
      </c>
    </row>
    <row r="157" spans="2:3">
      <c r="B157" s="6" t="str">
        <f>IF(A157="","",HYPERLINK("#الاصناف!E"&amp;MATCH(LEFT(A157,FIND("|",A157)-1),الاصناف!E:E,0),"✏️ " &amp; LEFT(A157,FIND("|",A157)-1)))</f>
        <v/>
      </c>
      <c r="C157" s="6" t="str">
        <f>IF(A157="","",HYPERLINK("#الاصناف!G"&amp;MATCH(LEFT(A157,FIND("|",A157)-1),الاصناف!E:E,0),"💰 " &amp; RIGHT(A157,LEN(A157)-FIND("|",A157)) &amp; " $"))</f>
        <v/>
      </c>
    </row>
    <row r="158" spans="2:3">
      <c r="B158" s="6" t="str">
        <f>IF(A158="","",HYPERLINK("#الاصناف!E"&amp;MATCH(LEFT(A158,FIND("|",A158)-1),الاصناف!E:E,0),"✏️ " &amp; LEFT(A158,FIND("|",A158)-1)))</f>
        <v/>
      </c>
      <c r="C158" s="6" t="str">
        <f>IF(A158="","",HYPERLINK("#الاصناف!G"&amp;MATCH(LEFT(A158,FIND("|",A158)-1),الاصناف!E:E,0),"💰 " &amp; RIGHT(A158,LEN(A158)-FIND("|",A158)) &amp; " $"))</f>
        <v/>
      </c>
    </row>
    <row r="159" spans="2:3">
      <c r="B159" s="6" t="str">
        <f>IF(A159="","",HYPERLINK("#الاصناف!E"&amp;MATCH(LEFT(A159,FIND("|",A159)-1),الاصناف!E:E,0),"✏️ " &amp; LEFT(A159,FIND("|",A159)-1)))</f>
        <v/>
      </c>
      <c r="C159" s="6" t="str">
        <f>IF(A159="","",HYPERLINK("#الاصناف!G"&amp;MATCH(LEFT(A159,FIND("|",A159)-1),الاصناف!E:E,0),"💰 " &amp; RIGHT(A159,LEN(A159)-FIND("|",A159)) &amp; " $"))</f>
        <v/>
      </c>
    </row>
    <row r="160" spans="2:3">
      <c r="B160" s="6" t="str">
        <f>IF(A160="","",HYPERLINK("#الاصناف!E"&amp;MATCH(LEFT(A160,FIND("|",A160)-1),الاصناف!E:E,0),"✏️ " &amp; LEFT(A160,FIND("|",A160)-1)))</f>
        <v/>
      </c>
      <c r="C160" s="6" t="str">
        <f>IF(A160="","",HYPERLINK("#الاصناف!G"&amp;MATCH(LEFT(A160,FIND("|",A160)-1),الاصناف!E:E,0),"💰 " &amp; RIGHT(A160,LEN(A160)-FIND("|",A160)) &amp; " $"))</f>
        <v/>
      </c>
    </row>
    <row r="161" spans="2:3">
      <c r="B161" s="6" t="str">
        <f>IF(A161="","",HYPERLINK("#الاصناف!E"&amp;MATCH(LEFT(A161,FIND("|",A161)-1),الاصناف!E:E,0),"✏️ " &amp; LEFT(A161,FIND("|",A161)-1)))</f>
        <v/>
      </c>
      <c r="C161" s="6" t="str">
        <f>IF(A161="","",HYPERLINK("#الاصناف!G"&amp;MATCH(LEFT(A161,FIND("|",A161)-1),الاصناف!E:E,0),"💰 " &amp; RIGHT(A161,LEN(A161)-FIND("|",A161)) &amp; " $"))</f>
        <v/>
      </c>
    </row>
    <row r="162" spans="2:3">
      <c r="B162" s="6" t="str">
        <f>IF(A162="","",HYPERLINK("#الاصناف!E"&amp;MATCH(LEFT(A162,FIND("|",A162)-1),الاصناف!E:E,0),"✏️ " &amp; LEFT(A162,FIND("|",A162)-1)))</f>
        <v/>
      </c>
      <c r="C162" s="6" t="str">
        <f>IF(A162="","",HYPERLINK("#الاصناف!G"&amp;MATCH(LEFT(A162,FIND("|",A162)-1),الاصناف!E:E,0),"💰 " &amp; RIGHT(A162,LEN(A162)-FIND("|",A162)) &amp; " $"))</f>
        <v/>
      </c>
    </row>
    <row r="163" spans="2:3">
      <c r="B163" s="6" t="str">
        <f>IF(A163="","",HYPERLINK("#الاصناف!E"&amp;MATCH(LEFT(A163,FIND("|",A163)-1),الاصناف!E:E,0),"✏️ " &amp; LEFT(A163,FIND("|",A163)-1)))</f>
        <v/>
      </c>
      <c r="C163" s="6" t="str">
        <f>IF(A163="","",HYPERLINK("#الاصناف!G"&amp;MATCH(LEFT(A163,FIND("|",A163)-1),الاصناف!E:E,0),"💰 " &amp; RIGHT(A163,LEN(A163)-FIND("|",A163)) &amp; " $"))</f>
        <v/>
      </c>
    </row>
    <row r="164" spans="2:3">
      <c r="B164" s="6" t="str">
        <f>IF(A164="","",HYPERLINK("#الاصناف!E"&amp;MATCH(LEFT(A164,FIND("|",A164)-1),الاصناف!E:E,0),"✏️ " &amp; LEFT(A164,FIND("|",A164)-1)))</f>
        <v/>
      </c>
      <c r="C164" s="6" t="str">
        <f>IF(A164="","",HYPERLINK("#الاصناف!G"&amp;MATCH(LEFT(A164,FIND("|",A164)-1),الاصناف!E:E,0),"💰 " &amp; RIGHT(A164,LEN(A164)-FIND("|",A164)) &amp; " $"))</f>
        <v/>
      </c>
    </row>
    <row r="165" spans="2:3">
      <c r="B165" s="6" t="str">
        <f>IF(A165="","",HYPERLINK("#الاصناف!E"&amp;MATCH(LEFT(A165,FIND("|",A165)-1),الاصناف!E:E,0),"✏️ " &amp; LEFT(A165,FIND("|",A165)-1)))</f>
        <v/>
      </c>
      <c r="C165" s="6" t="str">
        <f>IF(A165="","",HYPERLINK("#الاصناف!G"&amp;MATCH(LEFT(A165,FIND("|",A165)-1),الاصناف!E:E,0),"💰 " &amp; RIGHT(A165,LEN(A165)-FIND("|",A165)) &amp; " $"))</f>
        <v/>
      </c>
    </row>
    <row r="166" spans="2:3">
      <c r="B166" s="6" t="str">
        <f>IF(A166="","",HYPERLINK("#الاصناف!E"&amp;MATCH(LEFT(A166,FIND("|",A166)-1),الاصناف!E:E,0),"✏️ " &amp; LEFT(A166,FIND("|",A166)-1)))</f>
        <v/>
      </c>
      <c r="C166" s="6" t="str">
        <f>IF(A166="","",HYPERLINK("#الاصناف!G"&amp;MATCH(LEFT(A166,FIND("|",A166)-1),الاصناف!E:E,0),"💰 " &amp; RIGHT(A166,LEN(A166)-FIND("|",A166)) &amp; " $"))</f>
        <v/>
      </c>
    </row>
    <row r="167" spans="2:3">
      <c r="B167" s="6" t="str">
        <f>IF(A167="","",HYPERLINK("#الاصناف!E"&amp;MATCH(LEFT(A167,FIND("|",A167)-1),الاصناف!E:E,0),"✏️ " &amp; LEFT(A167,FIND("|",A167)-1)))</f>
        <v/>
      </c>
      <c r="C167" s="6" t="str">
        <f>IF(A167="","",HYPERLINK("#الاصناف!G"&amp;MATCH(LEFT(A167,FIND("|",A167)-1),الاصناف!E:E,0),"💰 " &amp; RIGHT(A167,LEN(A167)-FIND("|",A167)) &amp; " $"))</f>
        <v/>
      </c>
    </row>
    <row r="168" spans="2:3">
      <c r="B168" s="6" t="str">
        <f>IF(A168="","",HYPERLINK("#الاصناف!E"&amp;MATCH(LEFT(A168,FIND("|",A168)-1),الاصناف!E:E,0),"✏️ " &amp; LEFT(A168,FIND("|",A168)-1)))</f>
        <v/>
      </c>
      <c r="C168" s="6" t="str">
        <f>IF(A168="","",HYPERLINK("#الاصناف!G"&amp;MATCH(LEFT(A168,FIND("|",A168)-1),الاصناف!E:E,0),"💰 " &amp; RIGHT(A168,LEN(A168)-FIND("|",A168)) &amp; " $"))</f>
        <v/>
      </c>
    </row>
    <row r="169" spans="2:3">
      <c r="B169" s="6" t="str">
        <f>IF(A169="","",HYPERLINK("#الاصناف!E"&amp;MATCH(LEFT(A169,FIND("|",A169)-1),الاصناف!E:E,0),"✏️ " &amp; LEFT(A169,FIND("|",A169)-1)))</f>
        <v/>
      </c>
      <c r="C169" s="6" t="str">
        <f>IF(A169="","",HYPERLINK("#الاصناف!G"&amp;MATCH(LEFT(A169,FIND("|",A169)-1),الاصناف!E:E,0),"💰 " &amp; RIGHT(A169,LEN(A169)-FIND("|",A169)) &amp; " $"))</f>
        <v/>
      </c>
    </row>
    <row r="170" spans="2:3">
      <c r="B170" s="6" t="str">
        <f>IF(A170="","",HYPERLINK("#الاصناف!E"&amp;MATCH(LEFT(A170,FIND("|",A170)-1),الاصناف!E:E,0),"✏️ " &amp; LEFT(A170,FIND("|",A170)-1)))</f>
        <v/>
      </c>
      <c r="C170" s="6" t="str">
        <f>IF(A170="","",HYPERLINK("#الاصناف!G"&amp;MATCH(LEFT(A170,FIND("|",A170)-1),الاصناف!E:E,0),"💰 " &amp; RIGHT(A170,LEN(A170)-FIND("|",A170)) &amp; " $"))</f>
        <v/>
      </c>
    </row>
    <row r="171" spans="2:3">
      <c r="B171" s="6" t="str">
        <f>IF(A171="","",HYPERLINK("#الاصناف!E"&amp;MATCH(LEFT(A171,FIND("|",A171)-1),الاصناف!E:E,0),"✏️ " &amp; LEFT(A171,FIND("|",A171)-1)))</f>
        <v/>
      </c>
      <c r="C171" s="6" t="str">
        <f>IF(A171="","",HYPERLINK("#الاصناف!G"&amp;MATCH(LEFT(A171,FIND("|",A171)-1),الاصناف!E:E,0),"💰 " &amp; RIGHT(A171,LEN(A171)-FIND("|",A171)) &amp; " $"))</f>
        <v/>
      </c>
    </row>
    <row r="172" spans="2:3">
      <c r="B172" s="6" t="str">
        <f>IF(A172="","",HYPERLINK("#الاصناف!E"&amp;MATCH(LEFT(A172,FIND("|",A172)-1),الاصناف!E:E,0),"✏️ " &amp; LEFT(A172,FIND("|",A172)-1)))</f>
        <v/>
      </c>
      <c r="C172" s="6" t="str">
        <f>IF(A172="","",HYPERLINK("#الاصناف!G"&amp;MATCH(LEFT(A172,FIND("|",A172)-1),الاصناف!E:E,0),"💰 " &amp; RIGHT(A172,LEN(A172)-FIND("|",A172)) &amp; " $"))</f>
        <v/>
      </c>
    </row>
    <row r="173" spans="2:3">
      <c r="B173" s="6" t="str">
        <f>IF(A173="","",HYPERLINK("#الاصناف!E"&amp;MATCH(LEFT(A173,FIND("|",A173)-1),الاصناف!E:E,0),"✏️ " &amp; LEFT(A173,FIND("|",A173)-1)))</f>
        <v/>
      </c>
      <c r="C173" s="6" t="str">
        <f>IF(A173="","",HYPERLINK("#الاصناف!G"&amp;MATCH(LEFT(A173,FIND("|",A173)-1),الاصناف!E:E,0),"💰 " &amp; RIGHT(A173,LEN(A173)-FIND("|",A173)) &amp; " $"))</f>
        <v/>
      </c>
    </row>
    <row r="174" spans="2:3">
      <c r="B174" s="6" t="str">
        <f>IF(A174="","",HYPERLINK("#الاصناف!E"&amp;MATCH(LEFT(A174,FIND("|",A174)-1),الاصناف!E:E,0),"✏️ " &amp; LEFT(A174,FIND("|",A174)-1)))</f>
        <v/>
      </c>
      <c r="C174" s="6" t="str">
        <f>IF(A174="","",HYPERLINK("#الاصناف!G"&amp;MATCH(LEFT(A174,FIND("|",A174)-1),الاصناف!E:E,0),"💰 " &amp; RIGHT(A174,LEN(A174)-FIND("|",A174)) &amp; " $"))</f>
        <v/>
      </c>
    </row>
    <row r="175" spans="2:3">
      <c r="B175" s="6" t="str">
        <f>IF(A175="","",HYPERLINK("#الاصناف!E"&amp;MATCH(LEFT(A175,FIND("|",A175)-1),الاصناف!E:E,0),"✏️ " &amp; LEFT(A175,FIND("|",A175)-1)))</f>
        <v/>
      </c>
      <c r="C175" s="6" t="str">
        <f>IF(A175="","",HYPERLINK("#الاصناف!G"&amp;MATCH(LEFT(A175,FIND("|",A175)-1),الاصناف!E:E,0),"💰 " &amp; RIGHT(A175,LEN(A175)-FIND("|",A175)) &amp; " $"))</f>
        <v/>
      </c>
    </row>
    <row r="176" spans="2:3">
      <c r="B176" s="6" t="str">
        <f>IF(A176="","",HYPERLINK("#الاصناف!E"&amp;MATCH(LEFT(A176,FIND("|",A176)-1),الاصناف!E:E,0),"✏️ " &amp; LEFT(A176,FIND("|",A176)-1)))</f>
        <v/>
      </c>
      <c r="C176" s="6" t="str">
        <f>IF(A176="","",HYPERLINK("#الاصناف!G"&amp;MATCH(LEFT(A176,FIND("|",A176)-1),الاصناف!E:E,0),"💰 " &amp; RIGHT(A176,LEN(A176)-FIND("|",A176)) &amp; " $"))</f>
        <v/>
      </c>
    </row>
    <row r="177" spans="2:3">
      <c r="B177" s="6" t="str">
        <f>IF(A177="","",HYPERLINK("#الاصناف!E"&amp;MATCH(LEFT(A177,FIND("|",A177)-1),الاصناف!E:E,0),"✏️ " &amp; LEFT(A177,FIND("|",A177)-1)))</f>
        <v/>
      </c>
      <c r="C177" s="6" t="str">
        <f>IF(A177="","",HYPERLINK("#الاصناف!G"&amp;MATCH(LEFT(A177,FIND("|",A177)-1),الاصناف!E:E,0),"💰 " &amp; RIGHT(A177,LEN(A177)-FIND("|",A177)) &amp; " $"))</f>
        <v/>
      </c>
    </row>
    <row r="178" spans="2:3">
      <c r="B178" s="6" t="str">
        <f>IF(A178="","",HYPERLINK("#الاصناف!E"&amp;MATCH(LEFT(A178,FIND("|",A178)-1),الاصناف!E:E,0),"✏️ " &amp; LEFT(A178,FIND("|",A178)-1)))</f>
        <v/>
      </c>
      <c r="C178" s="6" t="str">
        <f>IF(A178="","",HYPERLINK("#الاصناف!G"&amp;MATCH(LEFT(A178,FIND("|",A178)-1),الاصناف!E:E,0),"💰 " &amp; RIGHT(A178,LEN(A178)-FIND("|",A178)) &amp; " $"))</f>
        <v/>
      </c>
    </row>
    <row r="179" spans="2:3">
      <c r="B179" s="6" t="str">
        <f>IF(A179="","",HYPERLINK("#الاصناف!E"&amp;MATCH(LEFT(A179,FIND("|",A179)-1),الاصناف!E:E,0),"✏️ " &amp; LEFT(A179,FIND("|",A179)-1)))</f>
        <v/>
      </c>
      <c r="C179" s="6" t="str">
        <f>IF(A179="","",HYPERLINK("#الاصناف!G"&amp;MATCH(LEFT(A179,FIND("|",A179)-1),الاصناف!E:E,0),"💰 " &amp; RIGHT(A179,LEN(A179)-FIND("|",A179)) &amp; " $"))</f>
        <v/>
      </c>
    </row>
    <row r="180" spans="2:3">
      <c r="B180" s="6" t="str">
        <f>IF(A180="","",HYPERLINK("#الاصناف!E"&amp;MATCH(LEFT(A180,FIND("|",A180)-1),الاصناف!E:E,0),"✏️ " &amp; LEFT(A180,FIND("|",A180)-1)))</f>
        <v/>
      </c>
      <c r="C180" s="6" t="str">
        <f>IF(A180="","",HYPERLINK("#الاصناف!G"&amp;MATCH(LEFT(A180,FIND("|",A180)-1),الاصناف!E:E,0),"💰 " &amp; RIGHT(A180,LEN(A180)-FIND("|",A180)) &amp; " $"))</f>
        <v/>
      </c>
    </row>
    <row r="181" spans="2:3">
      <c r="B181" s="6" t="str">
        <f>IF(A181="","",HYPERLINK("#الاصناف!E"&amp;MATCH(LEFT(A181,FIND("|",A181)-1),الاصناف!E:E,0),"✏️ " &amp; LEFT(A181,FIND("|",A181)-1)))</f>
        <v/>
      </c>
      <c r="C181" s="6" t="str">
        <f>IF(A181="","",HYPERLINK("#الاصناف!G"&amp;MATCH(LEFT(A181,FIND("|",A181)-1),الاصناف!E:E,0),"💰 " &amp; RIGHT(A181,LEN(A181)-FIND("|",A181)) &amp; " $"))</f>
        <v/>
      </c>
    </row>
    <row r="182" spans="2:3">
      <c r="B182" s="6" t="str">
        <f>IF(A182="","",HYPERLINK("#الاصناف!E"&amp;MATCH(LEFT(A182,FIND("|",A182)-1),الاصناف!E:E,0),"✏️ " &amp; LEFT(A182,FIND("|",A182)-1)))</f>
        <v/>
      </c>
      <c r="C182" s="6" t="str">
        <f>IF(A182="","",HYPERLINK("#الاصناف!G"&amp;MATCH(LEFT(A182,FIND("|",A182)-1),الاصناف!E:E,0),"💰 " &amp; RIGHT(A182,LEN(A182)-FIND("|",A182)) &amp; " $"))</f>
        <v/>
      </c>
    </row>
    <row r="183" spans="2:3">
      <c r="B183" s="6" t="str">
        <f>IF(A183="","",HYPERLINK("#الاصناف!E"&amp;MATCH(LEFT(A183,FIND("|",A183)-1),الاصناف!E:E,0),"✏️ " &amp; LEFT(A183,FIND("|",A183)-1)))</f>
        <v/>
      </c>
      <c r="C183" s="6" t="str">
        <f>IF(A183="","",HYPERLINK("#الاصناف!G"&amp;MATCH(LEFT(A183,FIND("|",A183)-1),الاصناف!E:E,0),"💰 " &amp; RIGHT(A183,LEN(A183)-FIND("|",A183)) &amp; " $"))</f>
        <v/>
      </c>
    </row>
    <row r="184" spans="2:3">
      <c r="B184" s="6" t="str">
        <f>IF(A184="","",HYPERLINK("#الاصناف!E"&amp;MATCH(LEFT(A184,FIND("|",A184)-1),الاصناف!E:E,0),"✏️ " &amp; LEFT(A184,FIND("|",A184)-1)))</f>
        <v/>
      </c>
      <c r="C184" s="6" t="str">
        <f>IF(A184="","",HYPERLINK("#الاصناف!G"&amp;MATCH(LEFT(A184,FIND("|",A184)-1),الاصناف!E:E,0),"💰 " &amp; RIGHT(A184,LEN(A184)-FIND("|",A184)) &amp; " $"))</f>
        <v/>
      </c>
    </row>
    <row r="185" spans="2:3">
      <c r="B185" s="6" t="str">
        <f>IF(A185="","",HYPERLINK("#الاصناف!E"&amp;MATCH(LEFT(A185,FIND("|",A185)-1),الاصناف!E:E,0),"✏️ " &amp; LEFT(A185,FIND("|",A185)-1)))</f>
        <v/>
      </c>
      <c r="C185" s="6" t="str">
        <f>IF(A185="","",HYPERLINK("#الاصناف!G"&amp;MATCH(LEFT(A185,FIND("|",A185)-1),الاصناف!E:E,0),"💰 " &amp; RIGHT(A185,LEN(A185)-FIND("|",A185)) &amp; " $"))</f>
        <v/>
      </c>
    </row>
    <row r="186" spans="2:3">
      <c r="B186" s="6" t="str">
        <f>IF(A186="","",HYPERLINK("#الاصناف!E"&amp;MATCH(LEFT(A186,FIND("|",A186)-1),الاصناف!E:E,0),"✏️ " &amp; LEFT(A186,FIND("|",A186)-1)))</f>
        <v/>
      </c>
      <c r="C186" s="6" t="str">
        <f>IF(A186="","",HYPERLINK("#الاصناف!G"&amp;MATCH(LEFT(A186,FIND("|",A186)-1),الاصناف!E:E,0),"💰 " &amp; RIGHT(A186,LEN(A186)-FIND("|",A186)) &amp; " $"))</f>
        <v/>
      </c>
    </row>
    <row r="187" spans="2:3">
      <c r="B187" s="6" t="str">
        <f>IF(A187="","",HYPERLINK("#الاصناف!E"&amp;MATCH(LEFT(A187,FIND("|",A187)-1),الاصناف!E:E,0),"✏️ " &amp; LEFT(A187,FIND("|",A187)-1)))</f>
        <v/>
      </c>
      <c r="C187" s="6" t="str">
        <f>IF(A187="","",HYPERLINK("#الاصناف!G"&amp;MATCH(LEFT(A187,FIND("|",A187)-1),الاصناف!E:E,0),"💰 " &amp; RIGHT(A187,LEN(A187)-FIND("|",A187)) &amp; " $"))</f>
        <v/>
      </c>
    </row>
    <row r="188" spans="2:3">
      <c r="B188" s="6" t="str">
        <f>IF(A188="","",HYPERLINK("#الاصناف!E"&amp;MATCH(LEFT(A188,FIND("|",A188)-1),الاصناف!E:E,0),"✏️ " &amp; LEFT(A188,FIND("|",A188)-1)))</f>
        <v/>
      </c>
      <c r="C188" s="6" t="str">
        <f>IF(A188="","",HYPERLINK("#الاصناف!G"&amp;MATCH(LEFT(A188,FIND("|",A188)-1),الاصناف!E:E,0),"💰 " &amp; RIGHT(A188,LEN(A188)-FIND("|",A188)) &amp; " $"))</f>
        <v/>
      </c>
    </row>
    <row r="189" spans="2:3">
      <c r="B189" s="6" t="str">
        <f>IF(A189="","",HYPERLINK("#الاصناف!E"&amp;MATCH(LEFT(A189,FIND("|",A189)-1),الاصناف!E:E,0),"✏️ " &amp; LEFT(A189,FIND("|",A189)-1)))</f>
        <v/>
      </c>
      <c r="C189" s="6" t="str">
        <f>IF(A189="","",HYPERLINK("#الاصناف!G"&amp;MATCH(LEFT(A189,FIND("|",A189)-1),الاصناف!E:E,0),"💰 " &amp; RIGHT(A189,LEN(A189)-FIND("|",A189)) &amp; " $"))</f>
        <v/>
      </c>
    </row>
    <row r="190" spans="2:3">
      <c r="B190" s="6" t="str">
        <f>IF(A190="","",HYPERLINK("#الاصناف!E"&amp;MATCH(LEFT(A190,FIND("|",A190)-1),الاصناف!E:E,0),"✏️ " &amp; LEFT(A190,FIND("|",A190)-1)))</f>
        <v/>
      </c>
      <c r="C190" s="6" t="str">
        <f>IF(A190="","",HYPERLINK("#الاصناف!G"&amp;MATCH(LEFT(A190,FIND("|",A190)-1),الاصناف!E:E,0),"💰 " &amp; RIGHT(A190,LEN(A190)-FIND("|",A190)) &amp; " $"))</f>
        <v/>
      </c>
    </row>
    <row r="191" spans="2:3">
      <c r="B191" s="6" t="str">
        <f>IF(A191="","",HYPERLINK("#الاصناف!E"&amp;MATCH(LEFT(A191,FIND("|",A191)-1),الاصناف!E:E,0),"✏️ " &amp; LEFT(A191,FIND("|",A191)-1)))</f>
        <v/>
      </c>
      <c r="C191" s="6" t="str">
        <f>IF(A191="","",HYPERLINK("#الاصناف!G"&amp;MATCH(LEFT(A191,FIND("|",A191)-1),الاصناف!E:E,0),"💰 " &amp; RIGHT(A191,LEN(A191)-FIND("|",A191)) &amp; " $"))</f>
        <v/>
      </c>
    </row>
    <row r="192" spans="2:3">
      <c r="B192" s="6" t="str">
        <f>IF(A192="","",HYPERLINK("#الاصناف!E"&amp;MATCH(LEFT(A192,FIND("|",A192)-1),الاصناف!E:E,0),"✏️ " &amp; LEFT(A192,FIND("|",A192)-1)))</f>
        <v/>
      </c>
      <c r="C192" s="6" t="str">
        <f>IF(A192="","",HYPERLINK("#الاصناف!G"&amp;MATCH(LEFT(A192,FIND("|",A192)-1),الاصناف!E:E,0),"💰 " &amp; RIGHT(A192,LEN(A192)-FIND("|",A192)) &amp; " $"))</f>
        <v/>
      </c>
    </row>
    <row r="193" spans="2:3">
      <c r="B193" s="6" t="str">
        <f>IF(A193="","",HYPERLINK("#الاصناف!E"&amp;MATCH(LEFT(A193,FIND("|",A193)-1),الاصناف!E:E,0),"✏️ " &amp; LEFT(A193,FIND("|",A193)-1)))</f>
        <v/>
      </c>
      <c r="C193" s="6" t="str">
        <f>IF(A193="","",HYPERLINK("#الاصناف!G"&amp;MATCH(LEFT(A193,FIND("|",A193)-1),الاصناف!E:E,0),"💰 " &amp; RIGHT(A193,LEN(A193)-FIND("|",A193)) &amp; " $"))</f>
        <v/>
      </c>
    </row>
    <row r="194" spans="2:3">
      <c r="B194" s="6" t="str">
        <f>IF(A194="","",HYPERLINK("#الاصناف!E"&amp;MATCH(LEFT(A194,FIND("|",A194)-1),الاصناف!E:E,0),"✏️ " &amp; LEFT(A194,FIND("|",A194)-1)))</f>
        <v/>
      </c>
      <c r="C194" s="6" t="str">
        <f>IF(A194="","",HYPERLINK("#الاصناف!G"&amp;MATCH(LEFT(A194,FIND("|",A194)-1),الاصناف!E:E,0),"💰 " &amp; RIGHT(A194,LEN(A194)-FIND("|",A194)) &amp; " $"))</f>
        <v/>
      </c>
    </row>
    <row r="195" spans="2:3">
      <c r="B195" s="6" t="str">
        <f>IF(A195="","",HYPERLINK("#الاصناف!E"&amp;MATCH(LEFT(A195,FIND("|",A195)-1),الاصناف!E:E,0),"✏️ " &amp; LEFT(A195,FIND("|",A195)-1)))</f>
        <v/>
      </c>
      <c r="C195" s="6" t="str">
        <f>IF(A195="","",HYPERLINK("#الاصناف!G"&amp;MATCH(LEFT(A195,FIND("|",A195)-1),الاصناف!E:E,0),"💰 " &amp; RIGHT(A195,LEN(A195)-FIND("|",A195)) &amp; " $"))</f>
        <v/>
      </c>
    </row>
    <row r="196" spans="2:3">
      <c r="B196" s="6" t="str">
        <f>IF(A196="","",HYPERLINK("#الاصناف!E"&amp;MATCH(LEFT(A196,FIND("|",A196)-1),الاصناف!E:E,0),"✏️ " &amp; LEFT(A196,FIND("|",A196)-1)))</f>
        <v/>
      </c>
      <c r="C196" s="6" t="str">
        <f>IF(A196="","",HYPERLINK("#الاصناف!G"&amp;MATCH(LEFT(A196,FIND("|",A196)-1),الاصناف!E:E,0),"💰 " &amp; RIGHT(A196,LEN(A196)-FIND("|",A196)) &amp; " $"))</f>
        <v/>
      </c>
    </row>
    <row r="197" spans="2:3">
      <c r="B197" s="6" t="str">
        <f>IF(A197="","",HYPERLINK("#الاصناف!E"&amp;MATCH(LEFT(A197,FIND("|",A197)-1),الاصناف!E:E,0),"✏️ " &amp; LEFT(A197,FIND("|",A197)-1)))</f>
        <v/>
      </c>
      <c r="C197" s="6" t="str">
        <f>IF(A197="","",HYPERLINK("#الاصناف!G"&amp;MATCH(LEFT(A197,FIND("|",A197)-1),الاصناف!E:E,0),"💰 " &amp; RIGHT(A197,LEN(A197)-FIND("|",A197)) &amp; " $"))</f>
        <v/>
      </c>
    </row>
    <row r="198" spans="2:3">
      <c r="B198" s="6" t="str">
        <f>IF(A198="","",HYPERLINK("#الاصناف!E"&amp;MATCH(LEFT(A198,FIND("|",A198)-1),الاصناف!E:E,0),"✏️ " &amp; LEFT(A198,FIND("|",A198)-1)))</f>
        <v/>
      </c>
      <c r="C198" s="6" t="str">
        <f>IF(A198="","",HYPERLINK("#الاصناف!G"&amp;MATCH(LEFT(A198,FIND("|",A198)-1),الاصناف!E:E,0),"💰 " &amp; RIGHT(A198,LEN(A198)-FIND("|",A198)) &amp; " $"))</f>
        <v/>
      </c>
    </row>
    <row r="199" spans="2:3">
      <c r="B199" s="6" t="str">
        <f>IF(A199="","",HYPERLINK("#الاصناف!E"&amp;MATCH(LEFT(A199,FIND("|",A199)-1),الاصناف!E:E,0),"✏️ " &amp; LEFT(A199,FIND("|",A199)-1)))</f>
        <v/>
      </c>
      <c r="C199" s="6" t="str">
        <f>IF(A199="","",HYPERLINK("#الاصناف!G"&amp;MATCH(LEFT(A199,FIND("|",A199)-1),الاصناف!E:E,0),"💰 " &amp; RIGHT(A199,LEN(A199)-FIND("|",A199)) &amp; " $"))</f>
        <v/>
      </c>
    </row>
    <row r="200" spans="2:3">
      <c r="B200" s="6" t="str">
        <f>IF(A200="","",HYPERLINK("#الاصناف!E"&amp;MATCH(LEFT(A200,FIND("|",A200)-1),الاصناف!E:E,0),"✏️ " &amp; LEFT(A200,FIND("|",A200)-1)))</f>
        <v/>
      </c>
      <c r="C200" s="6" t="str">
        <f>IF(A200="","",HYPERLINK("#الاصناف!G"&amp;MATCH(LEFT(A200,FIND("|",A200)-1),الاصناف!E:E,0),"💰 " &amp; RIGHT(A200,LEN(A200)-FIND("|",A200)) &amp; " $"))</f>
        <v/>
      </c>
    </row>
    <row r="201" spans="2:3">
      <c r="B201" s="6" t="str">
        <f>IF(A201="","",HYPERLINK("#الاصناف!E"&amp;MATCH(LEFT(A201,FIND("|",A201)-1),الاصناف!E:E,0),"✏️ " &amp; LEFT(A201,FIND("|",A201)-1)))</f>
        <v/>
      </c>
      <c r="C201" s="6" t="str">
        <f>IF(A201="","",HYPERLINK("#الاصناف!G"&amp;MATCH(LEFT(A201,FIND("|",A201)-1),الاصناف!E:E,0),"💰 " &amp; RIGHT(A201,LEN(A201)-FIND("|",A201)) &amp; " $"))</f>
        <v/>
      </c>
    </row>
    <row r="202" spans="2:3">
      <c r="B202" s="6" t="str">
        <f>IF(A202="","",HYPERLINK("#الاصناف!E"&amp;MATCH(LEFT(A202,FIND("|",A202)-1),الاصناف!E:E,0),"✏️ " &amp; LEFT(A202,FIND("|",A202)-1)))</f>
        <v/>
      </c>
      <c r="C202" s="6" t="str">
        <f>IF(A202="","",HYPERLINK("#الاصناف!G"&amp;MATCH(LEFT(A202,FIND("|",A202)-1),الاصناف!E:E,0),"💰 " &amp; RIGHT(A202,LEN(A202)-FIND("|",A202)) &amp; " $"))</f>
        <v/>
      </c>
    </row>
    <row r="203" spans="2:3">
      <c r="B203" s="6" t="str">
        <f>IF(A203="","",HYPERLINK("#الاصناف!E"&amp;MATCH(LEFT(A203,FIND("|",A203)-1),الاصناف!E:E,0),"✏️ " &amp; LEFT(A203,FIND("|",A203)-1)))</f>
        <v/>
      </c>
      <c r="C203" s="6" t="str">
        <f>IF(A203="","",HYPERLINK("#الاصناف!G"&amp;MATCH(LEFT(A203,FIND("|",A203)-1),الاصناف!E:E,0),"💰 " &amp; RIGHT(A203,LEN(A203)-FIND("|",A203)) &amp; " $"))</f>
        <v/>
      </c>
    </row>
    <row r="204" spans="2:3">
      <c r="B204" s="6" t="str">
        <f>IF(A204="","",HYPERLINK("#الاصناف!E"&amp;MATCH(LEFT(A204,FIND("|",A204)-1),الاصناف!E:E,0),"✏️ " &amp; LEFT(A204,FIND("|",A204)-1)))</f>
        <v/>
      </c>
      <c r="C204" s="6" t="str">
        <f>IF(A204="","",HYPERLINK("#الاصناف!G"&amp;MATCH(LEFT(A204,FIND("|",A204)-1),الاصناف!E:E,0),"💰 " &amp; RIGHT(A204,LEN(A204)-FIND("|",A204)) &amp; " $"))</f>
        <v/>
      </c>
    </row>
    <row r="205" spans="2:3">
      <c r="B205" s="6" t="str">
        <f>IF(A205="","",HYPERLINK("#الاصناف!E"&amp;MATCH(LEFT(A205,FIND("|",A205)-1),الاصناف!E:E,0),"✏️ " &amp; LEFT(A205,FIND("|",A205)-1)))</f>
        <v/>
      </c>
      <c r="C205" s="6" t="str">
        <f>IF(A205="","",HYPERLINK("#الاصناف!G"&amp;MATCH(LEFT(A205,FIND("|",A205)-1),الاصناف!E:E,0),"💰 " &amp; RIGHT(A205,LEN(A205)-FIND("|",A205)) &amp; " $"))</f>
        <v/>
      </c>
    </row>
    <row r="206" spans="2:3">
      <c r="B206" s="6" t="str">
        <f>IF(A206="","",HYPERLINK("#الاصناف!E"&amp;MATCH(LEFT(A206,FIND("|",A206)-1),الاصناف!E:E,0),"✏️ " &amp; LEFT(A206,FIND("|",A206)-1)))</f>
        <v/>
      </c>
      <c r="C206" s="6" t="str">
        <f>IF(A206="","",HYPERLINK("#الاصناف!G"&amp;MATCH(LEFT(A206,FIND("|",A206)-1),الاصناف!E:E,0),"💰 " &amp; RIGHT(A206,LEN(A206)-FIND("|",A206)) &amp; " $"))</f>
        <v/>
      </c>
    </row>
    <row r="207" spans="2:3">
      <c r="B207" s="6" t="str">
        <f>IF(A207="","",HYPERLINK("#الاصناف!E"&amp;MATCH(LEFT(A207,FIND("|",A207)-1),الاصناف!E:E,0),"✏️ " &amp; LEFT(A207,FIND("|",A207)-1)))</f>
        <v/>
      </c>
      <c r="C207" s="6" t="str">
        <f>IF(A207="","",HYPERLINK("#الاصناف!G"&amp;MATCH(LEFT(A207,FIND("|",A207)-1),الاصناف!E:E,0),"💰 " &amp; RIGHT(A207,LEN(A207)-FIND("|",A207)) &amp; " $"))</f>
        <v/>
      </c>
    </row>
    <row r="208" spans="2:3">
      <c r="B208" s="6" t="str">
        <f>IF(A208="","",HYPERLINK("#الاصناف!E"&amp;MATCH(LEFT(A208,FIND("|",A208)-1),الاصناف!E:E,0),"✏️ " &amp; LEFT(A208,FIND("|",A208)-1)))</f>
        <v/>
      </c>
      <c r="C208" s="6" t="str">
        <f>IF(A208="","",HYPERLINK("#الاصناف!G"&amp;MATCH(LEFT(A208,FIND("|",A208)-1),الاصناف!E:E,0),"💰 " &amp; RIGHT(A208,LEN(A208)-FIND("|",A208)) &amp; " $"))</f>
        <v/>
      </c>
    </row>
    <row r="209" spans="2:3">
      <c r="B209" s="6" t="str">
        <f>IF(A209="","",HYPERLINK("#الاصناف!E"&amp;MATCH(LEFT(A209,FIND("|",A209)-1),الاصناف!E:E,0),"✏️ " &amp; LEFT(A209,FIND("|",A209)-1)))</f>
        <v/>
      </c>
      <c r="C209" s="6" t="str">
        <f>IF(A209="","",HYPERLINK("#الاصناف!G"&amp;MATCH(LEFT(A209,FIND("|",A209)-1),الاصناف!E:E,0),"💰 " &amp; RIGHT(A209,LEN(A209)-FIND("|",A209)) &amp; " $"))</f>
        <v/>
      </c>
    </row>
    <row r="210" spans="2:3">
      <c r="B210" s="6" t="str">
        <f>IF(A210="","",HYPERLINK("#الاصناف!E"&amp;MATCH(LEFT(A210,FIND("|",A210)-1),الاصناف!E:E,0),"✏️ " &amp; LEFT(A210,FIND("|",A210)-1)))</f>
        <v/>
      </c>
      <c r="C210" s="6" t="str">
        <f>IF(A210="","",HYPERLINK("#الاصناف!G"&amp;MATCH(LEFT(A210,FIND("|",A210)-1),الاصناف!E:E,0),"💰 " &amp; RIGHT(A210,LEN(A210)-FIND("|",A210)) &amp; " $"))</f>
        <v/>
      </c>
    </row>
    <row r="211" spans="2:3">
      <c r="B211" s="6" t="str">
        <f>IF(A211="","",HYPERLINK("#الاصناف!E"&amp;MATCH(LEFT(A211,FIND("|",A211)-1),الاصناف!E:E,0),"✏️ " &amp; LEFT(A211,FIND("|",A211)-1)))</f>
        <v/>
      </c>
      <c r="C211" s="6" t="str">
        <f>IF(A211="","",HYPERLINK("#الاصناف!G"&amp;MATCH(LEFT(A211,FIND("|",A211)-1),الاصناف!E:E,0),"💰 " &amp; RIGHT(A211,LEN(A211)-FIND("|",A211)) &amp; " $"))</f>
        <v/>
      </c>
    </row>
    <row r="212" spans="2:3">
      <c r="B212" s="6" t="str">
        <f>IF(A212="","",HYPERLINK("#الاصناف!E"&amp;MATCH(LEFT(A212,FIND("|",A212)-1),الاصناف!E:E,0),"✏️ " &amp; LEFT(A212,FIND("|",A212)-1)))</f>
        <v/>
      </c>
      <c r="C212" s="6" t="str">
        <f>IF(A212="","",HYPERLINK("#الاصناف!G"&amp;MATCH(LEFT(A212,FIND("|",A212)-1),الاصناف!E:E,0),"💰 " &amp; RIGHT(A212,LEN(A212)-FIND("|",A212)) &amp; " $"))</f>
        <v/>
      </c>
    </row>
    <row r="213" spans="2:3">
      <c r="B213" s="6" t="str">
        <f>IF(A213="","",HYPERLINK("#الاصناف!E"&amp;MATCH(LEFT(A213,FIND("|",A213)-1),الاصناف!E:E,0),"✏️ " &amp; LEFT(A213,FIND("|",A213)-1)))</f>
        <v/>
      </c>
      <c r="C213" s="6" t="str">
        <f>IF(A213="","",HYPERLINK("#الاصناف!G"&amp;MATCH(LEFT(A213,FIND("|",A213)-1),الاصناف!E:E,0),"💰 " &amp; RIGHT(A213,LEN(A213)-FIND("|",A213)) &amp; " $"))</f>
        <v/>
      </c>
    </row>
    <row r="214" spans="2:3">
      <c r="B214" s="6" t="str">
        <f>IF(A214="","",HYPERLINK("#الاصناف!E"&amp;MATCH(LEFT(A214,FIND("|",A214)-1),الاصناف!E:E,0),"✏️ " &amp; LEFT(A214,FIND("|",A214)-1)))</f>
        <v/>
      </c>
      <c r="C214" s="6" t="str">
        <f>IF(A214="","",HYPERLINK("#الاصناف!G"&amp;MATCH(LEFT(A214,FIND("|",A214)-1),الاصناف!E:E,0),"💰 " &amp; RIGHT(A214,LEN(A214)-FIND("|",A214)) &amp; " $"))</f>
        <v/>
      </c>
    </row>
    <row r="215" spans="2:3">
      <c r="B215" s="6" t="str">
        <f>IF(A215="","",HYPERLINK("#الاصناف!E"&amp;MATCH(LEFT(A215,FIND("|",A215)-1),الاصناف!E:E,0),"✏️ " &amp; LEFT(A215,FIND("|",A215)-1)))</f>
        <v/>
      </c>
      <c r="C215" s="6" t="str">
        <f>IF(A215="","",HYPERLINK("#الاصناف!G"&amp;MATCH(LEFT(A215,FIND("|",A215)-1),الاصناف!E:E,0),"💰 " &amp; RIGHT(A215,LEN(A215)-FIND("|",A215)) &amp; " $"))</f>
        <v/>
      </c>
    </row>
    <row r="216" spans="2:3">
      <c r="B216" s="6" t="str">
        <f>IF(A216="","",HYPERLINK("#الاصناف!E"&amp;MATCH(LEFT(A216,FIND("|",A216)-1),الاصناف!E:E,0),"✏️ " &amp; LEFT(A216,FIND("|",A216)-1)))</f>
        <v/>
      </c>
      <c r="C216" s="6" t="str">
        <f>IF(A216="","",HYPERLINK("#الاصناف!G"&amp;MATCH(LEFT(A216,FIND("|",A216)-1),الاصناف!E:E,0),"💰 " &amp; RIGHT(A216,LEN(A216)-FIND("|",A216)) &amp; " $"))</f>
        <v/>
      </c>
    </row>
    <row r="217" spans="2:3">
      <c r="B217" s="6" t="str">
        <f>IF(A217="","",HYPERLINK("#الاصناف!E"&amp;MATCH(LEFT(A217,FIND("|",A217)-1),الاصناف!E:E,0),"✏️ " &amp; LEFT(A217,FIND("|",A217)-1)))</f>
        <v/>
      </c>
      <c r="C217" s="6" t="str">
        <f>IF(A217="","",HYPERLINK("#الاصناف!G"&amp;MATCH(LEFT(A217,FIND("|",A217)-1),الاصناف!E:E,0),"💰 " &amp; RIGHT(A217,LEN(A217)-FIND("|",A217)) &amp; " $"))</f>
        <v/>
      </c>
    </row>
    <row r="218" spans="2:3">
      <c r="B218" s="6" t="str">
        <f>IF(A218="","",HYPERLINK("#الاصناف!E"&amp;MATCH(LEFT(A218,FIND("|",A218)-1),الاصناف!E:E,0),"✏️ " &amp; LEFT(A218,FIND("|",A218)-1)))</f>
        <v/>
      </c>
      <c r="C218" s="6" t="str">
        <f>IF(A218="","",HYPERLINK("#الاصناف!G"&amp;MATCH(LEFT(A218,FIND("|",A218)-1),الاصناف!E:E,0),"💰 " &amp; RIGHT(A218,LEN(A218)-FIND("|",A218)) &amp; " $"))</f>
        <v/>
      </c>
    </row>
    <row r="219" spans="2:3">
      <c r="B219" s="6" t="str">
        <f>IF(A219="","",HYPERLINK("#الاصناف!E"&amp;MATCH(LEFT(A219,FIND("|",A219)-1),الاصناف!E:E,0),"✏️ " &amp; LEFT(A219,FIND("|",A219)-1)))</f>
        <v/>
      </c>
      <c r="C219" s="6" t="str">
        <f>IF(A219="","",HYPERLINK("#الاصناف!G"&amp;MATCH(LEFT(A219,FIND("|",A219)-1),الاصناف!E:E,0),"💰 " &amp; RIGHT(A219,LEN(A219)-FIND("|",A219)) &amp; " $"))</f>
        <v/>
      </c>
    </row>
    <row r="220" spans="2:3">
      <c r="B220" s="6" t="str">
        <f>IF(A220="","",HYPERLINK("#الاصناف!E"&amp;MATCH(LEFT(A220,FIND("|",A220)-1),الاصناف!E:E,0),"✏️ " &amp; LEFT(A220,FIND("|",A220)-1)))</f>
        <v/>
      </c>
      <c r="C220" s="6" t="str">
        <f>IF(A220="","",HYPERLINK("#الاصناف!G"&amp;MATCH(LEFT(A220,FIND("|",A220)-1),الاصناف!E:E,0),"💰 " &amp; RIGHT(A220,LEN(A220)-FIND("|",A220)) &amp; " $"))</f>
        <v/>
      </c>
    </row>
    <row r="221" spans="2:3">
      <c r="B221" s="6" t="str">
        <f>IF(A221="","",HYPERLINK("#الاصناف!E"&amp;MATCH(LEFT(A221,FIND("|",A221)-1),الاصناف!E:E,0),"✏️ " &amp; LEFT(A221,FIND("|",A221)-1)))</f>
        <v/>
      </c>
      <c r="C221" s="6" t="str">
        <f>IF(A221="","",HYPERLINK("#الاصناف!G"&amp;MATCH(LEFT(A221,FIND("|",A221)-1),الاصناف!E:E,0),"💰 " &amp; RIGHT(A221,LEN(A221)-FIND("|",A221)) &amp; " $"))</f>
        <v/>
      </c>
    </row>
    <row r="222" spans="2:3">
      <c r="B222" s="6" t="str">
        <f>IF(A222="","",HYPERLINK("#الاصناف!E"&amp;MATCH(LEFT(A222,FIND("|",A222)-1),الاصناف!E:E,0),"✏️ " &amp; LEFT(A222,FIND("|",A222)-1)))</f>
        <v/>
      </c>
      <c r="C222" s="6" t="str">
        <f>IF(A222="","",HYPERLINK("#الاصناف!G"&amp;MATCH(LEFT(A222,FIND("|",A222)-1),الاصناف!E:E,0),"💰 " &amp; RIGHT(A222,LEN(A222)-FIND("|",A222)) &amp; " $"))</f>
        <v/>
      </c>
    </row>
    <row r="223" spans="2:3">
      <c r="B223" s="6" t="str">
        <f>IF(A223="","",HYPERLINK("#الاصناف!E"&amp;MATCH(LEFT(A223,FIND("|",A223)-1),الاصناف!E:E,0),"✏️ " &amp; LEFT(A223,FIND("|",A223)-1)))</f>
        <v/>
      </c>
      <c r="C223" s="6" t="str">
        <f>IF(A223="","",HYPERLINK("#الاصناف!G"&amp;MATCH(LEFT(A223,FIND("|",A223)-1),الاصناف!E:E,0),"💰 " &amp; RIGHT(A223,LEN(A223)-FIND("|",A223)) &amp; " $"))</f>
        <v/>
      </c>
    </row>
    <row r="224" spans="2:3">
      <c r="B224" s="6" t="str">
        <f>IF(A224="","",HYPERLINK("#الاصناف!E"&amp;MATCH(LEFT(A224,FIND("|",A224)-1),الاصناف!E:E,0),"✏️ " &amp; LEFT(A224,FIND("|",A224)-1)))</f>
        <v/>
      </c>
      <c r="C224" s="6" t="str">
        <f>IF(A224="","",HYPERLINK("#الاصناف!G"&amp;MATCH(LEFT(A224,FIND("|",A224)-1),الاصناف!E:E,0),"💰 " &amp; RIGHT(A224,LEN(A224)-FIND("|",A224)) &amp; " $"))</f>
        <v/>
      </c>
    </row>
    <row r="225" spans="2:3">
      <c r="B225" s="6" t="str">
        <f>IF(A225="","",HYPERLINK("#الاصناف!E"&amp;MATCH(LEFT(A225,FIND("|",A225)-1),الاصناف!E:E,0),"✏️ " &amp; LEFT(A225,FIND("|",A225)-1)))</f>
        <v/>
      </c>
      <c r="C225" s="6" t="str">
        <f>IF(A225="","",HYPERLINK("#الاصناف!G"&amp;MATCH(LEFT(A225,FIND("|",A225)-1),الاصناف!E:E,0),"💰 " &amp; RIGHT(A225,LEN(A225)-FIND("|",A225)) &amp; " $"))</f>
        <v/>
      </c>
    </row>
    <row r="226" spans="2:3">
      <c r="B226" s="6" t="str">
        <f>IF(A226="","",HYPERLINK("#الاصناف!E"&amp;MATCH(LEFT(A226,FIND("|",A226)-1),الاصناف!E:E,0),"✏️ " &amp; LEFT(A226,FIND("|",A226)-1)))</f>
        <v/>
      </c>
      <c r="C226" s="6" t="str">
        <f>IF(A226="","",HYPERLINK("#الاصناف!G"&amp;MATCH(LEFT(A226,FIND("|",A226)-1),الاصناف!E:E,0),"💰 " &amp; RIGHT(A226,LEN(A226)-FIND("|",A226)) &amp; " $"))</f>
        <v/>
      </c>
    </row>
    <row r="227" spans="2:3">
      <c r="B227" s="6" t="str">
        <f>IF(A227="","",HYPERLINK("#الاصناف!E"&amp;MATCH(LEFT(A227,FIND("|",A227)-1),الاصناف!E:E,0),"✏️ " &amp; LEFT(A227,FIND("|",A227)-1)))</f>
        <v/>
      </c>
      <c r="C227" s="6" t="str">
        <f>IF(A227="","",HYPERLINK("#الاصناف!G"&amp;MATCH(LEFT(A227,FIND("|",A227)-1),الاصناف!E:E,0),"💰 " &amp; RIGHT(A227,LEN(A227)-FIND("|",A227)) &amp; " $"))</f>
        <v/>
      </c>
    </row>
    <row r="228" spans="2:3">
      <c r="B228" s="6" t="str">
        <f>IF(A228="","",HYPERLINK("#الاصناف!E"&amp;MATCH(LEFT(A228,FIND("|",A228)-1),الاصناف!E:E,0),"✏️ " &amp; LEFT(A228,FIND("|",A228)-1)))</f>
        <v/>
      </c>
      <c r="C228" s="6" t="str">
        <f>IF(A228="","",HYPERLINK("#الاصناف!G"&amp;MATCH(LEFT(A228,FIND("|",A228)-1),الاصناف!E:E,0),"💰 " &amp; RIGHT(A228,LEN(A228)-FIND("|",A228)) &amp; " $"))</f>
        <v/>
      </c>
    </row>
    <row r="229" spans="2:3">
      <c r="B229" s="6" t="str">
        <f>IF(A229="","",HYPERLINK("#الاصناف!E"&amp;MATCH(LEFT(A229,FIND("|",A229)-1),الاصناف!E:E,0),"✏️ " &amp; LEFT(A229,FIND("|",A229)-1)))</f>
        <v/>
      </c>
      <c r="C229" s="6" t="str">
        <f>IF(A229="","",HYPERLINK("#الاصناف!G"&amp;MATCH(LEFT(A229,FIND("|",A229)-1),الاصناف!E:E,0),"💰 " &amp; RIGHT(A229,LEN(A229)-FIND("|",A229)) &amp; " $"))</f>
        <v/>
      </c>
    </row>
    <row r="230" spans="2:3">
      <c r="B230" s="6" t="str">
        <f>IF(A230="","",HYPERLINK("#الاصناف!E"&amp;MATCH(LEFT(A230,FIND("|",A230)-1),الاصناف!E:E,0),"✏️ " &amp; LEFT(A230,FIND("|",A230)-1)))</f>
        <v/>
      </c>
      <c r="C230" s="6" t="str">
        <f>IF(A230="","",HYPERLINK("#الاصناف!G"&amp;MATCH(LEFT(A230,FIND("|",A230)-1),الاصناف!E:E,0),"💰 " &amp; RIGHT(A230,LEN(A230)-FIND("|",A230)) &amp; " $"))</f>
        <v/>
      </c>
    </row>
    <row r="231" spans="2:3">
      <c r="B231" s="6" t="str">
        <f>IF(A231="","",HYPERLINK("#الاصناف!E"&amp;MATCH(LEFT(A231,FIND("|",A231)-1),الاصناف!E:E,0),"✏️ " &amp; LEFT(A231,FIND("|",A231)-1)))</f>
        <v/>
      </c>
      <c r="C231" s="6" t="str">
        <f>IF(A231="","",HYPERLINK("#الاصناف!G"&amp;MATCH(LEFT(A231,FIND("|",A231)-1),الاصناف!E:E,0),"💰 " &amp; RIGHT(A231,LEN(A231)-FIND("|",A231)) &amp; " $"))</f>
        <v/>
      </c>
    </row>
    <row r="232" spans="2:3">
      <c r="B232" s="6" t="str">
        <f>IF(A232="","",HYPERLINK("#الاصناف!E"&amp;MATCH(LEFT(A232,FIND("|",A232)-1),الاصناف!E:E,0),"✏️ " &amp; LEFT(A232,FIND("|",A232)-1)))</f>
        <v/>
      </c>
      <c r="C232" s="6" t="str">
        <f>IF(A232="","",HYPERLINK("#الاصناف!G"&amp;MATCH(LEFT(A232,FIND("|",A232)-1),الاصناف!E:E,0),"💰 " &amp; RIGHT(A232,LEN(A232)-FIND("|",A232)) &amp; " $"))</f>
        <v/>
      </c>
    </row>
    <row r="233" spans="2:3">
      <c r="B233" s="6" t="str">
        <f>IF(A233="","",HYPERLINK("#الاصناف!E"&amp;MATCH(LEFT(A233,FIND("|",A233)-1),الاصناف!E:E,0),"✏️ " &amp; LEFT(A233,FIND("|",A233)-1)))</f>
        <v/>
      </c>
      <c r="C233" s="6" t="str">
        <f>IF(A233="","",HYPERLINK("#الاصناف!G"&amp;MATCH(LEFT(A233,FIND("|",A233)-1),الاصناف!E:E,0),"💰 " &amp; RIGHT(A233,LEN(A233)-FIND("|",A233)) &amp; " $"))</f>
        <v/>
      </c>
    </row>
    <row r="234" spans="2:3">
      <c r="B234" s="6" t="str">
        <f>IF(A234="","",HYPERLINK("#الاصناف!E"&amp;MATCH(LEFT(A234,FIND("|",A234)-1),الاصناف!E:E,0),"✏️ " &amp; LEFT(A234,FIND("|",A234)-1)))</f>
        <v/>
      </c>
      <c r="C234" s="6" t="str">
        <f>IF(A234="","",HYPERLINK("#الاصناف!G"&amp;MATCH(LEFT(A234,FIND("|",A234)-1),الاصناف!E:E,0),"💰 " &amp; RIGHT(A234,LEN(A234)-FIND("|",A234)) &amp; " $"))</f>
        <v/>
      </c>
    </row>
    <row r="235" spans="2:3">
      <c r="B235" s="6" t="str">
        <f>IF(A235="","",HYPERLINK("#الاصناف!E"&amp;MATCH(LEFT(A235,FIND("|",A235)-1),الاصناف!E:E,0),"✏️ " &amp; LEFT(A235,FIND("|",A235)-1)))</f>
        <v/>
      </c>
      <c r="C235" s="6" t="str">
        <f>IF(A235="","",HYPERLINK("#الاصناف!G"&amp;MATCH(LEFT(A235,FIND("|",A235)-1),الاصناف!E:E,0),"💰 " &amp; RIGHT(A235,LEN(A235)-FIND("|",A235)) &amp; " $"))</f>
        <v/>
      </c>
    </row>
    <row r="236" spans="2:3">
      <c r="B236" s="6" t="str">
        <f>IF(A236="","",HYPERLINK("#الاصناف!E"&amp;MATCH(LEFT(A236,FIND("|",A236)-1),الاصناف!E:E,0),"✏️ " &amp; LEFT(A236,FIND("|",A236)-1)))</f>
        <v/>
      </c>
      <c r="C236" s="6" t="str">
        <f>IF(A236="","",HYPERLINK("#الاصناف!G"&amp;MATCH(LEFT(A236,FIND("|",A236)-1),الاصناف!E:E,0),"💰 " &amp; RIGHT(A236,LEN(A236)-FIND("|",A236)) &amp; " $"))</f>
        <v/>
      </c>
    </row>
    <row r="237" spans="2:3">
      <c r="B237" s="6" t="str">
        <f>IF(A237="","",HYPERLINK("#الاصناف!E"&amp;MATCH(LEFT(A237,FIND("|",A237)-1),الاصناف!E:E,0),"✏️ " &amp; LEFT(A237,FIND("|",A237)-1)))</f>
        <v/>
      </c>
      <c r="C237" s="6" t="str">
        <f>IF(A237="","",HYPERLINK("#الاصناف!G"&amp;MATCH(LEFT(A237,FIND("|",A237)-1),الاصناف!E:E,0),"💰 " &amp; RIGHT(A237,LEN(A237)-FIND("|",A237)) &amp; " $"))</f>
        <v/>
      </c>
    </row>
    <row r="238" spans="2:3">
      <c r="B238" s="6" t="str">
        <f>IF(A238="","",HYPERLINK("#الاصناف!E"&amp;MATCH(LEFT(A238,FIND("|",A238)-1),الاصناف!E:E,0),"✏️ " &amp; LEFT(A238,FIND("|",A238)-1)))</f>
        <v/>
      </c>
      <c r="C238" s="6" t="str">
        <f>IF(A238="","",HYPERLINK("#الاصناف!G"&amp;MATCH(LEFT(A238,FIND("|",A238)-1),الاصناف!E:E,0),"💰 " &amp; RIGHT(A238,LEN(A238)-FIND("|",A238)) &amp; " $"))</f>
        <v/>
      </c>
    </row>
    <row r="239" spans="2:3">
      <c r="B239" s="6" t="str">
        <f>IF(A239="","",HYPERLINK("#الاصناف!E"&amp;MATCH(LEFT(A239,FIND("|",A239)-1),الاصناف!E:E,0),"✏️ " &amp; LEFT(A239,FIND("|",A239)-1)))</f>
        <v/>
      </c>
      <c r="C239" s="6" t="str">
        <f>IF(A239="","",HYPERLINK("#الاصناف!G"&amp;MATCH(LEFT(A239,FIND("|",A239)-1),الاصناف!E:E,0),"💰 " &amp; RIGHT(A239,LEN(A239)-FIND("|",A239)) &amp; " $"))</f>
        <v/>
      </c>
    </row>
    <row r="240" spans="2:3">
      <c r="B240" s="6" t="str">
        <f>IF(A240="","",HYPERLINK("#الاصناف!E"&amp;MATCH(LEFT(A240,FIND("|",A240)-1),الاصناف!E:E,0),"✏️ " &amp; LEFT(A240,FIND("|",A240)-1)))</f>
        <v/>
      </c>
      <c r="C240" s="6" t="str">
        <f>IF(A240="","",HYPERLINK("#الاصناف!G"&amp;MATCH(LEFT(A240,FIND("|",A240)-1),الاصناف!E:E,0),"💰 " &amp; RIGHT(A240,LEN(A240)-FIND("|",A240)) &amp; " $"))</f>
        <v/>
      </c>
    </row>
    <row r="241" spans="2:3">
      <c r="B241" s="6" t="str">
        <f>IF(A241="","",HYPERLINK("#الاصناف!E"&amp;MATCH(LEFT(A241,FIND("|",A241)-1),الاصناف!E:E,0),"✏️ " &amp; LEFT(A241,FIND("|",A241)-1)))</f>
        <v/>
      </c>
      <c r="C241" s="6" t="str">
        <f>IF(A241="","",HYPERLINK("#الاصناف!G"&amp;MATCH(LEFT(A241,FIND("|",A241)-1),الاصناف!E:E,0),"💰 " &amp; RIGHT(A241,LEN(A241)-FIND("|",A241)) &amp; " $"))</f>
        <v/>
      </c>
    </row>
    <row r="242" spans="2:3">
      <c r="B242" s="6" t="str">
        <f>IF(A242="","",HYPERLINK("#الاصناف!E"&amp;MATCH(LEFT(A242,FIND("|",A242)-1),الاصناف!E:E,0),"✏️ " &amp; LEFT(A242,FIND("|",A242)-1)))</f>
        <v/>
      </c>
      <c r="C242" s="6" t="str">
        <f>IF(A242="","",HYPERLINK("#الاصناف!G"&amp;MATCH(LEFT(A242,FIND("|",A242)-1),الاصناف!E:E,0),"💰 " &amp; RIGHT(A242,LEN(A242)-FIND("|",A242)) &amp; " $"))</f>
        <v/>
      </c>
    </row>
    <row r="243" spans="2:3">
      <c r="B243" s="6" t="str">
        <f>IF(A243="","",HYPERLINK("#الاصناف!E"&amp;MATCH(LEFT(A243,FIND("|",A243)-1),الاصناف!E:E,0),"✏️ " &amp; LEFT(A243,FIND("|",A243)-1)))</f>
        <v/>
      </c>
      <c r="C243" s="6" t="str">
        <f>IF(A243="","",HYPERLINK("#الاصناف!G"&amp;MATCH(LEFT(A243,FIND("|",A243)-1),الاصناف!E:E,0),"💰 " &amp; RIGHT(A243,LEN(A243)-FIND("|",A243)) &amp; " $"))</f>
        <v/>
      </c>
    </row>
    <row r="244" spans="2:3">
      <c r="B244" s="6" t="str">
        <f>IF(A244="","",HYPERLINK("#الاصناف!E"&amp;MATCH(LEFT(A244,FIND("|",A244)-1),الاصناف!E:E,0),"✏️ " &amp; LEFT(A244,FIND("|",A244)-1)))</f>
        <v/>
      </c>
      <c r="C244" s="6" t="str">
        <f>IF(A244="","",HYPERLINK("#الاصناف!G"&amp;MATCH(LEFT(A244,FIND("|",A244)-1),الاصناف!E:E,0),"💰 " &amp; RIGHT(A244,LEN(A244)-FIND("|",A244)) &amp; " $"))</f>
        <v/>
      </c>
    </row>
    <row r="245" spans="2:3">
      <c r="B245" s="6" t="str">
        <f>IF(A245="","",HYPERLINK("#الاصناف!E"&amp;MATCH(LEFT(A245,FIND("|",A245)-1),الاصناف!E:E,0),"✏️ " &amp; LEFT(A245,FIND("|",A245)-1)))</f>
        <v/>
      </c>
      <c r="C245" s="6" t="str">
        <f>IF(A245="","",HYPERLINK("#الاصناف!G"&amp;MATCH(LEFT(A245,FIND("|",A245)-1),الاصناف!E:E,0),"💰 " &amp; RIGHT(A245,LEN(A245)-FIND("|",A245)) &amp; " $"))</f>
        <v/>
      </c>
    </row>
    <row r="246" spans="2:3">
      <c r="B246" s="6" t="str">
        <f>IF(A246="","",HYPERLINK("#الاصناف!E"&amp;MATCH(LEFT(A246,FIND("|",A246)-1),الاصناف!E:E,0),"✏️ " &amp; LEFT(A246,FIND("|",A246)-1)))</f>
        <v/>
      </c>
      <c r="C246" s="6" t="str">
        <f>IF(A246="","",HYPERLINK("#الاصناف!G"&amp;MATCH(LEFT(A246,FIND("|",A246)-1),الاصناف!E:E,0),"💰 " &amp; RIGHT(A246,LEN(A246)-FIND("|",A246)) &amp; " $"))</f>
        <v/>
      </c>
    </row>
    <row r="247" spans="2:3">
      <c r="B247" s="6" t="str">
        <f>IF(A247="","",HYPERLINK("#الاصناف!E"&amp;MATCH(LEFT(A247,FIND("|",A247)-1),الاصناف!E:E,0),"✏️ " &amp; LEFT(A247,FIND("|",A247)-1)))</f>
        <v/>
      </c>
      <c r="C247" s="6" t="str">
        <f>IF(A247="","",HYPERLINK("#الاصناف!G"&amp;MATCH(LEFT(A247,FIND("|",A247)-1),الاصناف!E:E,0),"💰 " &amp; RIGHT(A247,LEN(A247)-FIND("|",A247)) &amp; " $"))</f>
        <v/>
      </c>
    </row>
    <row r="248" spans="2:3">
      <c r="B248" s="6" t="str">
        <f>IF(A248="","",HYPERLINK("#الاصناف!E"&amp;MATCH(LEFT(A248,FIND("|",A248)-1),الاصناف!E:E,0),"✏️ " &amp; LEFT(A248,FIND("|",A248)-1)))</f>
        <v/>
      </c>
      <c r="C248" s="6" t="str">
        <f>IF(A248="","",HYPERLINK("#الاصناف!G"&amp;MATCH(LEFT(A248,FIND("|",A248)-1),الاصناف!E:E,0),"💰 " &amp; RIGHT(A248,LEN(A248)-FIND("|",A248)) &amp; " $"))</f>
        <v/>
      </c>
    </row>
    <row r="249" spans="2:3">
      <c r="B249" s="6" t="str">
        <f>IF(A249="","",HYPERLINK("#الاصناف!E"&amp;MATCH(LEFT(A249,FIND("|",A249)-1),الاصناف!E:E,0),"✏️ " &amp; LEFT(A249,FIND("|",A249)-1)))</f>
        <v/>
      </c>
      <c r="C249" s="6" t="str">
        <f>IF(A249="","",HYPERLINK("#الاصناف!G"&amp;MATCH(LEFT(A249,FIND("|",A249)-1),الاصناف!E:E,0),"💰 " &amp; RIGHT(A249,LEN(A249)-FIND("|",A249)) &amp; " $"))</f>
        <v/>
      </c>
    </row>
    <row r="250" spans="2:3">
      <c r="B250" s="6" t="str">
        <f>IF(A250="","",HYPERLINK("#الاصناف!E"&amp;MATCH(LEFT(A250,FIND("|",A250)-1),الاصناف!E:E,0),"✏️ " &amp; LEFT(A250,FIND("|",A250)-1)))</f>
        <v/>
      </c>
      <c r="C250" s="6" t="str">
        <f>IF(A250="","",HYPERLINK("#الاصناف!G"&amp;MATCH(LEFT(A250,FIND("|",A250)-1),الاصناف!E:E,0),"💰 " &amp; RIGHT(A250,LEN(A250)-FIND("|",A250)) &amp; " $"))</f>
        <v/>
      </c>
    </row>
    <row r="251" spans="2:3">
      <c r="B251" s="6" t="str">
        <f>IF(A251="","",HYPERLINK("#الاصناف!E"&amp;MATCH(LEFT(A251,FIND("|",A251)-1),الاصناف!E:E,0),"✏️ " &amp; LEFT(A251,FIND("|",A251)-1)))</f>
        <v/>
      </c>
      <c r="C251" s="6" t="str">
        <f>IF(A251="","",HYPERLINK("#الاصناف!G"&amp;MATCH(LEFT(A251,FIND("|",A251)-1),الاصناف!E:E,0),"💰 " &amp; RIGHT(A251,LEN(A251)-FIND("|",A251)) &amp; " $"))</f>
        <v/>
      </c>
    </row>
    <row r="252" spans="2:3">
      <c r="B252" s="6" t="str">
        <f>IF(A252="","",HYPERLINK("#الاصناف!E"&amp;MATCH(LEFT(A252,FIND("|",A252)-1),الاصناف!E:E,0),"✏️ " &amp; LEFT(A252,FIND("|",A252)-1)))</f>
        <v/>
      </c>
      <c r="C252" s="6" t="str">
        <f>IF(A252="","",HYPERLINK("#الاصناف!G"&amp;MATCH(LEFT(A252,FIND("|",A252)-1),الاصناف!E:E,0),"💰 " &amp; RIGHT(A252,LEN(A252)-FIND("|",A252)) &amp; " $"))</f>
        <v/>
      </c>
    </row>
    <row r="253" spans="2:3">
      <c r="B253" s="6" t="str">
        <f>IF(A253="","",HYPERLINK("#الاصناف!E"&amp;MATCH(LEFT(A253,FIND("|",A253)-1),الاصناف!E:E,0),"✏️ " &amp; LEFT(A253,FIND("|",A253)-1)))</f>
        <v/>
      </c>
      <c r="C253" s="6" t="str">
        <f>IF(A253="","",HYPERLINK("#الاصناف!G"&amp;MATCH(LEFT(A253,FIND("|",A253)-1),الاصناف!E:E,0),"💰 " &amp; RIGHT(A253,LEN(A253)-FIND("|",A253)) &amp; " $"))</f>
        <v/>
      </c>
    </row>
    <row r="254" spans="2:3">
      <c r="B254" s="6" t="str">
        <f>IF(A254="","",HYPERLINK("#الاصناف!E"&amp;MATCH(LEFT(A254,FIND("|",A254)-1),الاصناف!E:E,0),"✏️ " &amp; LEFT(A254,FIND("|",A254)-1)))</f>
        <v/>
      </c>
      <c r="C254" s="6" t="str">
        <f>IF(A254="","",HYPERLINK("#الاصناف!G"&amp;MATCH(LEFT(A254,FIND("|",A254)-1),الاصناف!E:E,0),"💰 " &amp; RIGHT(A254,LEN(A254)-FIND("|",A254)) &amp; " $"))</f>
        <v/>
      </c>
    </row>
    <row r="255" spans="2:3">
      <c r="B255" s="6" t="str">
        <f>IF(A255="","",HYPERLINK("#الاصناف!E"&amp;MATCH(LEFT(A255,FIND("|",A255)-1),الاصناف!E:E,0),"✏️ " &amp; LEFT(A255,FIND("|",A255)-1)))</f>
        <v/>
      </c>
      <c r="C255" s="6" t="str">
        <f>IF(A255="","",HYPERLINK("#الاصناف!G"&amp;MATCH(LEFT(A255,FIND("|",A255)-1),الاصناف!E:E,0),"💰 " &amp; RIGHT(A255,LEN(A255)-FIND("|",A255)) &amp; " $"))</f>
        <v/>
      </c>
    </row>
    <row r="256" spans="2:3">
      <c r="B256" s="6" t="str">
        <f>IF(A256="","",HYPERLINK("#الاصناف!E"&amp;MATCH(LEFT(A256,FIND("|",A256)-1),الاصناف!E:E,0),"✏️ " &amp; LEFT(A256,FIND("|",A256)-1)))</f>
        <v/>
      </c>
      <c r="C256" s="6" t="str">
        <f>IF(A256="","",HYPERLINK("#الاصناف!G"&amp;MATCH(LEFT(A256,FIND("|",A256)-1),الاصناف!E:E,0),"💰 " &amp; RIGHT(A256,LEN(A256)-FIND("|",A256)) &amp; " $"))</f>
        <v/>
      </c>
    </row>
    <row r="257" spans="2:3">
      <c r="B257" s="6" t="str">
        <f>IF(A257="","",HYPERLINK("#الاصناف!E"&amp;MATCH(LEFT(A257,FIND("|",A257)-1),الاصناف!E:E,0),"✏️ " &amp; LEFT(A257,FIND("|",A257)-1)))</f>
        <v/>
      </c>
      <c r="C257" s="6" t="str">
        <f>IF(A257="","",HYPERLINK("#الاصناف!G"&amp;MATCH(LEFT(A257,FIND("|",A257)-1),الاصناف!E:E,0),"💰 " &amp; RIGHT(A257,LEN(A257)-FIND("|",A257)) &amp; " $"))</f>
        <v/>
      </c>
    </row>
    <row r="258" spans="2:3">
      <c r="B258" s="6" t="str">
        <f>IF(A258="","",HYPERLINK("#الاصناف!E"&amp;MATCH(LEFT(A258,FIND("|",A258)-1),الاصناف!E:E,0),"✏️ " &amp; LEFT(A258,FIND("|",A258)-1)))</f>
        <v/>
      </c>
      <c r="C258" s="6" t="str">
        <f>IF(A258="","",HYPERLINK("#الاصناف!G"&amp;MATCH(LEFT(A258,FIND("|",A258)-1),الاصناف!E:E,0),"💰 " &amp; RIGHT(A258,LEN(A258)-FIND("|",A258)) &amp; " $"))</f>
        <v/>
      </c>
    </row>
    <row r="259" spans="2:3">
      <c r="B259" s="6" t="str">
        <f>IF(A259="","",HYPERLINK("#الاصناف!E"&amp;MATCH(LEFT(A259,FIND("|",A259)-1),الاصناف!E:E,0),"✏️ " &amp; LEFT(A259,FIND("|",A259)-1)))</f>
        <v/>
      </c>
      <c r="C259" s="6" t="str">
        <f>IF(A259="","",HYPERLINK("#الاصناف!G"&amp;MATCH(LEFT(A259,FIND("|",A259)-1),الاصناف!E:E,0),"💰 " &amp; RIGHT(A259,LEN(A259)-FIND("|",A259)) &amp; " $"))</f>
        <v/>
      </c>
    </row>
    <row r="260" spans="2:3">
      <c r="B260" s="6" t="str">
        <f>IF(A260="","",HYPERLINK("#الاصناف!E"&amp;MATCH(LEFT(A260,FIND("|",A260)-1),الاصناف!E:E,0),"✏️ " &amp; LEFT(A260,FIND("|",A260)-1)))</f>
        <v/>
      </c>
      <c r="C260" s="6" t="str">
        <f>IF(A260="","",HYPERLINK("#الاصناف!G"&amp;MATCH(LEFT(A260,FIND("|",A260)-1),الاصناف!E:E,0),"💰 " &amp; RIGHT(A260,LEN(A260)-FIND("|",A260)) &amp; " $"))</f>
        <v/>
      </c>
    </row>
    <row r="261" spans="2:3">
      <c r="B261" s="6" t="str">
        <f>IF(A261="","",HYPERLINK("#الاصناف!E"&amp;MATCH(LEFT(A261,FIND("|",A261)-1),الاصناف!E:E,0),"✏️ " &amp; LEFT(A261,FIND("|",A261)-1)))</f>
        <v/>
      </c>
      <c r="C261" s="6" t="str">
        <f>IF(A261="","",HYPERLINK("#الاصناف!G"&amp;MATCH(LEFT(A261,FIND("|",A261)-1),الاصناف!E:E,0),"💰 " &amp; RIGHT(A261,LEN(A261)-FIND("|",A261)) &amp; " $"))</f>
        <v/>
      </c>
    </row>
    <row r="262" spans="2:3">
      <c r="B262" s="6" t="str">
        <f>IF(A262="","",HYPERLINK("#الاصناف!E"&amp;MATCH(LEFT(A262,FIND("|",A262)-1),الاصناف!E:E,0),"✏️ " &amp; LEFT(A262,FIND("|",A262)-1)))</f>
        <v/>
      </c>
      <c r="C262" s="6" t="str">
        <f>IF(A262="","",HYPERLINK("#الاصناف!G"&amp;MATCH(LEFT(A262,FIND("|",A262)-1),الاصناف!E:E,0),"💰 " &amp; RIGHT(A262,LEN(A262)-FIND("|",A262)) &amp; " $"))</f>
        <v/>
      </c>
    </row>
    <row r="263" spans="2:3">
      <c r="B263" s="6" t="str">
        <f>IF(A263="","",HYPERLINK("#الاصناف!E"&amp;MATCH(LEFT(A263,FIND("|",A263)-1),الاصناف!E:E,0),"✏️ " &amp; LEFT(A263,FIND("|",A263)-1)))</f>
        <v/>
      </c>
      <c r="C263" s="6" t="str">
        <f>IF(A263="","",HYPERLINK("#الاصناف!G"&amp;MATCH(LEFT(A263,FIND("|",A263)-1),الاصناف!E:E,0),"💰 " &amp; RIGHT(A263,LEN(A263)-FIND("|",A263)) &amp; " $"))</f>
        <v/>
      </c>
    </row>
    <row r="264" spans="2:3">
      <c r="B264" s="6" t="str">
        <f>IF(A264="","",HYPERLINK("#الاصناف!E"&amp;MATCH(LEFT(A264,FIND("|",A264)-1),الاصناف!E:E,0),"✏️ " &amp; LEFT(A264,FIND("|",A264)-1)))</f>
        <v/>
      </c>
      <c r="C264" s="6" t="str">
        <f>IF(A264="","",HYPERLINK("#الاصناف!G"&amp;MATCH(LEFT(A264,FIND("|",A264)-1),الاصناف!E:E,0),"💰 " &amp; RIGHT(A264,LEN(A264)-FIND("|",A264)) &amp; " $"))</f>
        <v/>
      </c>
    </row>
    <row r="265" spans="2:3">
      <c r="B265" s="6" t="str">
        <f>IF(A265="","",HYPERLINK("#الاصناف!E"&amp;MATCH(LEFT(A265,FIND("|",A265)-1),الاصناف!E:E,0),"✏️ " &amp; LEFT(A265,FIND("|",A265)-1)))</f>
        <v/>
      </c>
      <c r="C265" s="6" t="str">
        <f>IF(A265="","",HYPERLINK("#الاصناف!G"&amp;MATCH(LEFT(A265,FIND("|",A265)-1),الاصناف!E:E,0),"💰 " &amp; RIGHT(A265,LEN(A265)-FIND("|",A265)) &amp; " $"))</f>
        <v/>
      </c>
    </row>
    <row r="266" spans="2:3">
      <c r="B266" s="6" t="str">
        <f>IF(A266="","",HYPERLINK("#الاصناف!E"&amp;MATCH(LEFT(A266,FIND("|",A266)-1),الاصناف!E:E,0),"✏️ " &amp; LEFT(A266,FIND("|",A266)-1)))</f>
        <v/>
      </c>
      <c r="C266" s="6" t="str">
        <f>IF(A266="","",HYPERLINK("#الاصناف!G"&amp;MATCH(LEFT(A266,FIND("|",A266)-1),الاصناف!E:E,0),"💰 " &amp; RIGHT(A266,LEN(A266)-FIND("|",A266)) &amp; " $"))</f>
        <v/>
      </c>
    </row>
    <row r="267" spans="2:3">
      <c r="B267" s="6" t="str">
        <f>IF(A267="","",HYPERLINK("#الاصناف!E"&amp;MATCH(LEFT(A267,FIND("|",A267)-1),الاصناف!E:E,0),"✏️ " &amp; LEFT(A267,FIND("|",A267)-1)))</f>
        <v/>
      </c>
      <c r="C267" s="6" t="str">
        <f>IF(A267="","",HYPERLINK("#الاصناف!G"&amp;MATCH(LEFT(A267,FIND("|",A267)-1),الاصناف!E:E,0),"💰 " &amp; RIGHT(A267,LEN(A267)-FIND("|",A267)) &amp; " $"))</f>
        <v/>
      </c>
    </row>
    <row r="268" spans="2:3">
      <c r="B268" s="6" t="str">
        <f>IF(A268="","",HYPERLINK("#الاصناف!E"&amp;MATCH(LEFT(A268,FIND("|",A268)-1),الاصناف!E:E,0),"✏️ " &amp; LEFT(A268,FIND("|",A268)-1)))</f>
        <v/>
      </c>
      <c r="C268" s="6" t="str">
        <f>IF(A268="","",HYPERLINK("#الاصناف!G"&amp;MATCH(LEFT(A268,FIND("|",A268)-1),الاصناف!E:E,0),"💰 " &amp; RIGHT(A268,LEN(A268)-FIND("|",A268)) &amp; " $"))</f>
        <v/>
      </c>
    </row>
    <row r="269" spans="2:3">
      <c r="B269" s="6" t="str">
        <f>IF(A269="","",HYPERLINK("#الاصناف!E"&amp;MATCH(LEFT(A269,FIND("|",A269)-1),الاصناف!E:E,0),"✏️ " &amp; LEFT(A269,FIND("|",A269)-1)))</f>
        <v/>
      </c>
      <c r="C269" s="6" t="str">
        <f>IF(A269="","",HYPERLINK("#الاصناف!G"&amp;MATCH(LEFT(A269,FIND("|",A269)-1),الاصناف!E:E,0),"💰 " &amp; RIGHT(A269,LEN(A269)-FIND("|",A269)) &amp; " $"))</f>
        <v/>
      </c>
    </row>
    <row r="270" spans="2:3">
      <c r="B270" s="6" t="str">
        <f>IF(A270="","",HYPERLINK("#الاصناف!E"&amp;MATCH(LEFT(A270,FIND("|",A270)-1),الاصناف!E:E,0),"✏️ " &amp; LEFT(A270,FIND("|",A270)-1)))</f>
        <v/>
      </c>
      <c r="C270" s="6" t="str">
        <f>IF(A270="","",HYPERLINK("#الاصناف!G"&amp;MATCH(LEFT(A270,FIND("|",A270)-1),الاصناف!E:E,0),"💰 " &amp; RIGHT(A270,LEN(A270)-FIND("|",A270)) &amp; " $"))</f>
        <v/>
      </c>
    </row>
    <row r="271" spans="2:3">
      <c r="B271" s="6" t="str">
        <f>IF(A271="","",HYPERLINK("#الاصناف!E"&amp;MATCH(LEFT(A271,FIND("|",A271)-1),الاصناف!E:E,0),"✏️ " &amp; LEFT(A271,FIND("|",A271)-1)))</f>
        <v/>
      </c>
      <c r="C271" s="6" t="str">
        <f>IF(A271="","",HYPERLINK("#الاصناف!G"&amp;MATCH(LEFT(A271,FIND("|",A271)-1),الاصناف!E:E,0),"💰 " &amp; RIGHT(A271,LEN(A271)-FIND("|",A271)) &amp; " $"))</f>
        <v/>
      </c>
    </row>
    <row r="272" spans="2:3">
      <c r="B272" s="6" t="str">
        <f>IF(A272="","",HYPERLINK("#الاصناف!E"&amp;MATCH(LEFT(A272,FIND("|",A272)-1),الاصناف!E:E,0),"✏️ " &amp; LEFT(A272,FIND("|",A272)-1)))</f>
        <v/>
      </c>
      <c r="C272" s="6" t="str">
        <f>IF(A272="","",HYPERLINK("#الاصناف!G"&amp;MATCH(LEFT(A272,FIND("|",A272)-1),الاصناف!E:E,0),"💰 " &amp; RIGHT(A272,LEN(A272)-FIND("|",A272)) &amp; " $"))</f>
        <v/>
      </c>
    </row>
    <row r="273" spans="2:3">
      <c r="B273" s="6" t="str">
        <f>IF(A273="","",HYPERLINK("#الاصناف!E"&amp;MATCH(LEFT(A273,FIND("|",A273)-1),الاصناف!E:E,0),"✏️ " &amp; LEFT(A273,FIND("|",A273)-1)))</f>
        <v/>
      </c>
      <c r="C273" s="6" t="str">
        <f>IF(A273="","",HYPERLINK("#الاصناف!G"&amp;MATCH(LEFT(A273,FIND("|",A273)-1),الاصناف!E:E,0),"💰 " &amp; RIGHT(A273,LEN(A273)-FIND("|",A273)) &amp; " $"))</f>
        <v/>
      </c>
    </row>
    <row r="274" spans="2:3">
      <c r="B274" s="6" t="str">
        <f>IF(A274="","",HYPERLINK("#الاصناف!E"&amp;MATCH(LEFT(A274,FIND("|",A274)-1),الاصناف!E:E,0),"✏️ " &amp; LEFT(A274,FIND("|",A274)-1)))</f>
        <v/>
      </c>
      <c r="C274" s="6" t="str">
        <f>IF(A274="","",HYPERLINK("#الاصناف!G"&amp;MATCH(LEFT(A274,FIND("|",A274)-1),الاصناف!E:E,0),"💰 " &amp; RIGHT(A274,LEN(A274)-FIND("|",A274)) &amp; " $"))</f>
        <v/>
      </c>
    </row>
    <row r="275" spans="2:3">
      <c r="B275" s="6" t="str">
        <f>IF(A275="","",HYPERLINK("#الاصناف!E"&amp;MATCH(LEFT(A275,FIND("|",A275)-1),الاصناف!E:E,0),"✏️ " &amp; LEFT(A275,FIND("|",A275)-1)))</f>
        <v/>
      </c>
      <c r="C275" s="6" t="str">
        <f>IF(A275="","",HYPERLINK("#الاصناف!G"&amp;MATCH(LEFT(A275,FIND("|",A275)-1),الاصناف!E:E,0),"💰 " &amp; RIGHT(A275,LEN(A275)-FIND("|",A275)) &amp; " $"))</f>
        <v/>
      </c>
    </row>
    <row r="276" spans="2:3">
      <c r="B276" s="6" t="str">
        <f>IF(A276="","",HYPERLINK("#الاصناف!E"&amp;MATCH(LEFT(A276,FIND("|",A276)-1),الاصناف!E:E,0),"✏️ " &amp; LEFT(A276,FIND("|",A276)-1)))</f>
        <v/>
      </c>
      <c r="C276" s="6" t="str">
        <f>IF(A276="","",HYPERLINK("#الاصناف!G"&amp;MATCH(LEFT(A276,FIND("|",A276)-1),الاصناف!E:E,0),"💰 " &amp; RIGHT(A276,LEN(A276)-FIND("|",A276)) &amp; " $"))</f>
        <v/>
      </c>
    </row>
    <row r="277" spans="2:3">
      <c r="B277" s="6" t="str">
        <f>IF(A277="","",HYPERLINK("#الاصناف!E"&amp;MATCH(LEFT(A277,FIND("|",A277)-1),الاصناف!E:E,0),"✏️ " &amp; LEFT(A277,FIND("|",A277)-1)))</f>
        <v/>
      </c>
      <c r="C277" s="6" t="str">
        <f>IF(A277="","",HYPERLINK("#الاصناف!G"&amp;MATCH(LEFT(A277,FIND("|",A277)-1),الاصناف!E:E,0),"💰 " &amp; RIGHT(A277,LEN(A277)-FIND("|",A277)) &amp; " $"))</f>
        <v/>
      </c>
    </row>
    <row r="278" spans="2:3">
      <c r="B278" s="6" t="str">
        <f>IF(A278="","",HYPERLINK("#الاصناف!E"&amp;MATCH(LEFT(A278,FIND("|",A278)-1),الاصناف!E:E,0),"✏️ " &amp; LEFT(A278,FIND("|",A278)-1)))</f>
        <v/>
      </c>
      <c r="C278" s="6" t="str">
        <f>IF(A278="","",HYPERLINK("#الاصناف!G"&amp;MATCH(LEFT(A278,FIND("|",A278)-1),الاصناف!E:E,0),"💰 " &amp; RIGHT(A278,LEN(A278)-FIND("|",A278)) &amp; " $"))</f>
        <v/>
      </c>
    </row>
    <row r="279" spans="2:3">
      <c r="B279" s="6" t="str">
        <f>IF(A279="","",HYPERLINK("#الاصناف!E"&amp;MATCH(LEFT(A279,FIND("|",A279)-1),الاصناف!E:E,0),"✏️ " &amp; LEFT(A279,FIND("|",A279)-1)))</f>
        <v/>
      </c>
      <c r="C279" s="6" t="str">
        <f>IF(A279="","",HYPERLINK("#الاصناف!G"&amp;MATCH(LEFT(A279,FIND("|",A279)-1),الاصناف!E:E,0),"💰 " &amp; RIGHT(A279,LEN(A279)-FIND("|",A279)) &amp; " $"))</f>
        <v/>
      </c>
    </row>
    <row r="280" spans="2:3">
      <c r="B280" s="6" t="str">
        <f>IF(A280="","",HYPERLINK("#الاصناف!E"&amp;MATCH(LEFT(A280,FIND("|",A280)-1),الاصناف!E:E,0),"✏️ " &amp; LEFT(A280,FIND("|",A280)-1)))</f>
        <v/>
      </c>
      <c r="C280" s="6" t="str">
        <f>IF(A280="","",HYPERLINK("#الاصناف!G"&amp;MATCH(LEFT(A280,FIND("|",A280)-1),الاصناف!E:E,0),"💰 " &amp; RIGHT(A280,LEN(A280)-FIND("|",A280)) &amp; " $"))</f>
        <v/>
      </c>
    </row>
    <row r="281" spans="2:3">
      <c r="B281" s="6" t="str">
        <f>IF(A281="","",HYPERLINK("#الاصناف!E"&amp;MATCH(LEFT(A281,FIND("|",A281)-1),الاصناف!E:E,0),"✏️ " &amp; LEFT(A281,FIND("|",A281)-1)))</f>
        <v/>
      </c>
      <c r="C281" s="6" t="str">
        <f>IF(A281="","",HYPERLINK("#الاصناف!G"&amp;MATCH(LEFT(A281,FIND("|",A281)-1),الاصناف!E:E,0),"💰 " &amp; RIGHT(A281,LEN(A281)-FIND("|",A281)) &amp; " $"))</f>
        <v/>
      </c>
    </row>
    <row r="282" spans="2:3">
      <c r="B282" s="6" t="str">
        <f>IF(A282="","",HYPERLINK("#الاصناف!E"&amp;MATCH(LEFT(A282,FIND("|",A282)-1),الاصناف!E:E,0),"✏️ " &amp; LEFT(A282,FIND("|",A282)-1)))</f>
        <v/>
      </c>
      <c r="C282" s="6" t="str">
        <f>IF(A282="","",HYPERLINK("#الاصناف!G"&amp;MATCH(LEFT(A282,FIND("|",A282)-1),الاصناف!E:E,0),"💰 " &amp; RIGHT(A282,LEN(A282)-FIND("|",A282)) &amp; " $"))</f>
        <v/>
      </c>
    </row>
    <row r="283" spans="2:3">
      <c r="B283" s="6" t="str">
        <f>IF(A283="","",HYPERLINK("#الاصناف!E"&amp;MATCH(LEFT(A283,FIND("|",A283)-1),الاصناف!E:E,0),"✏️ " &amp; LEFT(A283,FIND("|",A283)-1)))</f>
        <v/>
      </c>
      <c r="C283" s="6" t="str">
        <f>IF(A283="","",HYPERLINK("#الاصناف!G"&amp;MATCH(LEFT(A283,FIND("|",A283)-1),الاصناف!E:E,0),"💰 " &amp; RIGHT(A283,LEN(A283)-FIND("|",A283)) &amp; " $"))</f>
        <v/>
      </c>
    </row>
    <row r="284" spans="2:3">
      <c r="B284" s="6" t="str">
        <f>IF(A284="","",HYPERLINK("#الاصناف!E"&amp;MATCH(LEFT(A284,FIND("|",A284)-1),الاصناف!E:E,0),"✏️ " &amp; LEFT(A284,FIND("|",A284)-1)))</f>
        <v/>
      </c>
      <c r="C284" s="6" t="str">
        <f>IF(A284="","",HYPERLINK("#الاصناف!G"&amp;MATCH(LEFT(A284,FIND("|",A284)-1),الاصناف!E:E,0),"💰 " &amp; RIGHT(A284,LEN(A284)-FIND("|",A284)) &amp; " $"))</f>
        <v/>
      </c>
    </row>
    <row r="285" spans="2:3">
      <c r="B285" s="6" t="str">
        <f>IF(A285="","",HYPERLINK("#الاصناف!E"&amp;MATCH(LEFT(A285,FIND("|",A285)-1),الاصناف!E:E,0),"✏️ " &amp; LEFT(A285,FIND("|",A285)-1)))</f>
        <v/>
      </c>
      <c r="C285" s="6" t="str">
        <f>IF(A285="","",HYPERLINK("#الاصناف!G"&amp;MATCH(LEFT(A285,FIND("|",A285)-1),الاصناف!E:E,0),"💰 " &amp; RIGHT(A285,LEN(A285)-FIND("|",A285)) &amp; " $"))</f>
        <v/>
      </c>
    </row>
    <row r="286" spans="2:3">
      <c r="B286" s="6" t="str">
        <f>IF(A286="","",HYPERLINK("#الاصناف!E"&amp;MATCH(LEFT(A286,FIND("|",A286)-1),الاصناف!E:E,0),"✏️ " &amp; LEFT(A286,FIND("|",A286)-1)))</f>
        <v/>
      </c>
      <c r="C286" s="6" t="str">
        <f>IF(A286="","",HYPERLINK("#الاصناف!G"&amp;MATCH(LEFT(A286,FIND("|",A286)-1),الاصناف!E:E,0),"💰 " &amp; RIGHT(A286,LEN(A286)-FIND("|",A286)) &amp; " $"))</f>
        <v/>
      </c>
    </row>
    <row r="287" spans="2:3">
      <c r="B287" s="6" t="str">
        <f>IF(A287="","",HYPERLINK("#الاصناف!E"&amp;MATCH(LEFT(A287,FIND("|",A287)-1),الاصناف!E:E,0),"✏️ " &amp; LEFT(A287,FIND("|",A287)-1)))</f>
        <v/>
      </c>
      <c r="C287" s="6" t="str">
        <f>IF(A287="","",HYPERLINK("#الاصناف!G"&amp;MATCH(LEFT(A287,FIND("|",A287)-1),الاصناف!E:E,0),"💰 " &amp; RIGHT(A287,LEN(A287)-FIND("|",A287)) &amp; " $"))</f>
        <v/>
      </c>
    </row>
    <row r="288" spans="2:3">
      <c r="B288" s="6" t="str">
        <f>IF(A288="","",HYPERLINK("#الاصناف!E"&amp;MATCH(LEFT(A288,FIND("|",A288)-1),الاصناف!E:E,0),"✏️ " &amp; LEFT(A288,FIND("|",A288)-1)))</f>
        <v/>
      </c>
      <c r="C288" s="6" t="str">
        <f>IF(A288="","",HYPERLINK("#الاصناف!G"&amp;MATCH(LEFT(A288,FIND("|",A288)-1),الاصناف!E:E,0),"💰 " &amp; RIGHT(A288,LEN(A288)-FIND("|",A288)) &amp; " $"))</f>
        <v/>
      </c>
    </row>
    <row r="289" spans="2:3">
      <c r="B289" s="6" t="str">
        <f>IF(A289="","",HYPERLINK("#الاصناف!E"&amp;MATCH(LEFT(A289,FIND("|",A289)-1),الاصناف!E:E,0),"✏️ " &amp; LEFT(A289,FIND("|",A289)-1)))</f>
        <v/>
      </c>
      <c r="C289" s="6" t="str">
        <f>IF(A289="","",HYPERLINK("#الاصناف!G"&amp;MATCH(LEFT(A289,FIND("|",A289)-1),الاصناف!E:E,0),"💰 " &amp; RIGHT(A289,LEN(A289)-FIND("|",A289)) &amp; " $"))</f>
        <v/>
      </c>
    </row>
    <row r="290" spans="2:3">
      <c r="B290" s="6" t="str">
        <f>IF(A290="","",HYPERLINK("#الاصناف!E"&amp;MATCH(LEFT(A290,FIND("|",A290)-1),الاصناف!E:E,0),"✏️ " &amp; LEFT(A290,FIND("|",A290)-1)))</f>
        <v/>
      </c>
      <c r="C290" s="6" t="str">
        <f>IF(A290="","",HYPERLINK("#الاصناف!G"&amp;MATCH(LEFT(A290,FIND("|",A290)-1),الاصناف!E:E,0),"💰 " &amp; RIGHT(A290,LEN(A290)-FIND("|",A290)) &amp; " $"))</f>
        <v/>
      </c>
    </row>
    <row r="291" spans="2:3">
      <c r="B291" s="6" t="str">
        <f>IF(A291="","",HYPERLINK("#الاصناف!E"&amp;MATCH(LEFT(A291,FIND("|",A291)-1),الاصناف!E:E,0),"✏️ " &amp; LEFT(A291,FIND("|",A291)-1)))</f>
        <v/>
      </c>
      <c r="C291" s="6" t="str">
        <f>IF(A291="","",HYPERLINK("#الاصناف!G"&amp;MATCH(LEFT(A291,FIND("|",A291)-1),الاصناف!E:E,0),"💰 " &amp; RIGHT(A291,LEN(A291)-FIND("|",A291)) &amp; " $"))</f>
        <v/>
      </c>
    </row>
    <row r="292" spans="2:3">
      <c r="B292" s="6" t="str">
        <f>IF(A292="","",HYPERLINK("#الاصناف!E"&amp;MATCH(LEFT(A292,FIND("|",A292)-1),الاصناف!E:E,0),"✏️ " &amp; LEFT(A292,FIND("|",A292)-1)))</f>
        <v/>
      </c>
      <c r="C292" s="6" t="str">
        <f>IF(A292="","",HYPERLINK("#الاصناف!G"&amp;MATCH(LEFT(A292,FIND("|",A292)-1),الاصناف!E:E,0),"💰 " &amp; RIGHT(A292,LEN(A292)-FIND("|",A292)) &amp; " $"))</f>
        <v/>
      </c>
    </row>
    <row r="293" spans="2:3">
      <c r="B293" s="6" t="str">
        <f>IF(A293="","",HYPERLINK("#الاصناف!E"&amp;MATCH(LEFT(A293,FIND("|",A293)-1),الاصناف!E:E,0),"✏️ " &amp; LEFT(A293,FIND("|",A293)-1)))</f>
        <v/>
      </c>
      <c r="C293" s="6" t="str">
        <f>IF(A293="","",HYPERLINK("#الاصناف!G"&amp;MATCH(LEFT(A293,FIND("|",A293)-1),الاصناف!E:E,0),"💰 " &amp; RIGHT(A293,LEN(A293)-FIND("|",A293)) &amp; " $"))</f>
        <v/>
      </c>
    </row>
    <row r="294" spans="2:3">
      <c r="B294" s="6" t="str">
        <f>IF(A294="","",HYPERLINK("#الاصناف!E"&amp;MATCH(LEFT(A294,FIND("|",A294)-1),الاصناف!E:E,0),"✏️ " &amp; LEFT(A294,FIND("|",A294)-1)))</f>
        <v/>
      </c>
      <c r="C294" s="6" t="str">
        <f>IF(A294="","",HYPERLINK("#الاصناف!G"&amp;MATCH(LEFT(A294,FIND("|",A294)-1),الاصناف!E:E,0),"💰 " &amp; RIGHT(A294,LEN(A294)-FIND("|",A294)) &amp; " $"))</f>
        <v/>
      </c>
    </row>
    <row r="295" spans="2:3">
      <c r="B295" s="6" t="str">
        <f>IF(A295="","",HYPERLINK("#الاصناف!E"&amp;MATCH(LEFT(A295,FIND("|",A295)-1),الاصناف!E:E,0),"✏️ " &amp; LEFT(A295,FIND("|",A295)-1)))</f>
        <v/>
      </c>
      <c r="C295" s="6" t="str">
        <f>IF(A295="","",HYPERLINK("#الاصناف!G"&amp;MATCH(LEFT(A295,FIND("|",A295)-1),الاصناف!E:E,0),"💰 " &amp; RIGHT(A295,LEN(A295)-FIND("|",A295)) &amp; " $"))</f>
        <v/>
      </c>
    </row>
    <row r="296" spans="2:3">
      <c r="B296" s="6" t="str">
        <f>IF(A296="","",HYPERLINK("#الاصناف!E"&amp;MATCH(LEFT(A296,FIND("|",A296)-1),الاصناف!E:E,0),"✏️ " &amp; LEFT(A296,FIND("|",A296)-1)))</f>
        <v/>
      </c>
      <c r="C296" s="6" t="str">
        <f>IF(A296="","",HYPERLINK("#الاصناف!G"&amp;MATCH(LEFT(A296,FIND("|",A296)-1),الاصناف!E:E,0),"💰 " &amp; RIGHT(A296,LEN(A296)-FIND("|",A296)) &amp; " $"))</f>
        <v/>
      </c>
    </row>
    <row r="297" spans="2:3">
      <c r="B297" s="6" t="str">
        <f>IF(A297="","",HYPERLINK("#الاصناف!E"&amp;MATCH(LEFT(A297,FIND("|",A297)-1),الاصناف!E:E,0),"✏️ " &amp; LEFT(A297,FIND("|",A297)-1)))</f>
        <v/>
      </c>
      <c r="C297" s="6" t="str">
        <f>IF(A297="","",HYPERLINK("#الاصناف!G"&amp;MATCH(LEFT(A297,FIND("|",A297)-1),الاصناف!E:E,0),"💰 " &amp; RIGHT(A297,LEN(A297)-FIND("|",A297)) &amp; " $"))</f>
        <v/>
      </c>
    </row>
    <row r="298" spans="2:3">
      <c r="B298" s="6" t="str">
        <f>IF(A298="","",HYPERLINK("#الاصناف!E"&amp;MATCH(LEFT(A298,FIND("|",A298)-1),الاصناف!E:E,0),"✏️ " &amp; LEFT(A298,FIND("|",A298)-1)))</f>
        <v/>
      </c>
      <c r="C298" s="6" t="str">
        <f>IF(A298="","",HYPERLINK("#الاصناف!G"&amp;MATCH(LEFT(A298,FIND("|",A298)-1),الاصناف!E:E,0),"💰 " &amp; RIGHT(A298,LEN(A298)-FIND("|",A298)) &amp; " $"))</f>
        <v/>
      </c>
    </row>
    <row r="299" spans="2:3">
      <c r="B299" s="6" t="str">
        <f>IF(A299="","",HYPERLINK("#الاصناف!E"&amp;MATCH(LEFT(A299,FIND("|",A299)-1),الاصناف!E:E,0),"✏️ " &amp; LEFT(A299,FIND("|",A299)-1)))</f>
        <v/>
      </c>
      <c r="C299" s="6" t="str">
        <f>IF(A299="","",HYPERLINK("#الاصناف!G"&amp;MATCH(LEFT(A299,FIND("|",A299)-1),الاصناف!E:E,0),"💰 " &amp; RIGHT(A299,LEN(A299)-FIND("|",A299)) &amp; " $"))</f>
        <v/>
      </c>
    </row>
    <row r="300" spans="2:3">
      <c r="B300" s="6" t="str">
        <f>IF(A300="","",HYPERLINK("#الاصناف!E"&amp;MATCH(LEFT(A300,FIND("|",A300)-1),الاصناف!E:E,0),"✏️ " &amp; LEFT(A300,FIND("|",A300)-1)))</f>
        <v/>
      </c>
      <c r="C300" s="6" t="str">
        <f>IF(A300="","",HYPERLINK("#الاصناف!G"&amp;MATCH(LEFT(A300,FIND("|",A300)-1),الاصناف!E:E,0),"💰 " &amp; RIGHT(A300,LEN(A300)-FIND("|",A300)) &amp; " $"))</f>
        <v/>
      </c>
    </row>
    <row r="301" spans="2:3">
      <c r="B301" s="6" t="str">
        <f>IF(A301="","",HYPERLINK("#الاصناف!E"&amp;MATCH(LEFT(A301,FIND("|",A301)-1),الاصناف!E:E,0),"✏️ " &amp; LEFT(A301,FIND("|",A301)-1)))</f>
        <v/>
      </c>
      <c r="C301" s="6" t="str">
        <f>IF(A301="","",HYPERLINK("#الاصناف!G"&amp;MATCH(LEFT(A301,FIND("|",A301)-1),الاصناف!E:E,0),"💰 " &amp; RIGHT(A301,LEN(A301)-FIND("|",A301)) &amp; " $"))</f>
        <v/>
      </c>
    </row>
    <row r="302" spans="2:3">
      <c r="B302" s="6" t="str">
        <f>IF(A302="","",HYPERLINK("#الاصناف!E"&amp;MATCH(LEFT(A302,FIND("|",A302)-1),الاصناف!E:E,0),"✏️ " &amp; LEFT(A302,FIND("|",A302)-1)))</f>
        <v/>
      </c>
      <c r="C302" s="6" t="str">
        <f>IF(A302="","",HYPERLINK("#الاصناف!G"&amp;MATCH(LEFT(A302,FIND("|",A302)-1),الاصناف!E:E,0),"💰 " &amp; RIGHT(A302,LEN(A302)-FIND("|",A302)) &amp; " $"))</f>
        <v/>
      </c>
    </row>
    <row r="303" spans="2:3">
      <c r="B303" s="6" t="str">
        <f>IF(A303="","",HYPERLINK("#الاصناف!E"&amp;MATCH(LEFT(A303,FIND("|",A303)-1),الاصناف!E:E,0),"✏️ " &amp; LEFT(A303,FIND("|",A303)-1)))</f>
        <v/>
      </c>
      <c r="C303" s="6" t="str">
        <f>IF(A303="","",HYPERLINK("#الاصناف!G"&amp;MATCH(LEFT(A303,FIND("|",A303)-1),الاصناف!E:E,0),"💰 " &amp; RIGHT(A303,LEN(A303)-FIND("|",A303)) &amp; " $"))</f>
        <v/>
      </c>
    </row>
    <row r="304" spans="2:3">
      <c r="B304" s="6" t="str">
        <f>IF(A304="","",HYPERLINK("#الاصناف!E"&amp;MATCH(LEFT(A304,FIND("|",A304)-1),الاصناف!E:E,0),"✏️ " &amp; LEFT(A304,FIND("|",A304)-1)))</f>
        <v/>
      </c>
      <c r="C304" s="6" t="str">
        <f>IF(A304="","",HYPERLINK("#الاصناف!G"&amp;MATCH(LEFT(A304,FIND("|",A304)-1),الاصناف!E:E,0),"💰 " &amp; RIGHT(A304,LEN(A304)-FIND("|",A304)) &amp; " $"))</f>
        <v/>
      </c>
    </row>
    <row r="305" spans="2:3">
      <c r="B305" s="6" t="str">
        <f>IF(A305="","",HYPERLINK("#الاصناف!E"&amp;MATCH(LEFT(A305,FIND("|",A305)-1),الاصناف!E:E,0),"✏️ " &amp; LEFT(A305,FIND("|",A305)-1)))</f>
        <v/>
      </c>
      <c r="C305" s="6" t="str">
        <f>IF(A305="","",HYPERLINK("#الاصناف!G"&amp;MATCH(LEFT(A305,FIND("|",A305)-1),الاصناف!E:E,0),"💰 " &amp; RIGHT(A305,LEN(A305)-FIND("|",A305)) &amp; " $"))</f>
        <v/>
      </c>
    </row>
    <row r="306" spans="2:3">
      <c r="B306" s="6" t="str">
        <f>IF(A306="","",HYPERLINK("#الاصناف!E"&amp;MATCH(LEFT(A306,FIND("|",A306)-1),الاصناف!E:E,0),"✏️ " &amp; LEFT(A306,FIND("|",A306)-1)))</f>
        <v/>
      </c>
      <c r="C306" s="6" t="str">
        <f>IF(A306="","",HYPERLINK("#الاصناف!G"&amp;MATCH(LEFT(A306,FIND("|",A306)-1),الاصناف!E:E,0),"💰 " &amp; RIGHT(A306,LEN(A306)-FIND("|",A306)) &amp; " $"))</f>
        <v/>
      </c>
    </row>
    <row r="307" spans="2:3">
      <c r="B307" s="6" t="str">
        <f>IF(A307="","",HYPERLINK("#الاصناف!E"&amp;MATCH(LEFT(A307,FIND("|",A307)-1),الاصناف!E:E,0),"✏️ " &amp; LEFT(A307,FIND("|",A307)-1)))</f>
        <v/>
      </c>
      <c r="C307" s="6" t="str">
        <f>IF(A307="","",HYPERLINK("#الاصناف!G"&amp;MATCH(LEFT(A307,FIND("|",A307)-1),الاصناف!E:E,0),"💰 " &amp; RIGHT(A307,LEN(A307)-FIND("|",A307)) &amp; " $"))</f>
        <v/>
      </c>
    </row>
    <row r="308" spans="2:3">
      <c r="B308" s="6" t="str">
        <f>IF(A308="","",HYPERLINK("#الاصناف!E"&amp;MATCH(LEFT(A308,FIND("|",A308)-1),الاصناف!E:E,0),"✏️ " &amp; LEFT(A308,FIND("|",A308)-1)))</f>
        <v/>
      </c>
      <c r="C308" s="6" t="str">
        <f>IF(A308="","",HYPERLINK("#الاصناف!G"&amp;MATCH(LEFT(A308,FIND("|",A308)-1),الاصناف!E:E,0),"💰 " &amp; RIGHT(A308,LEN(A308)-FIND("|",A308)) &amp; " $"))</f>
        <v/>
      </c>
    </row>
    <row r="309" spans="2:3">
      <c r="B309" s="6" t="str">
        <f>IF(A309="","",HYPERLINK("#الاصناف!E"&amp;MATCH(LEFT(A309,FIND("|",A309)-1),الاصناف!E:E,0),"✏️ " &amp; LEFT(A309,FIND("|",A309)-1)))</f>
        <v/>
      </c>
      <c r="C309" s="6" t="str">
        <f>IF(A309="","",HYPERLINK("#الاصناف!G"&amp;MATCH(LEFT(A309,FIND("|",A309)-1),الاصناف!E:E,0),"💰 " &amp; RIGHT(A309,LEN(A309)-FIND("|",A309)) &amp; " $"))</f>
        <v/>
      </c>
    </row>
    <row r="310" spans="2:3">
      <c r="B310" s="6" t="str">
        <f>IF(A310="","",HYPERLINK("#الاصناف!E"&amp;MATCH(LEFT(A310,FIND("|",A310)-1),الاصناف!E:E,0),"✏️ " &amp; LEFT(A310,FIND("|",A310)-1)))</f>
        <v/>
      </c>
      <c r="C310" s="6" t="str">
        <f>IF(A310="","",HYPERLINK("#الاصناف!G"&amp;MATCH(LEFT(A310,FIND("|",A310)-1),الاصناف!E:E,0),"💰 " &amp; RIGHT(A310,LEN(A310)-FIND("|",A310)) &amp; " $"))</f>
        <v/>
      </c>
    </row>
    <row r="311" spans="2:3">
      <c r="B311" s="6" t="str">
        <f>IF(A311="","",HYPERLINK("#الاصناف!E"&amp;MATCH(LEFT(A311,FIND("|",A311)-1),الاصناف!E:E,0),"✏️ " &amp; LEFT(A311,FIND("|",A311)-1)))</f>
        <v/>
      </c>
      <c r="C311" s="6" t="str">
        <f>IF(A311="","",HYPERLINK("#الاصناف!G"&amp;MATCH(LEFT(A311,FIND("|",A311)-1),الاصناف!E:E,0),"💰 " &amp; RIGHT(A311,LEN(A311)-FIND("|",A311)) &amp; " $"))</f>
        <v/>
      </c>
    </row>
    <row r="312" spans="2:3">
      <c r="B312" s="6" t="str">
        <f>IF(A312="","",HYPERLINK("#الاصناف!E"&amp;MATCH(LEFT(A312,FIND("|",A312)-1),الاصناف!E:E,0),"✏️ " &amp; LEFT(A312,FIND("|",A312)-1)))</f>
        <v/>
      </c>
      <c r="C312" s="6" t="str">
        <f>IF(A312="","",HYPERLINK("#الاصناف!G"&amp;MATCH(LEFT(A312,FIND("|",A312)-1),الاصناف!E:E,0),"💰 " &amp; RIGHT(A312,LEN(A312)-FIND("|",A312)) &amp; " $"))</f>
        <v/>
      </c>
    </row>
    <row r="313" spans="2:3">
      <c r="B313" s="6" t="str">
        <f>IF(A313="","",HYPERLINK("#الاصناف!E"&amp;MATCH(LEFT(A313,FIND("|",A313)-1),الاصناف!E:E,0),"✏️ " &amp; LEFT(A313,FIND("|",A313)-1)))</f>
        <v/>
      </c>
      <c r="C313" s="6" t="str">
        <f>IF(A313="","",HYPERLINK("#الاصناف!G"&amp;MATCH(LEFT(A313,FIND("|",A313)-1),الاصناف!E:E,0),"💰 " &amp; RIGHT(A313,LEN(A313)-FIND("|",A313)) &amp; " $"))</f>
        <v/>
      </c>
    </row>
    <row r="314" spans="2:3">
      <c r="B314" s="6" t="str">
        <f>IF(A314="","",HYPERLINK("#الاصناف!E"&amp;MATCH(LEFT(A314,FIND("|",A314)-1),الاصناف!E:E,0),"✏️ " &amp; LEFT(A314,FIND("|",A314)-1)))</f>
        <v/>
      </c>
      <c r="C314" s="6" t="str">
        <f>IF(A314="","",HYPERLINK("#الاصناف!G"&amp;MATCH(LEFT(A314,FIND("|",A314)-1),الاصناف!E:E,0),"💰 " &amp; RIGHT(A314,LEN(A314)-FIND("|",A314)) &amp; " $"))</f>
        <v/>
      </c>
    </row>
    <row r="315" spans="2:3">
      <c r="B315" s="6" t="str">
        <f>IF(A315="","",HYPERLINK("#الاصناف!E"&amp;MATCH(LEFT(A315,FIND("|",A315)-1),الاصناف!E:E,0),"✏️ " &amp; LEFT(A315,FIND("|",A315)-1)))</f>
        <v/>
      </c>
      <c r="C315" s="6" t="str">
        <f>IF(A315="","",HYPERLINK("#الاصناف!G"&amp;MATCH(LEFT(A315,FIND("|",A315)-1),الاصناف!E:E,0),"💰 " &amp; RIGHT(A315,LEN(A315)-FIND("|",A315)) &amp; " $"))</f>
        <v/>
      </c>
    </row>
    <row r="316" spans="2:3">
      <c r="B316" s="6" t="str">
        <f>IF(A316="","",HYPERLINK("#الاصناف!E"&amp;MATCH(LEFT(A316,FIND("|",A316)-1),الاصناف!E:E,0),"✏️ " &amp; LEFT(A316,FIND("|",A316)-1)))</f>
        <v/>
      </c>
      <c r="C316" s="6" t="str">
        <f>IF(A316="","",HYPERLINK("#الاصناف!G"&amp;MATCH(LEFT(A316,FIND("|",A316)-1),الاصناف!E:E,0),"💰 " &amp; RIGHT(A316,LEN(A316)-FIND("|",A316)) &amp; " $"))</f>
        <v/>
      </c>
    </row>
    <row r="317" spans="2:3">
      <c r="B317" s="6" t="str">
        <f>IF(A317="","",HYPERLINK("#الاصناف!E"&amp;MATCH(LEFT(A317,FIND("|",A317)-1),الاصناف!E:E,0),"✏️ " &amp; LEFT(A317,FIND("|",A317)-1)))</f>
        <v/>
      </c>
      <c r="C317" s="6" t="str">
        <f>IF(A317="","",HYPERLINK("#الاصناف!G"&amp;MATCH(LEFT(A317,FIND("|",A317)-1),الاصناف!E:E,0),"💰 " &amp; RIGHT(A317,LEN(A317)-FIND("|",A317)) &amp; " $"))</f>
        <v/>
      </c>
    </row>
    <row r="318" spans="2:3">
      <c r="B318" s="6" t="str">
        <f>IF(A318="","",HYPERLINK("#الاصناف!E"&amp;MATCH(LEFT(A318,FIND("|",A318)-1),الاصناف!E:E,0),"✏️ " &amp; LEFT(A318,FIND("|",A318)-1)))</f>
        <v/>
      </c>
      <c r="C318" s="6" t="str">
        <f>IF(A318="","",HYPERLINK("#الاصناف!G"&amp;MATCH(LEFT(A318,FIND("|",A318)-1),الاصناف!E:E,0),"💰 " &amp; RIGHT(A318,LEN(A318)-FIND("|",A318)) &amp; " $"))</f>
        <v/>
      </c>
    </row>
    <row r="319" spans="2:3">
      <c r="B319" s="6" t="str">
        <f>IF(A319="","",HYPERLINK("#الاصناف!E"&amp;MATCH(LEFT(A319,FIND("|",A319)-1),الاصناف!E:E,0),"✏️ " &amp; LEFT(A319,FIND("|",A319)-1)))</f>
        <v/>
      </c>
      <c r="C319" s="6" t="str">
        <f>IF(A319="","",HYPERLINK("#الاصناف!G"&amp;MATCH(LEFT(A319,FIND("|",A319)-1),الاصناف!E:E,0),"💰 " &amp; RIGHT(A319,LEN(A319)-FIND("|",A319)) &amp; " $"))</f>
        <v/>
      </c>
    </row>
    <row r="320" spans="2:3">
      <c r="B320" s="6" t="str">
        <f>IF(A320="","",HYPERLINK("#الاصناف!E"&amp;MATCH(LEFT(A320,FIND("|",A320)-1),الاصناف!E:E,0),"✏️ " &amp; LEFT(A320,FIND("|",A320)-1)))</f>
        <v/>
      </c>
      <c r="C320" s="6" t="str">
        <f>IF(A320="","",HYPERLINK("#الاصناف!G"&amp;MATCH(LEFT(A320,FIND("|",A320)-1),الاصناف!E:E,0),"💰 " &amp; RIGHT(A320,LEN(A320)-FIND("|",A320)) &amp; " $"))</f>
        <v/>
      </c>
    </row>
    <row r="321" spans="2:3">
      <c r="B321" s="6" t="str">
        <f>IF(A321="","",HYPERLINK("#الاصناف!E"&amp;MATCH(LEFT(A321,FIND("|",A321)-1),الاصناف!E:E,0),"✏️ " &amp; LEFT(A321,FIND("|",A321)-1)))</f>
        <v/>
      </c>
      <c r="C321" s="6" t="str">
        <f>IF(A321="","",HYPERLINK("#الاصناف!G"&amp;MATCH(LEFT(A321,FIND("|",A321)-1),الاصناف!E:E,0),"💰 " &amp; RIGHT(A321,LEN(A321)-FIND("|",A321)) &amp; " $"))</f>
        <v/>
      </c>
    </row>
    <row r="322" spans="2:3">
      <c r="B322" s="6" t="str">
        <f>IF(A322="","",HYPERLINK("#الاصناف!E"&amp;MATCH(LEFT(A322,FIND("|",A322)-1),الاصناف!E:E,0),"✏️ " &amp; LEFT(A322,FIND("|",A322)-1)))</f>
        <v/>
      </c>
      <c r="C322" s="6" t="str">
        <f>IF(A322="","",HYPERLINK("#الاصناف!G"&amp;MATCH(LEFT(A322,FIND("|",A322)-1),الاصناف!E:E,0),"💰 " &amp; RIGHT(A322,LEN(A322)-FIND("|",A322)) &amp; " $"))</f>
        <v/>
      </c>
    </row>
    <row r="323" spans="2:3">
      <c r="B323" s="6" t="str">
        <f>IF(A323="","",HYPERLINK("#الاصناف!E"&amp;MATCH(LEFT(A323,FIND("|",A323)-1),الاصناف!E:E,0),"✏️ " &amp; LEFT(A323,FIND("|",A323)-1)))</f>
        <v/>
      </c>
      <c r="C323" s="6" t="str">
        <f>IF(A323="","",HYPERLINK("#الاصناف!G"&amp;MATCH(LEFT(A323,FIND("|",A323)-1),الاصناف!E:E,0),"💰 " &amp; RIGHT(A323,LEN(A323)-FIND("|",A323)) &amp; " $"))</f>
        <v/>
      </c>
    </row>
    <row r="324" spans="2:3">
      <c r="B324" s="6" t="str">
        <f>IF(A324="","",HYPERLINK("#الاصناف!E"&amp;MATCH(LEFT(A324,FIND("|",A324)-1),الاصناف!E:E,0),"✏️ " &amp; LEFT(A324,FIND("|",A324)-1)))</f>
        <v/>
      </c>
      <c r="C324" s="6" t="str">
        <f>IF(A324="","",HYPERLINK("#الاصناف!G"&amp;MATCH(LEFT(A324,FIND("|",A324)-1),الاصناف!E:E,0),"💰 " &amp; RIGHT(A324,LEN(A324)-FIND("|",A324)) &amp; " $"))</f>
        <v/>
      </c>
    </row>
    <row r="325" spans="2:3">
      <c r="B325" s="6" t="str">
        <f>IF(A325="","",HYPERLINK("#الاصناف!E"&amp;MATCH(LEFT(A325,FIND("|",A325)-1),الاصناف!E:E,0),"✏️ " &amp; LEFT(A325,FIND("|",A325)-1)))</f>
        <v/>
      </c>
      <c r="C325" s="6" t="str">
        <f>IF(A325="","",HYPERLINK("#الاصناف!G"&amp;MATCH(LEFT(A325,FIND("|",A325)-1),الاصناف!E:E,0),"💰 " &amp; RIGHT(A325,LEN(A325)-FIND("|",A325)) &amp; " $"))</f>
        <v/>
      </c>
    </row>
    <row r="326" spans="2:3">
      <c r="B326" s="6" t="str">
        <f>IF(A326="","",HYPERLINK("#الاصناف!E"&amp;MATCH(LEFT(A326,FIND("|",A326)-1),الاصناف!E:E,0),"✏️ " &amp; LEFT(A326,FIND("|",A326)-1)))</f>
        <v/>
      </c>
      <c r="C326" s="6" t="str">
        <f>IF(A326="","",HYPERLINK("#الاصناف!G"&amp;MATCH(LEFT(A326,FIND("|",A326)-1),الاصناف!E:E,0),"💰 " &amp; RIGHT(A326,LEN(A326)-FIND("|",A326)) &amp; " $"))</f>
        <v/>
      </c>
    </row>
    <row r="327" spans="2:3">
      <c r="B327" s="6" t="str">
        <f>IF(A327="","",HYPERLINK("#الاصناف!E"&amp;MATCH(LEFT(A327,FIND("|",A327)-1),الاصناف!E:E,0),"✏️ " &amp; LEFT(A327,FIND("|",A327)-1)))</f>
        <v/>
      </c>
      <c r="C327" s="6" t="str">
        <f>IF(A327="","",HYPERLINK("#الاصناف!G"&amp;MATCH(LEFT(A327,FIND("|",A327)-1),الاصناف!E:E,0),"💰 " &amp; RIGHT(A327,LEN(A327)-FIND("|",A327)) &amp; " $"))</f>
        <v/>
      </c>
    </row>
    <row r="328" spans="2:3">
      <c r="B328" s="6" t="str">
        <f>IF(A328="","",HYPERLINK("#الاصناف!E"&amp;MATCH(LEFT(A328,FIND("|",A328)-1),الاصناف!E:E,0),"✏️ " &amp; LEFT(A328,FIND("|",A328)-1)))</f>
        <v/>
      </c>
      <c r="C328" s="6" t="str">
        <f>IF(A328="","",HYPERLINK("#الاصناف!G"&amp;MATCH(LEFT(A328,FIND("|",A328)-1),الاصناف!E:E,0),"💰 " &amp; RIGHT(A328,LEN(A328)-FIND("|",A328)) &amp; " $"))</f>
        <v/>
      </c>
    </row>
    <row r="329" spans="2:3">
      <c r="B329" s="6" t="str">
        <f>IF(A329="","",HYPERLINK("#الاصناف!E"&amp;MATCH(LEFT(A329,FIND("|",A329)-1),الاصناف!E:E,0),"✏️ " &amp; LEFT(A329,FIND("|",A329)-1)))</f>
        <v/>
      </c>
      <c r="C329" s="6" t="str">
        <f>IF(A329="","",HYPERLINK("#الاصناف!G"&amp;MATCH(LEFT(A329,FIND("|",A329)-1),الاصناف!E:E,0),"💰 " &amp; RIGHT(A329,LEN(A329)-FIND("|",A329)) &amp; " $"))</f>
        <v/>
      </c>
    </row>
    <row r="330" spans="2:3">
      <c r="B330" s="6" t="str">
        <f>IF(A330="","",HYPERLINK("#الاصناف!E"&amp;MATCH(LEFT(A330,FIND("|",A330)-1),الاصناف!E:E,0),"✏️ " &amp; LEFT(A330,FIND("|",A330)-1)))</f>
        <v/>
      </c>
      <c r="C330" s="6" t="str">
        <f>IF(A330="","",HYPERLINK("#الاصناف!G"&amp;MATCH(LEFT(A330,FIND("|",A330)-1),الاصناف!E:E,0),"💰 " &amp; RIGHT(A330,LEN(A330)-FIND("|",A330)) &amp; " $"))</f>
        <v/>
      </c>
    </row>
    <row r="331" spans="2:3">
      <c r="B331" s="6" t="str">
        <f>IF(A331="","",HYPERLINK("#الاصناف!E"&amp;MATCH(LEFT(A331,FIND("|",A331)-1),الاصناف!E:E,0),"✏️ " &amp; LEFT(A331,FIND("|",A331)-1)))</f>
        <v/>
      </c>
      <c r="C331" s="6" t="str">
        <f>IF(A331="","",HYPERLINK("#الاصناف!G"&amp;MATCH(LEFT(A331,FIND("|",A331)-1),الاصناف!E:E,0),"💰 " &amp; RIGHT(A331,LEN(A331)-FIND("|",A331)) &amp; " $"))</f>
        <v/>
      </c>
    </row>
    <row r="332" spans="2:3">
      <c r="B332" s="6" t="str">
        <f>IF(A332="","",HYPERLINK("#الاصناف!E"&amp;MATCH(LEFT(A332,FIND("|",A332)-1),الاصناف!E:E,0),"✏️ " &amp; LEFT(A332,FIND("|",A332)-1)))</f>
        <v/>
      </c>
      <c r="C332" s="6" t="str">
        <f>IF(A332="","",HYPERLINK("#الاصناف!G"&amp;MATCH(LEFT(A332,FIND("|",A332)-1),الاصناف!E:E,0),"💰 " &amp; RIGHT(A332,LEN(A332)-FIND("|",A332)) &amp; " $"))</f>
        <v/>
      </c>
    </row>
    <row r="333" spans="2:3">
      <c r="B333" s="6" t="str">
        <f>IF(A333="","",HYPERLINK("#الاصناف!E"&amp;MATCH(LEFT(A333,FIND("|",A333)-1),الاصناف!E:E,0),"✏️ " &amp; LEFT(A333,FIND("|",A333)-1)))</f>
        <v/>
      </c>
      <c r="C333" s="6" t="str">
        <f>IF(A333="","",HYPERLINK("#الاصناف!G"&amp;MATCH(LEFT(A333,FIND("|",A333)-1),الاصناف!E:E,0),"💰 " &amp; RIGHT(A333,LEN(A333)-FIND("|",A333)) &amp; " $"))</f>
        <v/>
      </c>
    </row>
    <row r="334" spans="2:3">
      <c r="B334" s="6" t="str">
        <f>IF(A334="","",HYPERLINK("#الاصناف!E"&amp;MATCH(LEFT(A334,FIND("|",A334)-1),الاصناف!E:E,0),"✏️ " &amp; LEFT(A334,FIND("|",A334)-1)))</f>
        <v/>
      </c>
      <c r="C334" s="6" t="str">
        <f>IF(A334="","",HYPERLINK("#الاصناف!G"&amp;MATCH(LEFT(A334,FIND("|",A334)-1),الاصناف!E:E,0),"💰 " &amp; RIGHT(A334,LEN(A334)-FIND("|",A334)) &amp; " $"))</f>
        <v/>
      </c>
    </row>
    <row r="335" spans="2:3">
      <c r="B335" s="6" t="str">
        <f>IF(A335="","",HYPERLINK("#الاصناف!E"&amp;MATCH(LEFT(A335,FIND("|",A335)-1),الاصناف!E:E,0),"✏️ " &amp; LEFT(A335,FIND("|",A335)-1)))</f>
        <v/>
      </c>
      <c r="C335" s="6" t="str">
        <f>IF(A335="","",HYPERLINK("#الاصناف!G"&amp;MATCH(LEFT(A335,FIND("|",A335)-1),الاصناف!E:E,0),"💰 " &amp; RIGHT(A335,LEN(A335)-FIND("|",A335)) &amp; " $"))</f>
        <v/>
      </c>
    </row>
    <row r="336" spans="2:3">
      <c r="B336" s="6" t="str">
        <f>IF(A336="","",HYPERLINK("#الاصناف!E"&amp;MATCH(LEFT(A336,FIND("|",A336)-1),الاصناف!E:E,0),"✏️ " &amp; LEFT(A336,FIND("|",A336)-1)))</f>
        <v/>
      </c>
      <c r="C336" s="6" t="str">
        <f>IF(A336="","",HYPERLINK("#الاصناف!G"&amp;MATCH(LEFT(A336,FIND("|",A336)-1),الاصناف!E:E,0),"💰 " &amp; RIGHT(A336,LEN(A336)-FIND("|",A336)) &amp; " $"))</f>
        <v/>
      </c>
    </row>
    <row r="337" spans="2:3">
      <c r="B337" s="6" t="str">
        <f>IF(A337="","",HYPERLINK("#الاصناف!E"&amp;MATCH(LEFT(A337,FIND("|",A337)-1),الاصناف!E:E,0),"✏️ " &amp; LEFT(A337,FIND("|",A337)-1)))</f>
        <v/>
      </c>
      <c r="C337" s="6" t="str">
        <f>IF(A337="","",HYPERLINK("#الاصناف!G"&amp;MATCH(LEFT(A337,FIND("|",A337)-1),الاصناف!E:E,0),"💰 " &amp; RIGHT(A337,LEN(A337)-FIND("|",A337)) &amp; " $"))</f>
        <v/>
      </c>
    </row>
    <row r="338" spans="2:3">
      <c r="B338" s="6" t="str">
        <f>IF(A338="","",HYPERLINK("#الاصناف!E"&amp;MATCH(LEFT(A338,FIND("|",A338)-1),الاصناف!E:E,0),"✏️ " &amp; LEFT(A338,FIND("|",A338)-1)))</f>
        <v/>
      </c>
      <c r="C338" s="6" t="str">
        <f>IF(A338="","",HYPERLINK("#الاصناف!G"&amp;MATCH(LEFT(A338,FIND("|",A338)-1),الاصناف!E:E,0),"💰 " &amp; RIGHT(A338,LEN(A338)-FIND("|",A338)) &amp; " $"))</f>
        <v/>
      </c>
    </row>
    <row r="339" spans="2:3">
      <c r="B339" s="6" t="str">
        <f>IF(A339="","",HYPERLINK("#الاصناف!E"&amp;MATCH(LEFT(A339,FIND("|",A339)-1),الاصناف!E:E,0),"✏️ " &amp; LEFT(A339,FIND("|",A339)-1)))</f>
        <v/>
      </c>
      <c r="C339" s="6" t="str">
        <f>IF(A339="","",HYPERLINK("#الاصناف!G"&amp;MATCH(LEFT(A339,FIND("|",A339)-1),الاصناف!E:E,0),"💰 " &amp; RIGHT(A339,LEN(A339)-FIND("|",A339)) &amp; " $"))</f>
        <v/>
      </c>
    </row>
    <row r="340" spans="2:3">
      <c r="B340" s="6" t="str">
        <f>IF(A340="","",HYPERLINK("#الاصناف!E"&amp;MATCH(LEFT(A340,FIND("|",A340)-1),الاصناف!E:E,0),"✏️ " &amp; LEFT(A340,FIND("|",A340)-1)))</f>
        <v/>
      </c>
      <c r="C340" s="6" t="str">
        <f>IF(A340="","",HYPERLINK("#الاصناف!G"&amp;MATCH(LEFT(A340,FIND("|",A340)-1),الاصناف!E:E,0),"💰 " &amp; RIGHT(A340,LEN(A340)-FIND("|",A340)) &amp; " $"))</f>
        <v/>
      </c>
    </row>
    <row r="341" spans="2:3">
      <c r="B341" s="6" t="str">
        <f>IF(A341="","",HYPERLINK("#الاصناف!E"&amp;MATCH(LEFT(A341,FIND("|",A341)-1),الاصناف!E:E,0),"✏️ " &amp; LEFT(A341,FIND("|",A341)-1)))</f>
        <v/>
      </c>
      <c r="C341" s="6" t="str">
        <f>IF(A341="","",HYPERLINK("#الاصناف!G"&amp;MATCH(LEFT(A341,FIND("|",A341)-1),الاصناف!E:E,0),"💰 " &amp; RIGHT(A341,LEN(A341)-FIND("|",A341)) &amp; " $"))</f>
        <v/>
      </c>
    </row>
    <row r="342" spans="2:3">
      <c r="B342" s="6" t="str">
        <f>IF(A342="","",HYPERLINK("#الاصناف!E"&amp;MATCH(LEFT(A342,FIND("|",A342)-1),الاصناف!E:E,0),"✏️ " &amp; LEFT(A342,FIND("|",A342)-1)))</f>
        <v/>
      </c>
      <c r="C342" s="6" t="str">
        <f>IF(A342="","",HYPERLINK("#الاصناف!G"&amp;MATCH(LEFT(A342,FIND("|",A342)-1),الاصناف!E:E,0),"💰 " &amp; RIGHT(A342,LEN(A342)-FIND("|",A342)) &amp; " $"))</f>
        <v/>
      </c>
    </row>
    <row r="343" spans="2:3">
      <c r="B343" s="6" t="str">
        <f>IF(A343="","",HYPERLINK("#الاصناف!E"&amp;MATCH(LEFT(A343,FIND("|",A343)-1),الاصناف!E:E,0),"✏️ " &amp; LEFT(A343,FIND("|",A343)-1)))</f>
        <v/>
      </c>
      <c r="C343" s="6" t="str">
        <f>IF(A343="","",HYPERLINK("#الاصناف!G"&amp;MATCH(LEFT(A343,FIND("|",A343)-1),الاصناف!E:E,0),"💰 " &amp; RIGHT(A343,LEN(A343)-FIND("|",A343)) &amp; " $"))</f>
        <v/>
      </c>
    </row>
    <row r="344" spans="2:3">
      <c r="B344" s="6" t="str">
        <f>IF(A344="","",HYPERLINK("#الاصناف!E"&amp;MATCH(LEFT(A344,FIND("|",A344)-1),الاصناف!E:E,0),"✏️ " &amp; LEFT(A344,FIND("|",A344)-1)))</f>
        <v/>
      </c>
      <c r="C344" s="6" t="str">
        <f>IF(A344="","",HYPERLINK("#الاصناف!G"&amp;MATCH(LEFT(A344,FIND("|",A344)-1),الاصناف!E:E,0),"💰 " &amp; RIGHT(A344,LEN(A344)-FIND("|",A344)) &amp; " $"))</f>
        <v/>
      </c>
    </row>
    <row r="345" spans="2:3">
      <c r="B345" s="6" t="str">
        <f>IF(A345="","",HYPERLINK("#الاصناف!E"&amp;MATCH(LEFT(A345,FIND("|",A345)-1),الاصناف!E:E,0),"✏️ " &amp; LEFT(A345,FIND("|",A345)-1)))</f>
        <v/>
      </c>
      <c r="C345" s="6" t="str">
        <f>IF(A345="","",HYPERLINK("#الاصناف!G"&amp;MATCH(LEFT(A345,FIND("|",A345)-1),الاصناف!E:E,0),"💰 " &amp; RIGHT(A345,LEN(A345)-FIND("|",A345)) &amp; " $"))</f>
        <v/>
      </c>
    </row>
    <row r="346" spans="2:3">
      <c r="B346" s="6" t="str">
        <f>IF(A346="","",HYPERLINK("#الاصناف!E"&amp;MATCH(LEFT(A346,FIND("|",A346)-1),الاصناف!E:E,0),"✏️ " &amp; LEFT(A346,FIND("|",A346)-1)))</f>
        <v/>
      </c>
      <c r="C346" s="6" t="str">
        <f>IF(A346="","",HYPERLINK("#الاصناف!G"&amp;MATCH(LEFT(A346,FIND("|",A346)-1),الاصناف!E:E,0),"💰 " &amp; RIGHT(A346,LEN(A346)-FIND("|",A346)) &amp; " $"))</f>
        <v/>
      </c>
    </row>
    <row r="347" spans="2:3">
      <c r="B347" s="6" t="str">
        <f>IF(A347="","",HYPERLINK("#الاصناف!E"&amp;MATCH(LEFT(A347,FIND("|",A347)-1),الاصناف!E:E,0),"✏️ " &amp; LEFT(A347,FIND("|",A347)-1)))</f>
        <v/>
      </c>
      <c r="C347" s="6" t="str">
        <f>IF(A347="","",HYPERLINK("#الاصناف!G"&amp;MATCH(LEFT(A347,FIND("|",A347)-1),الاصناف!E:E,0),"💰 " &amp; RIGHT(A347,LEN(A347)-FIND("|",A347)) &amp; " $"))</f>
        <v/>
      </c>
    </row>
    <row r="348" spans="2:3">
      <c r="B348" s="6" t="str">
        <f>IF(A348="","",HYPERLINK("#الاصناف!E"&amp;MATCH(LEFT(A348,FIND("|",A348)-1),الاصناف!E:E,0),"✏️ " &amp; LEFT(A348,FIND("|",A348)-1)))</f>
        <v/>
      </c>
      <c r="C348" s="6" t="str">
        <f>IF(A348="","",HYPERLINK("#الاصناف!G"&amp;MATCH(LEFT(A348,FIND("|",A348)-1),الاصناف!E:E,0),"💰 " &amp; RIGHT(A348,LEN(A348)-FIND("|",A348)) &amp; " $"))</f>
        <v/>
      </c>
    </row>
    <row r="349" spans="2:3">
      <c r="B349" s="6" t="str">
        <f>IF(A349="","",HYPERLINK("#الاصناف!E"&amp;MATCH(LEFT(A349,FIND("|",A349)-1),الاصناف!E:E,0),"✏️ " &amp; LEFT(A349,FIND("|",A349)-1)))</f>
        <v/>
      </c>
      <c r="C349" s="6" t="str">
        <f>IF(A349="","",HYPERLINK("#الاصناف!G"&amp;MATCH(LEFT(A349,FIND("|",A349)-1),الاصناف!E:E,0),"💰 " &amp; RIGHT(A349,LEN(A349)-FIND("|",A349)) &amp; " $"))</f>
        <v/>
      </c>
    </row>
    <row r="350" spans="2:3">
      <c r="B350" s="6" t="str">
        <f>IF(A350="","",HYPERLINK("#الاصناف!E"&amp;MATCH(LEFT(A350,FIND("|",A350)-1),الاصناف!E:E,0),"✏️ " &amp; LEFT(A350,FIND("|",A350)-1)))</f>
        <v/>
      </c>
      <c r="C350" s="6" t="str">
        <f>IF(A350="","",HYPERLINK("#الاصناف!G"&amp;MATCH(LEFT(A350,FIND("|",A350)-1),الاصناف!E:E,0),"💰 " &amp; RIGHT(A350,LEN(A350)-FIND("|",A350)) &amp; " $"))</f>
        <v/>
      </c>
    </row>
    <row r="351" spans="2:3">
      <c r="B351" s="6" t="str">
        <f>IF(A351="","",HYPERLINK("#الاصناف!E"&amp;MATCH(LEFT(A351,FIND("|",A351)-1),الاصناف!E:E,0),"✏️ " &amp; LEFT(A351,FIND("|",A351)-1)))</f>
        <v/>
      </c>
      <c r="C351" s="6" t="str">
        <f>IF(A351="","",HYPERLINK("#الاصناف!G"&amp;MATCH(LEFT(A351,FIND("|",A351)-1),الاصناف!E:E,0),"💰 " &amp; RIGHT(A351,LEN(A351)-FIND("|",A351)) &amp; " $"))</f>
        <v/>
      </c>
    </row>
    <row r="352" spans="2:3">
      <c r="B352" s="6" t="str">
        <f>IF(A352="","",HYPERLINK("#الاصناف!E"&amp;MATCH(LEFT(A352,FIND("|",A352)-1),الاصناف!E:E,0),"✏️ " &amp; LEFT(A352,FIND("|",A352)-1)))</f>
        <v/>
      </c>
      <c r="C352" s="6" t="str">
        <f>IF(A352="","",HYPERLINK("#الاصناف!G"&amp;MATCH(LEFT(A352,FIND("|",A352)-1),الاصناف!E:E,0),"💰 " &amp; RIGHT(A352,LEN(A352)-FIND("|",A352)) &amp; " $"))</f>
        <v/>
      </c>
    </row>
    <row r="353" spans="2:3">
      <c r="B353" s="6" t="str">
        <f>IF(A353="","",HYPERLINK("#الاصناف!E"&amp;MATCH(LEFT(A353,FIND("|",A353)-1),الاصناف!E:E,0),"✏️ " &amp; LEFT(A353,FIND("|",A353)-1)))</f>
        <v/>
      </c>
      <c r="C353" s="6" t="str">
        <f>IF(A353="","",HYPERLINK("#الاصناف!G"&amp;MATCH(LEFT(A353,FIND("|",A353)-1),الاصناف!E:E,0),"💰 " &amp; RIGHT(A353,LEN(A353)-FIND("|",A353)) &amp; " $"))</f>
        <v/>
      </c>
    </row>
    <row r="354" spans="2:3">
      <c r="B354" s="6" t="str">
        <f>IF(A354="","",HYPERLINK("#الاصناف!E"&amp;MATCH(LEFT(A354,FIND("|",A354)-1),الاصناف!E:E,0),"✏️ " &amp; LEFT(A354,FIND("|",A354)-1)))</f>
        <v/>
      </c>
      <c r="C354" s="6" t="str">
        <f>IF(A354="","",HYPERLINK("#الاصناف!G"&amp;MATCH(LEFT(A354,FIND("|",A354)-1),الاصناف!E:E,0),"💰 " &amp; RIGHT(A354,LEN(A354)-FIND("|",A354)) &amp; " $"))</f>
        <v/>
      </c>
    </row>
    <row r="355" spans="2:3">
      <c r="B355" s="6" t="str">
        <f>IF(A355="","",HYPERLINK("#الاصناف!E"&amp;MATCH(LEFT(A355,FIND("|",A355)-1),الاصناف!E:E,0),"✏️ " &amp; LEFT(A355,FIND("|",A355)-1)))</f>
        <v/>
      </c>
      <c r="C355" s="6" t="str">
        <f>IF(A355="","",HYPERLINK("#الاصناف!G"&amp;MATCH(LEFT(A355,FIND("|",A355)-1),الاصناف!E:E,0),"💰 " &amp; RIGHT(A355,LEN(A355)-FIND("|",A355)) &amp; " $"))</f>
        <v/>
      </c>
    </row>
    <row r="356" spans="2:3">
      <c r="B356" s="6" t="str">
        <f>IF(A356="","",HYPERLINK("#الاصناف!E"&amp;MATCH(LEFT(A356,FIND("|",A356)-1),الاصناف!E:E,0),"✏️ " &amp; LEFT(A356,FIND("|",A356)-1)))</f>
        <v/>
      </c>
      <c r="C356" s="6" t="str">
        <f>IF(A356="","",HYPERLINK("#الاصناف!G"&amp;MATCH(LEFT(A356,FIND("|",A356)-1),الاصناف!E:E,0),"💰 " &amp; RIGHT(A356,LEN(A356)-FIND("|",A356)) &amp; " $"))</f>
        <v/>
      </c>
    </row>
    <row r="357" spans="2:3">
      <c r="B357" s="6" t="str">
        <f>IF(A357="","",HYPERLINK("#الاصناف!E"&amp;MATCH(LEFT(A357,FIND("|",A357)-1),الاصناف!E:E,0),"✏️ " &amp; LEFT(A357,FIND("|",A357)-1)))</f>
        <v/>
      </c>
      <c r="C357" s="6" t="str">
        <f>IF(A357="","",HYPERLINK("#الاصناف!G"&amp;MATCH(LEFT(A357,FIND("|",A357)-1),الاصناف!E:E,0),"💰 " &amp; RIGHT(A357,LEN(A357)-FIND("|",A357)) &amp; " $"))</f>
        <v/>
      </c>
    </row>
    <row r="358" spans="2:3">
      <c r="B358" s="6" t="str">
        <f>IF(A358="","",HYPERLINK("#الاصناف!E"&amp;MATCH(LEFT(A358,FIND("|",A358)-1),الاصناف!E:E,0),"✏️ " &amp; LEFT(A358,FIND("|",A358)-1)))</f>
        <v/>
      </c>
      <c r="C358" s="6" t="str">
        <f>IF(A358="","",HYPERLINK("#الاصناف!G"&amp;MATCH(LEFT(A358,FIND("|",A358)-1),الاصناف!E:E,0),"💰 " &amp; RIGHT(A358,LEN(A358)-FIND("|",A358)) &amp; " $"))</f>
        <v/>
      </c>
    </row>
    <row r="359" spans="2:3">
      <c r="B359" s="6" t="str">
        <f>IF(A359="","",HYPERLINK("#الاصناف!E"&amp;MATCH(LEFT(A359,FIND("|",A359)-1),الاصناف!E:E,0),"✏️ " &amp; LEFT(A359,FIND("|",A359)-1)))</f>
        <v/>
      </c>
      <c r="C359" s="6" t="str">
        <f>IF(A359="","",HYPERLINK("#الاصناف!G"&amp;MATCH(LEFT(A359,FIND("|",A359)-1),الاصناف!E:E,0),"💰 " &amp; RIGHT(A359,LEN(A359)-FIND("|",A359)) &amp; " $"))</f>
        <v/>
      </c>
    </row>
    <row r="360" spans="2:3">
      <c r="B360" s="6" t="str">
        <f>IF(A360="","",HYPERLINK("#الاصناف!E"&amp;MATCH(LEFT(A360,FIND("|",A360)-1),الاصناف!E:E,0),"✏️ " &amp; LEFT(A360,FIND("|",A360)-1)))</f>
        <v/>
      </c>
      <c r="C360" s="6" t="str">
        <f>IF(A360="","",HYPERLINK("#الاصناف!G"&amp;MATCH(LEFT(A360,FIND("|",A360)-1),الاصناف!E:E,0),"💰 " &amp; RIGHT(A360,LEN(A360)-FIND("|",A360)) &amp; " $"))</f>
        <v/>
      </c>
    </row>
    <row r="361" spans="2:3">
      <c r="B361" s="6" t="str">
        <f>IF(A361="","",HYPERLINK("#الاصناف!E"&amp;MATCH(LEFT(A361,FIND("|",A361)-1),الاصناف!E:E,0),"✏️ " &amp; LEFT(A361,FIND("|",A361)-1)))</f>
        <v/>
      </c>
      <c r="C361" s="6" t="str">
        <f>IF(A361="","",HYPERLINK("#الاصناف!G"&amp;MATCH(LEFT(A361,FIND("|",A361)-1),الاصناف!E:E,0),"💰 " &amp; RIGHT(A361,LEN(A361)-FIND("|",A361)) &amp; " $"))</f>
        <v/>
      </c>
    </row>
    <row r="362" spans="2:3">
      <c r="B362" s="6" t="str">
        <f>IF(A362="","",HYPERLINK("#الاصناف!E"&amp;MATCH(LEFT(A362,FIND("|",A362)-1),الاصناف!E:E,0),"✏️ " &amp; LEFT(A362,FIND("|",A362)-1)))</f>
        <v/>
      </c>
      <c r="C362" s="6" t="str">
        <f>IF(A362="","",HYPERLINK("#الاصناف!G"&amp;MATCH(LEFT(A362,FIND("|",A362)-1),الاصناف!E:E,0),"💰 " &amp; RIGHT(A362,LEN(A362)-FIND("|",A362)) &amp; " $"))</f>
        <v/>
      </c>
    </row>
    <row r="363" spans="2:3">
      <c r="B363" s="6" t="str">
        <f>IF(A363="","",HYPERLINK("#الاصناف!E"&amp;MATCH(LEFT(A363,FIND("|",A363)-1),الاصناف!E:E,0),"✏️ " &amp; LEFT(A363,FIND("|",A363)-1)))</f>
        <v/>
      </c>
      <c r="C363" s="6" t="str">
        <f>IF(A363="","",HYPERLINK("#الاصناف!G"&amp;MATCH(LEFT(A363,FIND("|",A363)-1),الاصناف!E:E,0),"💰 " &amp; RIGHT(A363,LEN(A363)-FIND("|",A363)) &amp; " $"))</f>
        <v/>
      </c>
    </row>
    <row r="364" spans="2:3">
      <c r="B364" s="6" t="str">
        <f>IF(A364="","",HYPERLINK("#الاصناف!E"&amp;MATCH(LEFT(A364,FIND("|",A364)-1),الاصناف!E:E,0),"✏️ " &amp; LEFT(A364,FIND("|",A364)-1)))</f>
        <v/>
      </c>
      <c r="C364" s="6" t="str">
        <f>IF(A364="","",HYPERLINK("#الاصناف!G"&amp;MATCH(LEFT(A364,FIND("|",A364)-1),الاصناف!E:E,0),"💰 " &amp; RIGHT(A364,LEN(A364)-FIND("|",A364)) &amp; " $"))</f>
        <v/>
      </c>
    </row>
    <row r="365" spans="2:3">
      <c r="B365" s="6" t="str">
        <f>IF(A365="","",HYPERLINK("#الاصناف!E"&amp;MATCH(LEFT(A365,FIND("|",A365)-1),الاصناف!E:E,0),"✏️ " &amp; LEFT(A365,FIND("|",A365)-1)))</f>
        <v/>
      </c>
      <c r="C365" s="6" t="str">
        <f>IF(A365="","",HYPERLINK("#الاصناف!G"&amp;MATCH(LEFT(A365,FIND("|",A365)-1),الاصناف!E:E,0),"💰 " &amp; RIGHT(A365,LEN(A365)-FIND("|",A365)) &amp; " $"))</f>
        <v/>
      </c>
    </row>
    <row r="366" spans="2:3">
      <c r="B366" s="6" t="str">
        <f>IF(A366="","",HYPERLINK("#الاصناف!E"&amp;MATCH(LEFT(A366,FIND("|",A366)-1),الاصناف!E:E,0),"✏️ " &amp; LEFT(A366,FIND("|",A366)-1)))</f>
        <v/>
      </c>
      <c r="C366" s="6" t="str">
        <f>IF(A366="","",HYPERLINK("#الاصناف!G"&amp;MATCH(LEFT(A366,FIND("|",A366)-1),الاصناف!E:E,0),"💰 " &amp; RIGHT(A366,LEN(A366)-FIND("|",A366)) &amp; " $"))</f>
        <v/>
      </c>
    </row>
    <row r="367" spans="2:3">
      <c r="B367" s="6" t="str">
        <f>IF(A367="","",HYPERLINK("#الاصناف!E"&amp;MATCH(LEFT(A367,FIND("|",A367)-1),الاصناف!E:E,0),"✏️ " &amp; LEFT(A367,FIND("|",A367)-1)))</f>
        <v/>
      </c>
      <c r="C367" s="6" t="str">
        <f>IF(A367="","",HYPERLINK("#الاصناف!G"&amp;MATCH(LEFT(A367,FIND("|",A367)-1),الاصناف!E:E,0),"💰 " &amp; RIGHT(A367,LEN(A367)-FIND("|",A367)) &amp; " $"))</f>
        <v/>
      </c>
    </row>
    <row r="368" spans="2:3">
      <c r="B368" s="6" t="str">
        <f>IF(A368="","",HYPERLINK("#الاصناف!E"&amp;MATCH(LEFT(A368,FIND("|",A368)-1),الاصناف!E:E,0),"✏️ " &amp; LEFT(A368,FIND("|",A368)-1)))</f>
        <v/>
      </c>
      <c r="C368" s="6" t="str">
        <f>IF(A368="","",HYPERLINK("#الاصناف!G"&amp;MATCH(LEFT(A368,FIND("|",A368)-1),الاصناف!E:E,0),"💰 " &amp; RIGHT(A368,LEN(A368)-FIND("|",A368)) &amp; " $"))</f>
        <v/>
      </c>
    </row>
    <row r="369" spans="2:3">
      <c r="B369" s="6" t="str">
        <f>IF(A369="","",HYPERLINK("#الاصناف!E"&amp;MATCH(LEFT(A369,FIND("|",A369)-1),الاصناف!E:E,0),"✏️ " &amp; LEFT(A369,FIND("|",A369)-1)))</f>
        <v/>
      </c>
      <c r="C369" s="6" t="str">
        <f>IF(A369="","",HYPERLINK("#الاصناف!G"&amp;MATCH(LEFT(A369,FIND("|",A369)-1),الاصناف!E:E,0),"💰 " &amp; RIGHT(A369,LEN(A369)-FIND("|",A369)) &amp; " $"))</f>
        <v/>
      </c>
    </row>
    <row r="370" spans="2:3">
      <c r="B370" s="6" t="str">
        <f>IF(A370="","",HYPERLINK("#الاصناف!E"&amp;MATCH(LEFT(A370,FIND("|",A370)-1),الاصناف!E:E,0),"✏️ " &amp; LEFT(A370,FIND("|",A370)-1)))</f>
        <v/>
      </c>
      <c r="C370" s="6" t="str">
        <f>IF(A370="","",HYPERLINK("#الاصناف!G"&amp;MATCH(LEFT(A370,FIND("|",A370)-1),الاصناف!E:E,0),"💰 " &amp; RIGHT(A370,LEN(A370)-FIND("|",A370)) &amp; " $"))</f>
        <v/>
      </c>
    </row>
    <row r="371" spans="2:3">
      <c r="B371" s="6" t="str">
        <f>IF(A371="","",HYPERLINK("#الاصناف!E"&amp;MATCH(LEFT(A371,FIND("|",A371)-1),الاصناف!E:E,0),"✏️ " &amp; LEFT(A371,FIND("|",A371)-1)))</f>
        <v/>
      </c>
      <c r="C371" s="6" t="str">
        <f>IF(A371="","",HYPERLINK("#الاصناف!G"&amp;MATCH(LEFT(A371,FIND("|",A371)-1),الاصناف!E:E,0),"💰 " &amp; RIGHT(A371,LEN(A371)-FIND("|",A371)) &amp; " $"))</f>
        <v/>
      </c>
    </row>
    <row r="372" spans="2:3">
      <c r="B372" s="6" t="str">
        <f>IF(A372="","",HYPERLINK("#الاصناف!E"&amp;MATCH(LEFT(A372,FIND("|",A372)-1),الاصناف!E:E,0),"✏️ " &amp; LEFT(A372,FIND("|",A372)-1)))</f>
        <v/>
      </c>
      <c r="C372" s="6" t="str">
        <f>IF(A372="","",HYPERLINK("#الاصناف!G"&amp;MATCH(LEFT(A372,FIND("|",A372)-1),الاصناف!E:E,0),"💰 " &amp; RIGHT(A372,LEN(A372)-FIND("|",A372)) &amp; " $"))</f>
        <v/>
      </c>
    </row>
    <row r="373" spans="2:3">
      <c r="B373" s="6" t="str">
        <f>IF(A373="","",HYPERLINK("#الاصناف!E"&amp;MATCH(LEFT(A373,FIND("|",A373)-1),الاصناف!E:E,0),"✏️ " &amp; LEFT(A373,FIND("|",A373)-1)))</f>
        <v/>
      </c>
      <c r="C373" s="6" t="str">
        <f>IF(A373="","",HYPERLINK("#الاصناف!G"&amp;MATCH(LEFT(A373,FIND("|",A373)-1),الاصناف!E:E,0),"💰 " &amp; RIGHT(A373,LEN(A373)-FIND("|",A373)) &amp; " $"))</f>
        <v/>
      </c>
    </row>
    <row r="374" spans="2:3">
      <c r="B374" s="6" t="str">
        <f>IF(A374="","",HYPERLINK("#الاصناف!E"&amp;MATCH(LEFT(A374,FIND("|",A374)-1),الاصناف!E:E,0),"✏️ " &amp; LEFT(A374,FIND("|",A374)-1)))</f>
        <v/>
      </c>
      <c r="C374" s="6" t="str">
        <f>IF(A374="","",HYPERLINK("#الاصناف!G"&amp;MATCH(LEFT(A374,FIND("|",A374)-1),الاصناف!E:E,0),"💰 " &amp; RIGHT(A374,LEN(A374)-FIND("|",A374)) &amp; " $"))</f>
        <v/>
      </c>
    </row>
    <row r="375" spans="2:3">
      <c r="B375" s="6" t="str">
        <f>IF(A375="","",HYPERLINK("#الاصناف!E"&amp;MATCH(LEFT(A375,FIND("|",A375)-1),الاصناف!E:E,0),"✏️ " &amp; LEFT(A375,FIND("|",A375)-1)))</f>
        <v/>
      </c>
      <c r="C375" s="6" t="str">
        <f>IF(A375="","",HYPERLINK("#الاصناف!G"&amp;MATCH(LEFT(A375,FIND("|",A375)-1),الاصناف!E:E,0),"💰 " &amp; RIGHT(A375,LEN(A375)-FIND("|",A375)) &amp; " $"))</f>
        <v/>
      </c>
    </row>
    <row r="376" spans="2:3">
      <c r="B376" s="6" t="str">
        <f>IF(A376="","",HYPERLINK("#الاصناف!E"&amp;MATCH(LEFT(A376,FIND("|",A376)-1),الاصناف!E:E,0),"✏️ " &amp; LEFT(A376,FIND("|",A376)-1)))</f>
        <v/>
      </c>
      <c r="C376" s="6" t="str">
        <f>IF(A376="","",HYPERLINK("#الاصناف!G"&amp;MATCH(LEFT(A376,FIND("|",A376)-1),الاصناف!E:E,0),"💰 " &amp; RIGHT(A376,LEN(A376)-FIND("|",A376)) &amp; " $"))</f>
        <v/>
      </c>
    </row>
    <row r="377" spans="2:3">
      <c r="B377" s="6" t="str">
        <f>IF(A377="","",HYPERLINK("#الاصناف!E"&amp;MATCH(LEFT(A377,FIND("|",A377)-1),الاصناف!E:E,0),"✏️ " &amp; LEFT(A377,FIND("|",A377)-1)))</f>
        <v/>
      </c>
      <c r="C377" s="6" t="str">
        <f>IF(A377="","",HYPERLINK("#الاصناف!G"&amp;MATCH(LEFT(A377,FIND("|",A377)-1),الاصناف!E:E,0),"💰 " &amp; RIGHT(A377,LEN(A377)-FIND("|",A377)) &amp; " $"))</f>
        <v/>
      </c>
    </row>
    <row r="378" spans="2:3">
      <c r="B378" s="6" t="str">
        <f>IF(A378="","",HYPERLINK("#الاصناف!E"&amp;MATCH(LEFT(A378,FIND("|",A378)-1),الاصناف!E:E,0),"✏️ " &amp; LEFT(A378,FIND("|",A378)-1)))</f>
        <v/>
      </c>
      <c r="C378" s="6" t="str">
        <f>IF(A378="","",HYPERLINK("#الاصناف!G"&amp;MATCH(LEFT(A378,FIND("|",A378)-1),الاصناف!E:E,0),"💰 " &amp; RIGHT(A378,LEN(A378)-FIND("|",A378)) &amp; " $"))</f>
        <v/>
      </c>
    </row>
    <row r="379" spans="2:3">
      <c r="B379" s="6" t="str">
        <f>IF(A379="","",HYPERLINK("#الاصناف!E"&amp;MATCH(LEFT(A379,FIND("|",A379)-1),الاصناف!E:E,0),"✏️ " &amp; LEFT(A379,FIND("|",A379)-1)))</f>
        <v/>
      </c>
      <c r="C379" s="6" t="str">
        <f>IF(A379="","",HYPERLINK("#الاصناف!G"&amp;MATCH(LEFT(A379,FIND("|",A379)-1),الاصناف!E:E,0),"💰 " &amp; RIGHT(A379,LEN(A379)-FIND("|",A379)) &amp; " $"))</f>
        <v/>
      </c>
    </row>
    <row r="380" spans="2:3">
      <c r="B380" s="6" t="str">
        <f>IF(A380="","",HYPERLINK("#الاصناف!E"&amp;MATCH(LEFT(A380,FIND("|",A380)-1),الاصناف!E:E,0),"✏️ " &amp; LEFT(A380,FIND("|",A380)-1)))</f>
        <v/>
      </c>
      <c r="C380" s="6" t="str">
        <f>IF(A380="","",HYPERLINK("#الاصناف!G"&amp;MATCH(LEFT(A380,FIND("|",A380)-1),الاصناف!E:E,0),"💰 " &amp; RIGHT(A380,LEN(A380)-FIND("|",A380)) &amp; " $"))</f>
        <v/>
      </c>
    </row>
    <row r="381" spans="2:3">
      <c r="B381" s="6" t="str">
        <f>IF(A381="","",HYPERLINK("#الاصناف!E"&amp;MATCH(LEFT(A381,FIND("|",A381)-1),الاصناف!E:E,0),"✏️ " &amp; LEFT(A381,FIND("|",A381)-1)))</f>
        <v/>
      </c>
      <c r="C381" s="6" t="str">
        <f>IF(A381="","",HYPERLINK("#الاصناف!G"&amp;MATCH(LEFT(A381,FIND("|",A381)-1),الاصناف!E:E,0),"💰 " &amp; RIGHT(A381,LEN(A381)-FIND("|",A381)) &amp; " $"))</f>
        <v/>
      </c>
    </row>
    <row r="382" spans="2:3">
      <c r="B382" s="6" t="str">
        <f>IF(A382="","",HYPERLINK("#الاصناف!E"&amp;MATCH(LEFT(A382,FIND("|",A382)-1),الاصناف!E:E,0),"✏️ " &amp; LEFT(A382,FIND("|",A382)-1)))</f>
        <v/>
      </c>
      <c r="C382" s="6" t="str">
        <f>IF(A382="","",HYPERLINK("#الاصناف!G"&amp;MATCH(LEFT(A382,FIND("|",A382)-1),الاصناف!E:E,0),"💰 " &amp; RIGHT(A382,LEN(A382)-FIND("|",A382)) &amp; " $"))</f>
        <v/>
      </c>
    </row>
    <row r="383" spans="2:3">
      <c r="B383" s="6" t="str">
        <f>IF(A383="","",HYPERLINK("#الاصناف!E"&amp;MATCH(LEFT(A383,FIND("|",A383)-1),الاصناف!E:E,0),"✏️ " &amp; LEFT(A383,FIND("|",A383)-1)))</f>
        <v/>
      </c>
      <c r="C383" s="6" t="str">
        <f>IF(A383="","",HYPERLINK("#الاصناف!G"&amp;MATCH(LEFT(A383,FIND("|",A383)-1),الاصناف!E:E,0),"💰 " &amp; RIGHT(A383,LEN(A383)-FIND("|",A383)) &amp; " $"))</f>
        <v/>
      </c>
    </row>
    <row r="384" spans="2:3">
      <c r="B384" s="6" t="str">
        <f>IF(A384="","",HYPERLINK("#الاصناف!E"&amp;MATCH(LEFT(A384,FIND("|",A384)-1),الاصناف!E:E,0),"✏️ " &amp; LEFT(A384,FIND("|",A384)-1)))</f>
        <v/>
      </c>
      <c r="C384" s="6" t="str">
        <f>IF(A384="","",HYPERLINK("#الاصناف!G"&amp;MATCH(LEFT(A384,FIND("|",A384)-1),الاصناف!E:E,0),"💰 " &amp; RIGHT(A384,LEN(A384)-FIND("|",A384)) &amp; " $"))</f>
        <v/>
      </c>
    </row>
    <row r="385" spans="2:3">
      <c r="B385" s="6" t="str">
        <f>IF(A385="","",HYPERLINK("#الاصناف!E"&amp;MATCH(LEFT(A385,FIND("|",A385)-1),الاصناف!E:E,0),"✏️ " &amp; LEFT(A385,FIND("|",A385)-1)))</f>
        <v/>
      </c>
      <c r="C385" s="6" t="str">
        <f>IF(A385="","",HYPERLINK("#الاصناف!G"&amp;MATCH(LEFT(A385,FIND("|",A385)-1),الاصناف!E:E,0),"💰 " &amp; RIGHT(A385,LEN(A385)-FIND("|",A385)) &amp; " $"))</f>
        <v/>
      </c>
    </row>
    <row r="386" spans="2:3">
      <c r="B386" s="6" t="str">
        <f>IF(A386="","",HYPERLINK("#الاصناف!E"&amp;MATCH(LEFT(A386,FIND("|",A386)-1),الاصناف!E:E,0),"✏️ " &amp; LEFT(A386,FIND("|",A386)-1)))</f>
        <v/>
      </c>
      <c r="C386" s="6" t="str">
        <f>IF(A386="","",HYPERLINK("#الاصناف!G"&amp;MATCH(LEFT(A386,FIND("|",A386)-1),الاصناف!E:E,0),"💰 " &amp; RIGHT(A386,LEN(A386)-FIND("|",A386)) &amp; " $"))</f>
        <v/>
      </c>
    </row>
    <row r="387" spans="2:3">
      <c r="B387" s="6" t="str">
        <f>IF(A387="","",HYPERLINK("#الاصناف!E"&amp;MATCH(LEFT(A387,FIND("|",A387)-1),الاصناف!E:E,0),"✏️ " &amp; LEFT(A387,FIND("|",A387)-1)))</f>
        <v/>
      </c>
      <c r="C387" s="6" t="str">
        <f>IF(A387="","",HYPERLINK("#الاصناف!G"&amp;MATCH(LEFT(A387,FIND("|",A387)-1),الاصناف!E:E,0),"💰 " &amp; RIGHT(A387,LEN(A387)-FIND("|",A387)) &amp; " $"))</f>
        <v/>
      </c>
    </row>
    <row r="388" spans="2:3">
      <c r="B388" s="6" t="str">
        <f>IF(A388="","",HYPERLINK("#الاصناف!E"&amp;MATCH(LEFT(A388,FIND("|",A388)-1),الاصناف!E:E,0),"✏️ " &amp; LEFT(A388,FIND("|",A388)-1)))</f>
        <v/>
      </c>
      <c r="C388" s="6" t="str">
        <f>IF(A388="","",HYPERLINK("#الاصناف!G"&amp;MATCH(LEFT(A388,FIND("|",A388)-1),الاصناف!E:E,0),"💰 " &amp; RIGHT(A388,LEN(A388)-FIND("|",A388)) &amp; " $"))</f>
        <v/>
      </c>
    </row>
    <row r="389" spans="2:3">
      <c r="B389" s="6" t="str">
        <f>IF(A389="","",HYPERLINK("#الاصناف!E"&amp;MATCH(LEFT(A389,FIND("|",A389)-1),الاصناف!E:E,0),"✏️ " &amp; LEFT(A389,FIND("|",A389)-1)))</f>
        <v/>
      </c>
      <c r="C389" s="6" t="str">
        <f>IF(A389="","",HYPERLINK("#الاصناف!G"&amp;MATCH(LEFT(A389,FIND("|",A389)-1),الاصناف!E:E,0),"💰 " &amp; RIGHT(A389,LEN(A389)-FIND("|",A389)) &amp; " $"))</f>
        <v/>
      </c>
    </row>
    <row r="390" spans="2:3">
      <c r="B390" s="6" t="str">
        <f>IF(A390="","",HYPERLINK("#الاصناف!E"&amp;MATCH(LEFT(A390,FIND("|",A390)-1),الاصناف!E:E,0),"✏️ " &amp; LEFT(A390,FIND("|",A390)-1)))</f>
        <v/>
      </c>
      <c r="C390" s="6" t="str">
        <f>IF(A390="","",HYPERLINK("#الاصناف!G"&amp;MATCH(LEFT(A390,FIND("|",A390)-1),الاصناف!E:E,0),"💰 " &amp; RIGHT(A390,LEN(A390)-FIND("|",A390)) &amp; " $"))</f>
        <v/>
      </c>
    </row>
    <row r="391" spans="2:3">
      <c r="B391" s="6" t="str">
        <f>IF(A391="","",HYPERLINK("#الاصناف!E"&amp;MATCH(LEFT(A391,FIND("|",A391)-1),الاصناف!E:E,0),"✏️ " &amp; LEFT(A391,FIND("|",A391)-1)))</f>
        <v/>
      </c>
      <c r="C391" s="6" t="str">
        <f>IF(A391="","",HYPERLINK("#الاصناف!G"&amp;MATCH(LEFT(A391,FIND("|",A391)-1),الاصناف!E:E,0),"💰 " &amp; RIGHT(A391,LEN(A391)-FIND("|",A391)) &amp; " $"))</f>
        <v/>
      </c>
    </row>
    <row r="392" spans="2:3">
      <c r="B392" s="6" t="str">
        <f>IF(A392="","",HYPERLINK("#الاصناف!E"&amp;MATCH(LEFT(A392,FIND("|",A392)-1),الاصناف!E:E,0),"✏️ " &amp; LEFT(A392,FIND("|",A392)-1)))</f>
        <v/>
      </c>
      <c r="C392" s="6" t="str">
        <f>IF(A392="","",HYPERLINK("#الاصناف!G"&amp;MATCH(LEFT(A392,FIND("|",A392)-1),الاصناف!E:E,0),"💰 " &amp; RIGHT(A392,LEN(A392)-FIND("|",A392)) &amp; " $"))</f>
        <v/>
      </c>
    </row>
    <row r="393" spans="2:3">
      <c r="B393" s="6" t="str">
        <f>IF(A393="","",HYPERLINK("#الاصناف!E"&amp;MATCH(LEFT(A393,FIND("|",A393)-1),الاصناف!E:E,0),"✏️ " &amp; LEFT(A393,FIND("|",A393)-1)))</f>
        <v/>
      </c>
      <c r="C393" s="6" t="str">
        <f>IF(A393="","",HYPERLINK("#الاصناف!G"&amp;MATCH(LEFT(A393,FIND("|",A393)-1),الاصناف!E:E,0),"💰 " &amp; RIGHT(A393,LEN(A393)-FIND("|",A393)) &amp; " $"))</f>
        <v/>
      </c>
    </row>
    <row r="394" spans="2:3">
      <c r="B394" s="6" t="str">
        <f>IF(A394="","",HYPERLINK("#الاصناف!E"&amp;MATCH(LEFT(A394,FIND("|",A394)-1),الاصناف!E:E,0),"✏️ " &amp; LEFT(A394,FIND("|",A394)-1)))</f>
        <v/>
      </c>
      <c r="C394" s="6" t="str">
        <f>IF(A394="","",HYPERLINK("#الاصناف!G"&amp;MATCH(LEFT(A394,FIND("|",A394)-1),الاصناف!E:E,0),"💰 " &amp; RIGHT(A394,LEN(A394)-FIND("|",A394)) &amp; " $"))</f>
        <v/>
      </c>
    </row>
    <row r="395" spans="2:3">
      <c r="B395" s="6" t="str">
        <f>IF(A395="","",HYPERLINK("#الاصناف!E"&amp;MATCH(LEFT(A395,FIND("|",A395)-1),الاصناف!E:E,0),"✏️ " &amp; LEFT(A395,FIND("|",A395)-1)))</f>
        <v/>
      </c>
      <c r="C395" s="6" t="str">
        <f>IF(A395="","",HYPERLINK("#الاصناف!G"&amp;MATCH(LEFT(A395,FIND("|",A395)-1),الاصناف!E:E,0),"💰 " &amp; RIGHT(A395,LEN(A395)-FIND("|",A395)) &amp; " $"))</f>
        <v/>
      </c>
    </row>
    <row r="396" spans="2:3">
      <c r="B396" s="6" t="str">
        <f>IF(A396="","",HYPERLINK("#الاصناف!E"&amp;MATCH(LEFT(A396,FIND("|",A396)-1),الاصناف!E:E,0),"✏️ " &amp; LEFT(A396,FIND("|",A396)-1)))</f>
        <v/>
      </c>
      <c r="C396" s="6" t="str">
        <f>IF(A396="","",HYPERLINK("#الاصناف!G"&amp;MATCH(LEFT(A396,FIND("|",A396)-1),الاصناف!E:E,0),"💰 " &amp; RIGHT(A396,LEN(A396)-FIND("|",A396)) &amp; " $"))</f>
        <v/>
      </c>
    </row>
    <row r="397" spans="2:3">
      <c r="B397" s="6" t="str">
        <f>IF(A397="","",HYPERLINK("#الاصناف!E"&amp;MATCH(LEFT(A397,FIND("|",A397)-1),الاصناف!E:E,0),"✏️ " &amp; LEFT(A397,FIND("|",A397)-1)))</f>
        <v/>
      </c>
      <c r="C397" s="6" t="str">
        <f>IF(A397="","",HYPERLINK("#الاصناف!G"&amp;MATCH(LEFT(A397,FIND("|",A397)-1),الاصناف!E:E,0),"💰 " &amp; RIGHT(A397,LEN(A397)-FIND("|",A397)) &amp; " $"))</f>
        <v/>
      </c>
    </row>
    <row r="398" spans="2:3">
      <c r="B398" s="6" t="str">
        <f>IF(A398="","",HYPERLINK("#الاصناف!E"&amp;MATCH(LEFT(A398,FIND("|",A398)-1),الاصناف!E:E,0),"✏️ " &amp; LEFT(A398,FIND("|",A398)-1)))</f>
        <v/>
      </c>
      <c r="C398" s="6" t="str">
        <f>IF(A398="","",HYPERLINK("#الاصناف!G"&amp;MATCH(LEFT(A398,FIND("|",A398)-1),الاصناف!E:E,0),"💰 " &amp; RIGHT(A398,LEN(A398)-FIND("|",A398)) &amp; " $"))</f>
        <v/>
      </c>
    </row>
    <row r="399" spans="2:3">
      <c r="B399" s="6" t="str">
        <f>IF(A399="","",HYPERLINK("#الاصناف!E"&amp;MATCH(LEFT(A399,FIND("|",A399)-1),الاصناف!E:E,0),"✏️ " &amp; LEFT(A399,FIND("|",A399)-1)))</f>
        <v/>
      </c>
      <c r="C399" s="6" t="str">
        <f>IF(A399="","",HYPERLINK("#الاصناف!G"&amp;MATCH(LEFT(A399,FIND("|",A399)-1),الاصناف!E:E,0),"💰 " &amp; RIGHT(A399,LEN(A399)-FIND("|",A399)) &amp; " $"))</f>
        <v/>
      </c>
    </row>
    <row r="400" spans="2:3">
      <c r="B400" s="6" t="str">
        <f>IF(A400="","",HYPERLINK("#الاصناف!E"&amp;MATCH(LEFT(A400,FIND("|",A400)-1),الاصناف!E:E,0),"✏️ " &amp; LEFT(A400,FIND("|",A400)-1)))</f>
        <v/>
      </c>
      <c r="C400" s="6" t="str">
        <f>IF(A400="","",HYPERLINK("#الاصناف!G"&amp;MATCH(LEFT(A400,FIND("|",A400)-1),الاصناف!E:E,0),"💰 " &amp; RIGHT(A400,LEN(A400)-FIND("|",A400)) &amp; " $"))</f>
        <v/>
      </c>
    </row>
    <row r="401" spans="2:3">
      <c r="B401" s="6" t="str">
        <f>IF(A401="","",HYPERLINK("#الاصناف!E"&amp;MATCH(LEFT(A401,FIND("|",A401)-1),الاصناف!E:E,0),"✏️ " &amp; LEFT(A401,FIND("|",A401)-1)))</f>
        <v/>
      </c>
      <c r="C401" s="6" t="str">
        <f>IF(A401="","",HYPERLINK("#الاصناف!G"&amp;MATCH(LEFT(A401,FIND("|",A401)-1),الاصناف!E:E,0),"💰 " &amp; RIGHT(A401,LEN(A401)-FIND("|",A401)) &amp; " $"))</f>
        <v/>
      </c>
    </row>
    <row r="402" spans="2:3">
      <c r="B402" s="6" t="str">
        <f>IF(A402="","",HYPERLINK("#الاصناف!E"&amp;MATCH(LEFT(A402,FIND("|",A402)-1),الاصناف!E:E,0),"✏️ " &amp; LEFT(A402,FIND("|",A402)-1)))</f>
        <v/>
      </c>
      <c r="C402" s="6" t="str">
        <f>IF(A402="","",HYPERLINK("#الاصناف!G"&amp;MATCH(LEFT(A402,FIND("|",A402)-1),الاصناف!E:E,0),"💰 " &amp; RIGHT(A402,LEN(A402)-FIND("|",A402)) &amp; " $"))</f>
        <v/>
      </c>
    </row>
    <row r="403" spans="2:3">
      <c r="B403" s="6" t="str">
        <f>IF(A403="","",HYPERLINK("#الاصناف!E"&amp;MATCH(LEFT(A403,FIND("|",A403)-1),الاصناف!E:E,0),"✏️ " &amp; LEFT(A403,FIND("|",A403)-1)))</f>
        <v/>
      </c>
      <c r="C403" s="6" t="str">
        <f>IF(A403="","",HYPERLINK("#الاصناف!G"&amp;MATCH(LEFT(A403,FIND("|",A403)-1),الاصناف!E:E,0),"💰 " &amp; RIGHT(A403,LEN(A403)-FIND("|",A403)) &amp; " $"))</f>
        <v/>
      </c>
    </row>
    <row r="404" spans="2:3">
      <c r="B404" s="6" t="str">
        <f>IF(A404="","",HYPERLINK("#الاصناف!E"&amp;MATCH(LEFT(A404,FIND("|",A404)-1),الاصناف!E:E,0),"✏️ " &amp; LEFT(A404,FIND("|",A404)-1)))</f>
        <v/>
      </c>
      <c r="C404" s="6" t="str">
        <f>IF(A404="","",HYPERLINK("#الاصناف!G"&amp;MATCH(LEFT(A404,FIND("|",A404)-1),الاصناف!E:E,0),"💰 " &amp; RIGHT(A404,LEN(A404)-FIND("|",A404)) &amp; " $"))</f>
        <v/>
      </c>
    </row>
    <row r="405" spans="2:3">
      <c r="B405" s="6" t="str">
        <f>IF(A405="","",HYPERLINK("#الاصناف!E"&amp;MATCH(LEFT(A405,FIND("|",A405)-1),الاصناف!E:E,0),"✏️ " &amp; LEFT(A405,FIND("|",A405)-1)))</f>
        <v/>
      </c>
      <c r="C405" s="6" t="str">
        <f>IF(A405="","",HYPERLINK("#الاصناف!G"&amp;MATCH(LEFT(A405,FIND("|",A405)-1),الاصناف!E:E,0),"💰 " &amp; RIGHT(A405,LEN(A405)-FIND("|",A405)) &amp; " $"))</f>
        <v/>
      </c>
    </row>
    <row r="406" spans="2:3">
      <c r="B406" s="6" t="str">
        <f>IF(A406="","",HYPERLINK("#الاصناف!E"&amp;MATCH(LEFT(A406,FIND("|",A406)-1),الاصناف!E:E,0),"✏️ " &amp; LEFT(A406,FIND("|",A406)-1)))</f>
        <v/>
      </c>
      <c r="C406" s="6" t="str">
        <f>IF(A406="","",HYPERLINK("#الاصناف!G"&amp;MATCH(LEFT(A406,FIND("|",A406)-1),الاصناف!E:E,0),"💰 " &amp; RIGHT(A406,LEN(A406)-FIND("|",A406)) &amp; " $"))</f>
        <v/>
      </c>
    </row>
    <row r="407" spans="2:3">
      <c r="B407" s="6" t="str">
        <f>IF(A407="","",HYPERLINK("#الاصناف!E"&amp;MATCH(LEFT(A407,FIND("|",A407)-1),الاصناف!E:E,0),"✏️ " &amp; LEFT(A407,FIND("|",A407)-1)))</f>
        <v/>
      </c>
      <c r="C407" s="6" t="str">
        <f>IF(A407="","",HYPERLINK("#الاصناف!G"&amp;MATCH(LEFT(A407,FIND("|",A407)-1),الاصناف!E:E,0),"💰 " &amp; RIGHT(A407,LEN(A407)-FIND("|",A407)) &amp; " $"))</f>
        <v/>
      </c>
    </row>
    <row r="408" spans="2:3">
      <c r="B408" s="6" t="str">
        <f>IF(A408="","",HYPERLINK("#الاصناف!E"&amp;MATCH(LEFT(A408,FIND("|",A408)-1),الاصناف!E:E,0),"✏️ " &amp; LEFT(A408,FIND("|",A408)-1)))</f>
        <v/>
      </c>
      <c r="C408" s="6" t="str">
        <f>IF(A408="","",HYPERLINK("#الاصناف!G"&amp;MATCH(LEFT(A408,FIND("|",A408)-1),الاصناف!E:E,0),"💰 " &amp; RIGHT(A408,LEN(A408)-FIND("|",A408)) &amp; " $"))</f>
        <v/>
      </c>
    </row>
    <row r="409" spans="2:3">
      <c r="B409" s="6" t="str">
        <f>IF(A409="","",HYPERLINK("#الاصناف!E"&amp;MATCH(LEFT(A409,FIND("|",A409)-1),الاصناف!E:E,0),"✏️ " &amp; LEFT(A409,FIND("|",A409)-1)))</f>
        <v/>
      </c>
      <c r="C409" s="6" t="str">
        <f>IF(A409="","",HYPERLINK("#الاصناف!G"&amp;MATCH(LEFT(A409,FIND("|",A409)-1),الاصناف!E:E,0),"💰 " &amp; RIGHT(A409,LEN(A409)-FIND("|",A409)) &amp; " $"))</f>
        <v/>
      </c>
    </row>
    <row r="410" spans="2:3">
      <c r="B410" s="6" t="str">
        <f>IF(A410="","",HYPERLINK("#الاصناف!E"&amp;MATCH(LEFT(A410,FIND("|",A410)-1),الاصناف!E:E,0),"✏️ " &amp; LEFT(A410,FIND("|",A410)-1)))</f>
        <v/>
      </c>
      <c r="C410" s="6" t="str">
        <f>IF(A410="","",HYPERLINK("#الاصناف!G"&amp;MATCH(LEFT(A410,FIND("|",A410)-1),الاصناف!E:E,0),"💰 " &amp; RIGHT(A410,LEN(A410)-FIND("|",A410)) &amp; " $"))</f>
        <v/>
      </c>
    </row>
    <row r="411" spans="2:3">
      <c r="B411" s="6" t="str">
        <f>IF(A411="","",HYPERLINK("#الاصناف!E"&amp;MATCH(LEFT(A411,FIND("|",A411)-1),الاصناف!E:E,0),"✏️ " &amp; LEFT(A411,FIND("|",A411)-1)))</f>
        <v/>
      </c>
      <c r="C411" s="6" t="str">
        <f>IF(A411="","",HYPERLINK("#الاصناف!G"&amp;MATCH(LEFT(A411,FIND("|",A411)-1),الاصناف!E:E,0),"💰 " &amp; RIGHT(A411,LEN(A411)-FIND("|",A411)) &amp; " $"))</f>
        <v/>
      </c>
    </row>
    <row r="412" spans="2:3">
      <c r="B412" s="6" t="str">
        <f>IF(A412="","",HYPERLINK("#الاصناف!E"&amp;MATCH(LEFT(A412,FIND("|",A412)-1),الاصناف!E:E,0),"✏️ " &amp; LEFT(A412,FIND("|",A412)-1)))</f>
        <v/>
      </c>
      <c r="C412" s="6" t="str">
        <f>IF(A412="","",HYPERLINK("#الاصناف!G"&amp;MATCH(LEFT(A412,FIND("|",A412)-1),الاصناف!E:E,0),"💰 " &amp; RIGHT(A412,LEN(A412)-FIND("|",A412)) &amp; " $"))</f>
        <v/>
      </c>
    </row>
    <row r="413" spans="2:3">
      <c r="B413" s="6" t="str">
        <f>IF(A413="","",HYPERLINK("#الاصناف!E"&amp;MATCH(LEFT(A413,FIND("|",A413)-1),الاصناف!E:E,0),"✏️ " &amp; LEFT(A413,FIND("|",A413)-1)))</f>
        <v/>
      </c>
      <c r="C413" s="6" t="str">
        <f>IF(A413="","",HYPERLINK("#الاصناف!G"&amp;MATCH(LEFT(A413,FIND("|",A413)-1),الاصناف!E:E,0),"💰 " &amp; RIGHT(A413,LEN(A413)-FIND("|",A413)) &amp; " $"))</f>
        <v/>
      </c>
    </row>
    <row r="414" spans="2:3">
      <c r="B414" s="6" t="str">
        <f>IF(A414="","",HYPERLINK("#الاصناف!E"&amp;MATCH(LEFT(A414,FIND("|",A414)-1),الاصناف!E:E,0),"✏️ " &amp; LEFT(A414,FIND("|",A414)-1)))</f>
        <v/>
      </c>
      <c r="C414" s="6" t="str">
        <f>IF(A414="","",HYPERLINK("#الاصناف!G"&amp;MATCH(LEFT(A414,FIND("|",A414)-1),الاصناف!E:E,0),"💰 " &amp; RIGHT(A414,LEN(A414)-FIND("|",A414)) &amp; " $"))</f>
        <v/>
      </c>
    </row>
    <row r="415" spans="2:3">
      <c r="B415" s="6" t="str">
        <f>IF(A415="","",HYPERLINK("#الاصناف!E"&amp;MATCH(LEFT(A415,FIND("|",A415)-1),الاصناف!E:E,0),"✏️ " &amp; LEFT(A415,FIND("|",A415)-1)))</f>
        <v/>
      </c>
      <c r="C415" s="6" t="str">
        <f>IF(A415="","",HYPERLINK("#الاصناف!G"&amp;MATCH(LEFT(A415,FIND("|",A415)-1),الاصناف!E:E,0),"💰 " &amp; RIGHT(A415,LEN(A415)-FIND("|",A415)) &amp; " $"))</f>
        <v/>
      </c>
    </row>
    <row r="416" spans="2:3">
      <c r="B416" s="6" t="str">
        <f>IF(A416="","",HYPERLINK("#الاصناف!E"&amp;MATCH(LEFT(A416,FIND("|",A416)-1),الاصناف!E:E,0),"✏️ " &amp; LEFT(A416,FIND("|",A416)-1)))</f>
        <v/>
      </c>
      <c r="C416" s="6" t="str">
        <f>IF(A416="","",HYPERLINK("#الاصناف!G"&amp;MATCH(LEFT(A416,FIND("|",A416)-1),الاصناف!E:E,0),"💰 " &amp; RIGHT(A416,LEN(A416)-FIND("|",A416)) &amp; " $"))</f>
        <v/>
      </c>
    </row>
    <row r="417" spans="2:3">
      <c r="B417" s="6" t="str">
        <f>IF(A417="","",HYPERLINK("#الاصناف!E"&amp;MATCH(LEFT(A417,FIND("|",A417)-1),الاصناف!E:E,0),"✏️ " &amp; LEFT(A417,FIND("|",A417)-1)))</f>
        <v/>
      </c>
      <c r="C417" s="6" t="str">
        <f>IF(A417="","",HYPERLINK("#الاصناف!G"&amp;MATCH(LEFT(A417,FIND("|",A417)-1),الاصناف!E:E,0),"💰 " &amp; RIGHT(A417,LEN(A417)-FIND("|",A417)) &amp; " $"))</f>
        <v/>
      </c>
    </row>
    <row r="418" spans="2:3">
      <c r="B418" s="6" t="str">
        <f>IF(A418="","",HYPERLINK("#الاصناف!E"&amp;MATCH(LEFT(A418,FIND("|",A418)-1),الاصناف!E:E,0),"✏️ " &amp; LEFT(A418,FIND("|",A418)-1)))</f>
        <v/>
      </c>
      <c r="C418" s="6" t="str">
        <f>IF(A418="","",HYPERLINK("#الاصناف!G"&amp;MATCH(LEFT(A418,FIND("|",A418)-1),الاصناف!E:E,0),"💰 " &amp; RIGHT(A418,LEN(A418)-FIND("|",A418)) &amp; " $"))</f>
        <v/>
      </c>
    </row>
    <row r="419" spans="2:3">
      <c r="B419" s="6" t="str">
        <f>IF(A419="","",HYPERLINK("#الاصناف!E"&amp;MATCH(LEFT(A419,FIND("|",A419)-1),الاصناف!E:E,0),"✏️ " &amp; LEFT(A419,FIND("|",A419)-1)))</f>
        <v/>
      </c>
      <c r="C419" s="6" t="str">
        <f>IF(A419="","",HYPERLINK("#الاصناف!G"&amp;MATCH(LEFT(A419,FIND("|",A419)-1),الاصناف!E:E,0),"💰 " &amp; RIGHT(A419,LEN(A419)-FIND("|",A419)) &amp; " $"))</f>
        <v/>
      </c>
    </row>
    <row r="420" spans="2:3">
      <c r="B420" s="6" t="str">
        <f>IF(A420="","",HYPERLINK("#الاصناف!E"&amp;MATCH(LEFT(A420,FIND("|",A420)-1),الاصناف!E:E,0),"✏️ " &amp; LEFT(A420,FIND("|",A420)-1)))</f>
        <v/>
      </c>
      <c r="C420" s="6" t="str">
        <f>IF(A420="","",HYPERLINK("#الاصناف!G"&amp;MATCH(LEFT(A420,FIND("|",A420)-1),الاصناف!E:E,0),"💰 " &amp; RIGHT(A420,LEN(A420)-FIND("|",A420)) &amp; " $"))</f>
        <v/>
      </c>
    </row>
    <row r="421" spans="2:3">
      <c r="B421" s="6" t="str">
        <f>IF(A421="","",HYPERLINK("#الاصناف!E"&amp;MATCH(LEFT(A421,FIND("|",A421)-1),الاصناف!E:E,0),"✏️ " &amp; LEFT(A421,FIND("|",A421)-1)))</f>
        <v/>
      </c>
      <c r="C421" s="6" t="str">
        <f>IF(A421="","",HYPERLINK("#الاصناف!G"&amp;MATCH(LEFT(A421,FIND("|",A421)-1),الاصناف!E:E,0),"💰 " &amp; RIGHT(A421,LEN(A421)-FIND("|",A421)) &amp; " $"))</f>
        <v/>
      </c>
    </row>
    <row r="422" spans="2:3">
      <c r="B422" s="6" t="str">
        <f>IF(A422="","",HYPERLINK("#الاصناف!E"&amp;MATCH(LEFT(A422,FIND("|",A422)-1),الاصناف!E:E,0),"✏️ " &amp; LEFT(A422,FIND("|",A422)-1)))</f>
        <v/>
      </c>
      <c r="C422" s="6" t="str">
        <f>IF(A422="","",HYPERLINK("#الاصناف!G"&amp;MATCH(LEFT(A422,FIND("|",A422)-1),الاصناف!E:E,0),"💰 " &amp; RIGHT(A422,LEN(A422)-FIND("|",A422)) &amp; " $"))</f>
        <v/>
      </c>
    </row>
    <row r="423" spans="2:3">
      <c r="B423" s="6" t="str">
        <f>IF(A423="","",HYPERLINK("#الاصناف!E"&amp;MATCH(LEFT(A423,FIND("|",A423)-1),الاصناف!E:E,0),"✏️ " &amp; LEFT(A423,FIND("|",A423)-1)))</f>
        <v/>
      </c>
      <c r="C423" s="6" t="str">
        <f>IF(A423="","",HYPERLINK("#الاصناف!G"&amp;MATCH(LEFT(A423,FIND("|",A423)-1),الاصناف!E:E,0),"💰 " &amp; RIGHT(A423,LEN(A423)-FIND("|",A423)) &amp; " $"))</f>
        <v/>
      </c>
    </row>
    <row r="424" spans="2:3">
      <c r="B424" s="6" t="str">
        <f>IF(A424="","",HYPERLINK("#الاصناف!E"&amp;MATCH(LEFT(A424,FIND("|",A424)-1),الاصناف!E:E,0),"✏️ " &amp; LEFT(A424,FIND("|",A424)-1)))</f>
        <v/>
      </c>
      <c r="C424" s="6" t="str">
        <f>IF(A424="","",HYPERLINK("#الاصناف!G"&amp;MATCH(LEFT(A424,FIND("|",A424)-1),الاصناف!E:E,0),"💰 " &amp; RIGHT(A424,LEN(A424)-FIND("|",A424)) &amp; " $"))</f>
        <v/>
      </c>
    </row>
    <row r="425" spans="2:3">
      <c r="B425" s="6" t="str">
        <f>IF(A425="","",HYPERLINK("#الاصناف!E"&amp;MATCH(LEFT(A425,FIND("|",A425)-1),الاصناف!E:E,0),"✏️ " &amp; LEFT(A425,FIND("|",A425)-1)))</f>
        <v/>
      </c>
      <c r="C425" s="6" t="str">
        <f>IF(A425="","",HYPERLINK("#الاصناف!G"&amp;MATCH(LEFT(A425,FIND("|",A425)-1),الاصناف!E:E,0),"💰 " &amp; RIGHT(A425,LEN(A425)-FIND("|",A425)) &amp; " $"))</f>
        <v/>
      </c>
    </row>
    <row r="426" spans="2:3">
      <c r="B426" s="6" t="str">
        <f>IF(A426="","",HYPERLINK("#الاصناف!E"&amp;MATCH(LEFT(A426,FIND("|",A426)-1),الاصناف!E:E,0),"✏️ " &amp; LEFT(A426,FIND("|",A426)-1)))</f>
        <v/>
      </c>
      <c r="C426" s="6" t="str">
        <f>IF(A426="","",HYPERLINK("#الاصناف!G"&amp;MATCH(LEFT(A426,FIND("|",A426)-1),الاصناف!E:E,0),"💰 " &amp; RIGHT(A426,LEN(A426)-FIND("|",A426)) &amp; " $"))</f>
        <v/>
      </c>
    </row>
    <row r="427" spans="2:3">
      <c r="B427" s="6" t="str">
        <f>IF(A427="","",HYPERLINK("#الاصناف!E"&amp;MATCH(LEFT(A427,FIND("|",A427)-1),الاصناف!E:E,0),"✏️ " &amp; LEFT(A427,FIND("|",A427)-1)))</f>
        <v/>
      </c>
      <c r="C427" s="6" t="str">
        <f>IF(A427="","",HYPERLINK("#الاصناف!G"&amp;MATCH(LEFT(A427,FIND("|",A427)-1),الاصناف!E:E,0),"💰 " &amp; RIGHT(A427,LEN(A427)-FIND("|",A427)) &amp; " $"))</f>
        <v/>
      </c>
    </row>
    <row r="428" spans="2:3">
      <c r="B428" s="6" t="str">
        <f>IF(A428="","",HYPERLINK("#الاصناف!E"&amp;MATCH(LEFT(A428,FIND("|",A428)-1),الاصناف!E:E,0),"✏️ " &amp; LEFT(A428,FIND("|",A428)-1)))</f>
        <v/>
      </c>
      <c r="C428" s="6" t="str">
        <f>IF(A428="","",HYPERLINK("#الاصناف!G"&amp;MATCH(LEFT(A428,FIND("|",A428)-1),الاصناف!E:E,0),"💰 " &amp; RIGHT(A428,LEN(A428)-FIND("|",A428)) &amp; " $"))</f>
        <v/>
      </c>
    </row>
    <row r="429" spans="2:3">
      <c r="B429" s="6" t="str">
        <f>IF(A429="","",HYPERLINK("#الاصناف!E"&amp;MATCH(LEFT(A429,FIND("|",A429)-1),الاصناف!E:E,0),"✏️ " &amp; LEFT(A429,FIND("|",A429)-1)))</f>
        <v/>
      </c>
      <c r="C429" s="6" t="str">
        <f>IF(A429="","",HYPERLINK("#الاصناف!G"&amp;MATCH(LEFT(A429,FIND("|",A429)-1),الاصناف!E:E,0),"💰 " &amp; RIGHT(A429,LEN(A429)-FIND("|",A429)) &amp; " $"))</f>
        <v/>
      </c>
    </row>
    <row r="430" spans="2:3">
      <c r="B430" s="6" t="str">
        <f>IF(A430="","",HYPERLINK("#الاصناف!E"&amp;MATCH(LEFT(A430,FIND("|",A430)-1),الاصناف!E:E,0),"✏️ " &amp; LEFT(A430,FIND("|",A430)-1)))</f>
        <v/>
      </c>
      <c r="C430" s="6" t="str">
        <f>IF(A430="","",HYPERLINK("#الاصناف!G"&amp;MATCH(LEFT(A430,FIND("|",A430)-1),الاصناف!E:E,0),"💰 " &amp; RIGHT(A430,LEN(A430)-FIND("|",A430)) &amp; " $"))</f>
        <v/>
      </c>
    </row>
    <row r="431" spans="2:3">
      <c r="B431" s="6" t="str">
        <f>IF(A431="","",HYPERLINK("#الاصناف!E"&amp;MATCH(LEFT(A431,FIND("|",A431)-1),الاصناف!E:E,0),"✏️ " &amp; LEFT(A431,FIND("|",A431)-1)))</f>
        <v/>
      </c>
      <c r="C431" s="6" t="str">
        <f>IF(A431="","",HYPERLINK("#الاصناف!G"&amp;MATCH(LEFT(A431,FIND("|",A431)-1),الاصناف!E:E,0),"💰 " &amp; RIGHT(A431,LEN(A431)-FIND("|",A431)) &amp; " $"))</f>
        <v/>
      </c>
    </row>
    <row r="432" spans="2:3">
      <c r="B432" s="6" t="str">
        <f>IF(A432="","",HYPERLINK("#الاصناف!E"&amp;MATCH(LEFT(A432,FIND("|",A432)-1),الاصناف!E:E,0),"✏️ " &amp; LEFT(A432,FIND("|",A432)-1)))</f>
        <v/>
      </c>
      <c r="C432" s="6" t="str">
        <f>IF(A432="","",HYPERLINK("#الاصناف!G"&amp;MATCH(LEFT(A432,FIND("|",A432)-1),الاصناف!E:E,0),"💰 " &amp; RIGHT(A432,LEN(A432)-FIND("|",A432)) &amp; " $"))</f>
        <v/>
      </c>
    </row>
    <row r="433" spans="2:3">
      <c r="B433" s="6" t="str">
        <f>IF(A433="","",HYPERLINK("#الاصناف!E"&amp;MATCH(LEFT(A433,FIND("|",A433)-1),الاصناف!E:E,0),"✏️ " &amp; LEFT(A433,FIND("|",A433)-1)))</f>
        <v/>
      </c>
      <c r="C433" s="6" t="str">
        <f>IF(A433="","",HYPERLINK("#الاصناف!G"&amp;MATCH(LEFT(A433,FIND("|",A433)-1),الاصناف!E:E,0),"💰 " &amp; RIGHT(A433,LEN(A433)-FIND("|",A433)) &amp; " $"))</f>
        <v/>
      </c>
    </row>
    <row r="434" spans="2:3">
      <c r="B434" s="6" t="str">
        <f>IF(A434="","",HYPERLINK("#الاصناف!E"&amp;MATCH(LEFT(A434,FIND("|",A434)-1),الاصناف!E:E,0),"✏️ " &amp; LEFT(A434,FIND("|",A434)-1)))</f>
        <v/>
      </c>
      <c r="C434" s="6" t="str">
        <f>IF(A434="","",HYPERLINK("#الاصناف!G"&amp;MATCH(LEFT(A434,FIND("|",A434)-1),الاصناف!E:E,0),"💰 " &amp; RIGHT(A434,LEN(A434)-FIND("|",A434)) &amp; " $"))</f>
        <v/>
      </c>
    </row>
    <row r="435" spans="2:3">
      <c r="B435" s="6" t="str">
        <f>IF(A435="","",HYPERLINK("#الاصناف!E"&amp;MATCH(LEFT(A435,FIND("|",A435)-1),الاصناف!E:E,0),"✏️ " &amp; LEFT(A435,FIND("|",A435)-1)))</f>
        <v/>
      </c>
      <c r="C435" s="6" t="str">
        <f>IF(A435="","",HYPERLINK("#الاصناف!G"&amp;MATCH(LEFT(A435,FIND("|",A435)-1),الاصناف!E:E,0),"💰 " &amp; RIGHT(A435,LEN(A435)-FIND("|",A435)) &amp; " $"))</f>
        <v/>
      </c>
    </row>
    <row r="436" spans="2:3">
      <c r="B436" s="6" t="str">
        <f>IF(A436="","",HYPERLINK("#الاصناف!E"&amp;MATCH(LEFT(A436,FIND("|",A436)-1),الاصناف!E:E,0),"✏️ " &amp; LEFT(A436,FIND("|",A436)-1)))</f>
        <v/>
      </c>
      <c r="C436" s="6" t="str">
        <f>IF(A436="","",HYPERLINK("#الاصناف!G"&amp;MATCH(LEFT(A436,FIND("|",A436)-1),الاصناف!E:E,0),"💰 " &amp; RIGHT(A436,LEN(A436)-FIND("|",A436)) &amp; " $"))</f>
        <v/>
      </c>
    </row>
    <row r="437" spans="2:3">
      <c r="B437" s="6" t="str">
        <f>IF(A437="","",HYPERLINK("#الاصناف!E"&amp;MATCH(LEFT(A437,FIND("|",A437)-1),الاصناف!E:E,0),"✏️ " &amp; LEFT(A437,FIND("|",A437)-1)))</f>
        <v/>
      </c>
      <c r="C437" s="6" t="str">
        <f>IF(A437="","",HYPERLINK("#الاصناف!G"&amp;MATCH(LEFT(A437,FIND("|",A437)-1),الاصناف!E:E,0),"💰 " &amp; RIGHT(A437,LEN(A437)-FIND("|",A437)) &amp; " $"))</f>
        <v/>
      </c>
    </row>
    <row r="438" spans="2:3">
      <c r="B438" s="6" t="str">
        <f>IF(A438="","",HYPERLINK("#الاصناف!E"&amp;MATCH(LEFT(A438,FIND("|",A438)-1),الاصناف!E:E,0),"✏️ " &amp; LEFT(A438,FIND("|",A438)-1)))</f>
        <v/>
      </c>
      <c r="C438" s="6" t="str">
        <f>IF(A438="","",HYPERLINK("#الاصناف!G"&amp;MATCH(LEFT(A438,FIND("|",A438)-1),الاصناف!E:E,0),"💰 " &amp; RIGHT(A438,LEN(A438)-FIND("|",A438)) &amp; " $"))</f>
        <v/>
      </c>
    </row>
    <row r="439" spans="2:3">
      <c r="B439" s="6" t="str">
        <f>IF(A439="","",HYPERLINK("#الاصناف!E"&amp;MATCH(LEFT(A439,FIND("|",A439)-1),الاصناف!E:E,0),"✏️ " &amp; LEFT(A439,FIND("|",A439)-1)))</f>
        <v/>
      </c>
      <c r="C439" s="6" t="str">
        <f>IF(A439="","",HYPERLINK("#الاصناف!G"&amp;MATCH(LEFT(A439,FIND("|",A439)-1),الاصناف!E:E,0),"💰 " &amp; RIGHT(A439,LEN(A439)-FIND("|",A439)) &amp; " $"))</f>
        <v/>
      </c>
    </row>
    <row r="440" spans="2:3">
      <c r="B440" s="6" t="str">
        <f>IF(A440="","",HYPERLINK("#الاصناف!E"&amp;MATCH(LEFT(A440,FIND("|",A440)-1),الاصناف!E:E,0),"✏️ " &amp; LEFT(A440,FIND("|",A440)-1)))</f>
        <v/>
      </c>
      <c r="C440" s="6" t="str">
        <f>IF(A440="","",HYPERLINK("#الاصناف!G"&amp;MATCH(LEFT(A440,FIND("|",A440)-1),الاصناف!E:E,0),"💰 " &amp; RIGHT(A440,LEN(A440)-FIND("|",A440)) &amp; " $"))</f>
        <v/>
      </c>
    </row>
    <row r="441" spans="2:3">
      <c r="B441" s="6" t="str">
        <f>IF(A441="","",HYPERLINK("#الاصناف!E"&amp;MATCH(LEFT(A441,FIND("|",A441)-1),الاصناف!E:E,0),"✏️ " &amp; LEFT(A441,FIND("|",A441)-1)))</f>
        <v/>
      </c>
      <c r="C441" s="6" t="str">
        <f>IF(A441="","",HYPERLINK("#الاصناف!G"&amp;MATCH(LEFT(A441,FIND("|",A441)-1),الاصناف!E:E,0),"💰 " &amp; RIGHT(A441,LEN(A441)-FIND("|",A441)) &amp; " $"))</f>
        <v/>
      </c>
    </row>
    <row r="442" spans="2:3">
      <c r="B442" s="6" t="str">
        <f>IF(A442="","",HYPERLINK("#الاصناف!E"&amp;MATCH(LEFT(A442,FIND("|",A442)-1),الاصناف!E:E,0),"✏️ " &amp; LEFT(A442,FIND("|",A442)-1)))</f>
        <v/>
      </c>
      <c r="C442" s="6" t="str">
        <f>IF(A442="","",HYPERLINK("#الاصناف!G"&amp;MATCH(LEFT(A442,FIND("|",A442)-1),الاصناف!E:E,0),"💰 " &amp; RIGHT(A442,LEN(A442)-FIND("|",A442)) &amp; " $"))</f>
        <v/>
      </c>
    </row>
    <row r="443" spans="2:3">
      <c r="B443" s="6" t="str">
        <f>IF(A443="","",HYPERLINK("#الاصناف!E"&amp;MATCH(LEFT(A443,FIND("|",A443)-1),الاصناف!E:E,0),"✏️ " &amp; LEFT(A443,FIND("|",A443)-1)))</f>
        <v/>
      </c>
      <c r="C443" s="6" t="str">
        <f>IF(A443="","",HYPERLINK("#الاصناف!G"&amp;MATCH(LEFT(A443,FIND("|",A443)-1),الاصناف!E:E,0),"💰 " &amp; RIGHT(A443,LEN(A443)-FIND("|",A443)) &amp; " $"))</f>
        <v/>
      </c>
    </row>
    <row r="444" spans="2:3">
      <c r="B444" s="6" t="str">
        <f>IF(A444="","",HYPERLINK("#الاصناف!E"&amp;MATCH(LEFT(A444,FIND("|",A444)-1),الاصناف!E:E,0),"✏️ " &amp; LEFT(A444,FIND("|",A444)-1)))</f>
        <v/>
      </c>
      <c r="C444" s="6" t="str">
        <f>IF(A444="","",HYPERLINK("#الاصناف!G"&amp;MATCH(LEFT(A444,FIND("|",A444)-1),الاصناف!E:E,0),"💰 " &amp; RIGHT(A444,LEN(A444)-FIND("|",A444)) &amp; " $"))</f>
        <v/>
      </c>
    </row>
    <row r="445" spans="2:3">
      <c r="B445" s="6" t="str">
        <f>IF(A445="","",HYPERLINK("#الاصناف!E"&amp;MATCH(LEFT(A445,FIND("|",A445)-1),الاصناف!E:E,0),"✏️ " &amp; LEFT(A445,FIND("|",A445)-1)))</f>
        <v/>
      </c>
      <c r="C445" s="6" t="str">
        <f>IF(A445="","",HYPERLINK("#الاصناف!G"&amp;MATCH(LEFT(A445,FIND("|",A445)-1),الاصناف!E:E,0),"💰 " &amp; RIGHT(A445,LEN(A445)-FIND("|",A445)) &amp; " $"))</f>
        <v/>
      </c>
    </row>
    <row r="446" spans="2:3">
      <c r="B446" s="6" t="str">
        <f>IF(A446="","",HYPERLINK("#الاصناف!E"&amp;MATCH(LEFT(A446,FIND("|",A446)-1),الاصناف!E:E,0),"✏️ " &amp; LEFT(A446,FIND("|",A446)-1)))</f>
        <v/>
      </c>
      <c r="C446" s="6" t="str">
        <f>IF(A446="","",HYPERLINK("#الاصناف!G"&amp;MATCH(LEFT(A446,FIND("|",A446)-1),الاصناف!E:E,0),"💰 " &amp; RIGHT(A446,LEN(A446)-FIND("|",A446)) &amp; " $"))</f>
        <v/>
      </c>
    </row>
    <row r="447" spans="2:3">
      <c r="B447" s="6" t="str">
        <f>IF(A447="","",HYPERLINK("#الاصناف!E"&amp;MATCH(LEFT(A447,FIND("|",A447)-1),الاصناف!E:E,0),"✏️ " &amp; LEFT(A447,FIND("|",A447)-1)))</f>
        <v/>
      </c>
      <c r="C447" s="6" t="str">
        <f>IF(A447="","",HYPERLINK("#الاصناف!G"&amp;MATCH(LEFT(A447,FIND("|",A447)-1),الاصناف!E:E,0),"💰 " &amp; RIGHT(A447,LEN(A447)-FIND("|",A447)) &amp; " $"))</f>
        <v/>
      </c>
    </row>
    <row r="448" spans="2:3">
      <c r="B448" s="6" t="str">
        <f>IF(A448="","",HYPERLINK("#الاصناف!E"&amp;MATCH(LEFT(A448,FIND("|",A448)-1),الاصناف!E:E,0),"✏️ " &amp; LEFT(A448,FIND("|",A448)-1)))</f>
        <v/>
      </c>
      <c r="C448" s="6" t="str">
        <f>IF(A448="","",HYPERLINK("#الاصناف!G"&amp;MATCH(LEFT(A448,FIND("|",A448)-1),الاصناف!E:E,0),"💰 " &amp; RIGHT(A448,LEN(A448)-FIND("|",A448)) &amp; " $"))</f>
        <v/>
      </c>
    </row>
    <row r="449" spans="2:3">
      <c r="B449" s="6" t="str">
        <f>IF(A449="","",HYPERLINK("#الاصناف!E"&amp;MATCH(LEFT(A449,FIND("|",A449)-1),الاصناف!E:E,0),"✏️ " &amp; LEFT(A449,FIND("|",A449)-1)))</f>
        <v/>
      </c>
      <c r="C449" s="6" t="str">
        <f>IF(A449="","",HYPERLINK("#الاصناف!G"&amp;MATCH(LEFT(A449,FIND("|",A449)-1),الاصناف!E:E,0),"💰 " &amp; RIGHT(A449,LEN(A449)-FIND("|",A449)) &amp; " $"))</f>
        <v/>
      </c>
    </row>
    <row r="450" spans="2:3">
      <c r="B450" s="6" t="str">
        <f>IF(A450="","",HYPERLINK("#الاصناف!E"&amp;MATCH(LEFT(A450,FIND("|",A450)-1),الاصناف!E:E,0),"✏️ " &amp; LEFT(A450,FIND("|",A450)-1)))</f>
        <v/>
      </c>
      <c r="C450" s="6" t="str">
        <f>IF(A450="","",HYPERLINK("#الاصناف!G"&amp;MATCH(LEFT(A450,FIND("|",A450)-1),الاصناف!E:E,0),"💰 " &amp; RIGHT(A450,LEN(A450)-FIND("|",A450)) &amp; " $"))</f>
        <v/>
      </c>
    </row>
    <row r="451" spans="2:3">
      <c r="B451" s="6" t="str">
        <f>IF(A451="","",HYPERLINK("#الاصناف!E"&amp;MATCH(LEFT(A451,FIND("|",A451)-1),الاصناف!E:E,0),"✏️ " &amp; LEFT(A451,FIND("|",A451)-1)))</f>
        <v/>
      </c>
      <c r="C451" s="6" t="str">
        <f>IF(A451="","",HYPERLINK("#الاصناف!G"&amp;MATCH(LEFT(A451,FIND("|",A451)-1),الاصناف!E:E,0),"💰 " &amp; RIGHT(A451,LEN(A451)-FIND("|",A451)) &amp; " $"))</f>
        <v/>
      </c>
    </row>
    <row r="452" spans="2:3">
      <c r="B452" s="6" t="str">
        <f>IF(A452="","",HYPERLINK("#الاصناف!E"&amp;MATCH(LEFT(A452,FIND("|",A452)-1),الاصناف!E:E,0),"✏️ " &amp; LEFT(A452,FIND("|",A452)-1)))</f>
        <v/>
      </c>
      <c r="C452" s="6" t="str">
        <f>IF(A452="","",HYPERLINK("#الاصناف!G"&amp;MATCH(LEFT(A452,FIND("|",A452)-1),الاصناف!E:E,0),"💰 " &amp; RIGHT(A452,LEN(A452)-FIND("|",A452)) &amp; " $"))</f>
        <v/>
      </c>
    </row>
    <row r="453" spans="2:3">
      <c r="B453" s="6" t="str">
        <f>IF(A453="","",HYPERLINK("#الاصناف!E"&amp;MATCH(LEFT(A453,FIND("|",A453)-1),الاصناف!E:E,0),"✏️ " &amp; LEFT(A453,FIND("|",A453)-1)))</f>
        <v/>
      </c>
      <c r="C453" s="6" t="str">
        <f>IF(A453="","",HYPERLINK("#الاصناف!G"&amp;MATCH(LEFT(A453,FIND("|",A453)-1),الاصناف!E:E,0),"💰 " &amp; RIGHT(A453,LEN(A453)-FIND("|",A453)) &amp; " $"))</f>
        <v/>
      </c>
    </row>
    <row r="454" spans="2:3">
      <c r="B454" s="6" t="str">
        <f>IF(A454="","",HYPERLINK("#الاصناف!E"&amp;MATCH(LEFT(A454,FIND("|",A454)-1),الاصناف!E:E,0),"✏️ " &amp; LEFT(A454,FIND("|",A454)-1)))</f>
        <v/>
      </c>
      <c r="C454" s="6" t="str">
        <f>IF(A454="","",HYPERLINK("#الاصناف!G"&amp;MATCH(LEFT(A454,FIND("|",A454)-1),الاصناف!E:E,0),"💰 " &amp; RIGHT(A454,LEN(A454)-FIND("|",A454)) &amp; " $"))</f>
        <v/>
      </c>
    </row>
    <row r="455" spans="2:3">
      <c r="B455" s="6" t="str">
        <f>IF(A455="","",HYPERLINK("#الاصناف!E"&amp;MATCH(LEFT(A455,FIND("|",A455)-1),الاصناف!E:E,0),"✏️ " &amp; LEFT(A455,FIND("|",A455)-1)))</f>
        <v/>
      </c>
      <c r="C455" s="6" t="str">
        <f>IF(A455="","",HYPERLINK("#الاصناف!G"&amp;MATCH(LEFT(A455,FIND("|",A455)-1),الاصناف!E:E,0),"💰 " &amp; RIGHT(A455,LEN(A455)-FIND("|",A455)) &amp; " $"))</f>
        <v/>
      </c>
    </row>
    <row r="456" spans="2:3">
      <c r="B456" s="6" t="str">
        <f>IF(A456="","",HYPERLINK("#الاصناف!E"&amp;MATCH(LEFT(A456,FIND("|",A456)-1),الاصناف!E:E,0),"✏️ " &amp; LEFT(A456,FIND("|",A456)-1)))</f>
        <v/>
      </c>
      <c r="C456" s="6" t="str">
        <f>IF(A456="","",HYPERLINK("#الاصناف!G"&amp;MATCH(LEFT(A456,FIND("|",A456)-1),الاصناف!E:E,0),"💰 " &amp; RIGHT(A456,LEN(A456)-FIND("|",A456)) &amp; " $"))</f>
        <v/>
      </c>
    </row>
    <row r="457" spans="2:3">
      <c r="B457" s="6" t="str">
        <f>IF(A457="","",HYPERLINK("#الاصناف!E"&amp;MATCH(LEFT(A457,FIND("|",A457)-1),الاصناف!E:E,0),"✏️ " &amp; LEFT(A457,FIND("|",A457)-1)))</f>
        <v/>
      </c>
      <c r="C457" s="6" t="str">
        <f>IF(A457="","",HYPERLINK("#الاصناف!G"&amp;MATCH(LEFT(A457,FIND("|",A457)-1),الاصناف!E:E,0),"💰 " &amp; RIGHT(A457,LEN(A457)-FIND("|",A457)) &amp; " $"))</f>
        <v/>
      </c>
    </row>
    <row r="458" spans="2:3">
      <c r="B458" s="6" t="str">
        <f>IF(A458="","",HYPERLINK("#الاصناف!E"&amp;MATCH(LEFT(A458,FIND("|",A458)-1),الاصناف!E:E,0),"✏️ " &amp; LEFT(A458,FIND("|",A458)-1)))</f>
        <v/>
      </c>
      <c r="C458" s="6" t="str">
        <f>IF(A458="","",HYPERLINK("#الاصناف!G"&amp;MATCH(LEFT(A458,FIND("|",A458)-1),الاصناف!E:E,0),"💰 " &amp; RIGHT(A458,LEN(A458)-FIND("|",A458)) &amp; " $"))</f>
        <v/>
      </c>
    </row>
    <row r="459" spans="2:3">
      <c r="B459" s="6" t="str">
        <f>IF(A459="","",HYPERLINK("#الاصناف!E"&amp;MATCH(LEFT(A459,FIND("|",A459)-1),الاصناف!E:E,0),"✏️ " &amp; LEFT(A459,FIND("|",A459)-1)))</f>
        <v/>
      </c>
      <c r="C459" s="6" t="str">
        <f>IF(A459="","",HYPERLINK("#الاصناف!G"&amp;MATCH(LEFT(A459,FIND("|",A459)-1),الاصناف!E:E,0),"💰 " &amp; RIGHT(A459,LEN(A459)-FIND("|",A459)) &amp; " $"))</f>
        <v/>
      </c>
    </row>
    <row r="460" spans="2:3">
      <c r="B460" s="6" t="str">
        <f>IF(A460="","",HYPERLINK("#الاصناف!E"&amp;MATCH(LEFT(A460,FIND("|",A460)-1),الاصناف!E:E,0),"✏️ " &amp; LEFT(A460,FIND("|",A460)-1)))</f>
        <v/>
      </c>
      <c r="C460" s="6" t="str">
        <f>IF(A460="","",HYPERLINK("#الاصناف!G"&amp;MATCH(LEFT(A460,FIND("|",A460)-1),الاصناف!E:E,0),"💰 " &amp; RIGHT(A460,LEN(A460)-FIND("|",A460)) &amp; " $"))</f>
        <v/>
      </c>
    </row>
    <row r="461" spans="2:3">
      <c r="B461" s="6" t="str">
        <f>IF(A461="","",HYPERLINK("#الاصناف!E"&amp;MATCH(LEFT(A461,FIND("|",A461)-1),الاصناف!E:E,0),"✏️ " &amp; LEFT(A461,FIND("|",A461)-1)))</f>
        <v/>
      </c>
      <c r="C461" s="6" t="str">
        <f>IF(A461="","",HYPERLINK("#الاصناف!G"&amp;MATCH(LEFT(A461,FIND("|",A461)-1),الاصناف!E:E,0),"💰 " &amp; RIGHT(A461,LEN(A461)-FIND("|",A461)) &amp; " $"))</f>
        <v/>
      </c>
    </row>
    <row r="462" spans="2:3">
      <c r="B462" s="6" t="str">
        <f>IF(A462="","",HYPERLINK("#الاصناف!E"&amp;MATCH(LEFT(A462,FIND("|",A462)-1),الاصناف!E:E,0),"✏️ " &amp; LEFT(A462,FIND("|",A462)-1)))</f>
        <v/>
      </c>
      <c r="C462" s="6" t="str">
        <f>IF(A462="","",HYPERLINK("#الاصناف!G"&amp;MATCH(LEFT(A462,FIND("|",A462)-1),الاصناف!E:E,0),"💰 " &amp; RIGHT(A462,LEN(A462)-FIND("|",A462)) &amp; " $"))</f>
        <v/>
      </c>
    </row>
    <row r="463" spans="2:3">
      <c r="B463" s="6" t="str">
        <f>IF(A463="","",HYPERLINK("#الاصناف!E"&amp;MATCH(LEFT(A463,FIND("|",A463)-1),الاصناف!E:E,0),"✏️ " &amp; LEFT(A463,FIND("|",A463)-1)))</f>
        <v/>
      </c>
      <c r="C463" s="6" t="str">
        <f>IF(A463="","",HYPERLINK("#الاصناف!G"&amp;MATCH(LEFT(A463,FIND("|",A463)-1),الاصناف!E:E,0),"💰 " &amp; RIGHT(A463,LEN(A463)-FIND("|",A463)) &amp; " $"))</f>
        <v/>
      </c>
    </row>
    <row r="464" spans="2:3">
      <c r="B464" s="6" t="str">
        <f>IF(A464="","",HYPERLINK("#الاصناف!E"&amp;MATCH(LEFT(A464,FIND("|",A464)-1),الاصناف!E:E,0),"✏️ " &amp; LEFT(A464,FIND("|",A464)-1)))</f>
        <v/>
      </c>
      <c r="C464" s="6" t="str">
        <f>IF(A464="","",HYPERLINK("#الاصناف!G"&amp;MATCH(LEFT(A464,FIND("|",A464)-1),الاصناف!E:E,0),"💰 " &amp; RIGHT(A464,LEN(A464)-FIND("|",A464)) &amp; " $"))</f>
        <v/>
      </c>
    </row>
    <row r="465" spans="2:3">
      <c r="B465" s="6" t="str">
        <f>IF(A465="","",HYPERLINK("#الاصناف!E"&amp;MATCH(LEFT(A465,FIND("|",A465)-1),الاصناف!E:E,0),"✏️ " &amp; LEFT(A465,FIND("|",A465)-1)))</f>
        <v/>
      </c>
      <c r="C465" s="6" t="str">
        <f>IF(A465="","",HYPERLINK("#الاصناف!G"&amp;MATCH(LEFT(A465,FIND("|",A465)-1),الاصناف!E:E,0),"💰 " &amp; RIGHT(A465,LEN(A465)-FIND("|",A465)) &amp; " $"))</f>
        <v/>
      </c>
    </row>
    <row r="466" spans="2:3">
      <c r="B466" s="6" t="str">
        <f>IF(A466="","",HYPERLINK("#الاصناف!E"&amp;MATCH(LEFT(A466,FIND("|",A466)-1),الاصناف!E:E,0),"✏️ " &amp; LEFT(A466,FIND("|",A466)-1)))</f>
        <v/>
      </c>
      <c r="C466" s="6" t="str">
        <f>IF(A466="","",HYPERLINK("#الاصناف!G"&amp;MATCH(LEFT(A466,FIND("|",A466)-1),الاصناف!E:E,0),"💰 " &amp; RIGHT(A466,LEN(A466)-FIND("|",A466)) &amp; " $"))</f>
        <v/>
      </c>
    </row>
    <row r="467" spans="2:3">
      <c r="B467" s="6" t="str">
        <f>IF(A467="","",HYPERLINK("#الاصناف!E"&amp;MATCH(LEFT(A467,FIND("|",A467)-1),الاصناف!E:E,0),"✏️ " &amp; LEFT(A467,FIND("|",A467)-1)))</f>
        <v/>
      </c>
      <c r="C467" s="6" t="str">
        <f>IF(A467="","",HYPERLINK("#الاصناف!G"&amp;MATCH(LEFT(A467,FIND("|",A467)-1),الاصناف!E:E,0),"💰 " &amp; RIGHT(A467,LEN(A467)-FIND("|",A467)) &amp; " $"))</f>
        <v/>
      </c>
    </row>
    <row r="468" spans="2:3">
      <c r="B468" s="6" t="str">
        <f>IF(A468="","",HYPERLINK("#الاصناف!E"&amp;MATCH(LEFT(A468,FIND("|",A468)-1),الاصناف!E:E,0),"✏️ " &amp; LEFT(A468,FIND("|",A468)-1)))</f>
        <v/>
      </c>
      <c r="C468" s="6" t="str">
        <f>IF(A468="","",HYPERLINK("#الاصناف!G"&amp;MATCH(LEFT(A468,FIND("|",A468)-1),الاصناف!E:E,0),"💰 " &amp; RIGHT(A468,LEN(A468)-FIND("|",A468)) &amp; " $"))</f>
        <v/>
      </c>
    </row>
    <row r="469" spans="2:3">
      <c r="B469" s="6" t="str">
        <f>IF(A469="","",HYPERLINK("#الاصناف!E"&amp;MATCH(LEFT(A469,FIND("|",A469)-1),الاصناف!E:E,0),"✏️ " &amp; LEFT(A469,FIND("|",A469)-1)))</f>
        <v/>
      </c>
      <c r="C469" s="6" t="str">
        <f>IF(A469="","",HYPERLINK("#الاصناف!G"&amp;MATCH(LEFT(A469,FIND("|",A469)-1),الاصناف!E:E,0),"💰 " &amp; RIGHT(A469,LEN(A469)-FIND("|",A469)) &amp; " $"))</f>
        <v/>
      </c>
    </row>
    <row r="470" spans="2:3">
      <c r="B470" s="6" t="str">
        <f>IF(A470="","",HYPERLINK("#الاصناف!E"&amp;MATCH(LEFT(A470,FIND("|",A470)-1),الاصناف!E:E,0),"✏️ " &amp; LEFT(A470,FIND("|",A470)-1)))</f>
        <v/>
      </c>
      <c r="C470" s="6" t="str">
        <f>IF(A470="","",HYPERLINK("#الاصناف!G"&amp;MATCH(LEFT(A470,FIND("|",A470)-1),الاصناف!E:E,0),"💰 " &amp; RIGHT(A470,LEN(A470)-FIND("|",A470)) &amp; " $"))</f>
        <v/>
      </c>
    </row>
    <row r="471" spans="2:3">
      <c r="B471" s="6" t="str">
        <f>IF(A471="","",HYPERLINK("#الاصناف!E"&amp;MATCH(LEFT(A471,FIND("|",A471)-1),الاصناف!E:E,0),"✏️ " &amp; LEFT(A471,FIND("|",A471)-1)))</f>
        <v/>
      </c>
      <c r="C471" s="6" t="str">
        <f>IF(A471="","",HYPERLINK("#الاصناف!G"&amp;MATCH(LEFT(A471,FIND("|",A471)-1),الاصناف!E:E,0),"💰 " &amp; RIGHT(A471,LEN(A471)-FIND("|",A471)) &amp; " $"))</f>
        <v/>
      </c>
    </row>
    <row r="472" spans="2:3">
      <c r="B472" s="6" t="str">
        <f>IF(A472="","",HYPERLINK("#الاصناف!E"&amp;MATCH(LEFT(A472,FIND("|",A472)-1),الاصناف!E:E,0),"✏️ " &amp; LEFT(A472,FIND("|",A472)-1)))</f>
        <v/>
      </c>
      <c r="C472" s="6" t="str">
        <f>IF(A472="","",HYPERLINK("#الاصناف!G"&amp;MATCH(LEFT(A472,FIND("|",A472)-1),الاصناف!E:E,0),"💰 " &amp; RIGHT(A472,LEN(A472)-FIND("|",A472)) &amp; " $"))</f>
        <v/>
      </c>
    </row>
    <row r="473" spans="2:3">
      <c r="B473" s="6" t="str">
        <f>IF(A473="","",HYPERLINK("#الاصناف!E"&amp;MATCH(LEFT(A473,FIND("|",A473)-1),الاصناف!E:E,0),"✏️ " &amp; LEFT(A473,FIND("|",A473)-1)))</f>
        <v/>
      </c>
      <c r="C473" s="6" t="str">
        <f>IF(A473="","",HYPERLINK("#الاصناف!G"&amp;MATCH(LEFT(A473,FIND("|",A473)-1),الاصناف!E:E,0),"💰 " &amp; RIGHT(A473,LEN(A473)-FIND("|",A473)) &amp; " $"))</f>
        <v/>
      </c>
    </row>
    <row r="474" spans="2:3">
      <c r="B474" s="6" t="str">
        <f>IF(A474="","",HYPERLINK("#الاصناف!E"&amp;MATCH(LEFT(A474,FIND("|",A474)-1),الاصناف!E:E,0),"✏️ " &amp; LEFT(A474,FIND("|",A474)-1)))</f>
        <v/>
      </c>
      <c r="C474" s="6" t="str">
        <f>IF(A474="","",HYPERLINK("#الاصناف!G"&amp;MATCH(LEFT(A474,FIND("|",A474)-1),الاصناف!E:E,0),"💰 " &amp; RIGHT(A474,LEN(A474)-FIND("|",A474)) &amp; " $"))</f>
        <v/>
      </c>
    </row>
    <row r="475" spans="2:3">
      <c r="B475" s="6" t="str">
        <f>IF(A475="","",HYPERLINK("#الاصناف!E"&amp;MATCH(LEFT(A475,FIND("|",A475)-1),الاصناف!E:E,0),"✏️ " &amp; LEFT(A475,FIND("|",A475)-1)))</f>
        <v/>
      </c>
      <c r="C475" s="6" t="str">
        <f>IF(A475="","",HYPERLINK("#الاصناف!G"&amp;MATCH(LEFT(A475,FIND("|",A475)-1),الاصناف!E:E,0),"💰 " &amp; RIGHT(A475,LEN(A475)-FIND("|",A475)) &amp; " $"))</f>
        <v/>
      </c>
    </row>
    <row r="476" spans="2:3">
      <c r="B476" s="6" t="str">
        <f>IF(A476="","",HYPERLINK("#الاصناف!E"&amp;MATCH(LEFT(A476,FIND("|",A476)-1),الاصناف!E:E,0),"✏️ " &amp; LEFT(A476,FIND("|",A476)-1)))</f>
        <v/>
      </c>
      <c r="C476" s="6" t="str">
        <f>IF(A476="","",HYPERLINK("#الاصناف!G"&amp;MATCH(LEFT(A476,FIND("|",A476)-1),الاصناف!E:E,0),"💰 " &amp; RIGHT(A476,LEN(A476)-FIND("|",A476)) &amp; " $"))</f>
        <v/>
      </c>
    </row>
    <row r="477" spans="2:3">
      <c r="B477" s="6" t="str">
        <f>IF(A477="","",HYPERLINK("#الاصناف!E"&amp;MATCH(LEFT(A477,FIND("|",A477)-1),الاصناف!E:E,0),"✏️ " &amp; LEFT(A477,FIND("|",A477)-1)))</f>
        <v/>
      </c>
      <c r="C477" s="6" t="str">
        <f>IF(A477="","",HYPERLINK("#الاصناف!G"&amp;MATCH(LEFT(A477,FIND("|",A477)-1),الاصناف!E:E,0),"💰 " &amp; RIGHT(A477,LEN(A477)-FIND("|",A477)) &amp; " $"))</f>
        <v/>
      </c>
    </row>
    <row r="478" spans="2:3">
      <c r="B478" s="6" t="str">
        <f>IF(A478="","",HYPERLINK("#الاصناف!E"&amp;MATCH(LEFT(A478,FIND("|",A478)-1),الاصناف!E:E,0),"✏️ " &amp; LEFT(A478,FIND("|",A478)-1)))</f>
        <v/>
      </c>
      <c r="C478" s="6" t="str">
        <f>IF(A478="","",HYPERLINK("#الاصناف!G"&amp;MATCH(LEFT(A478,FIND("|",A478)-1),الاصناف!E:E,0),"💰 " &amp; RIGHT(A478,LEN(A478)-FIND("|",A478)) &amp; " $"))</f>
        <v/>
      </c>
    </row>
    <row r="479" spans="2:3">
      <c r="B479" s="6" t="str">
        <f>IF(A479="","",HYPERLINK("#الاصناف!E"&amp;MATCH(LEFT(A479,FIND("|",A479)-1),الاصناف!E:E,0),"✏️ " &amp; LEFT(A479,FIND("|",A479)-1)))</f>
        <v/>
      </c>
      <c r="C479" s="6" t="str">
        <f>IF(A479="","",HYPERLINK("#الاصناف!G"&amp;MATCH(LEFT(A479,FIND("|",A479)-1),الاصناف!E:E,0),"💰 " &amp; RIGHT(A479,LEN(A479)-FIND("|",A479)) &amp; " $"))</f>
        <v/>
      </c>
    </row>
    <row r="480" spans="2:3">
      <c r="B480" s="6" t="str">
        <f>IF(A480="","",HYPERLINK("#الاصناف!E"&amp;MATCH(LEFT(A480,FIND("|",A480)-1),الاصناف!E:E,0),"✏️ " &amp; LEFT(A480,FIND("|",A480)-1)))</f>
        <v/>
      </c>
      <c r="C480" s="6" t="str">
        <f>IF(A480="","",HYPERLINK("#الاصناف!G"&amp;MATCH(LEFT(A480,FIND("|",A480)-1),الاصناف!E:E,0),"💰 " &amp; RIGHT(A480,LEN(A480)-FIND("|",A480)) &amp; " $"))</f>
        <v/>
      </c>
    </row>
    <row r="481" spans="2:3">
      <c r="B481" s="6" t="str">
        <f>IF(A481="","",HYPERLINK("#الاصناف!E"&amp;MATCH(LEFT(A481,FIND("|",A481)-1),الاصناف!E:E,0),"✏️ " &amp; LEFT(A481,FIND("|",A481)-1)))</f>
        <v/>
      </c>
      <c r="C481" s="6" t="str">
        <f>IF(A481="","",HYPERLINK("#الاصناف!G"&amp;MATCH(LEFT(A481,FIND("|",A481)-1),الاصناف!E:E,0),"💰 " &amp; RIGHT(A481,LEN(A481)-FIND("|",A481)) &amp; " $"))</f>
        <v/>
      </c>
    </row>
    <row r="482" spans="2:3">
      <c r="B482" s="6" t="str">
        <f>IF(A482="","",HYPERLINK("#الاصناف!E"&amp;MATCH(LEFT(A482,FIND("|",A482)-1),الاصناف!E:E,0),"✏️ " &amp; LEFT(A482,FIND("|",A482)-1)))</f>
        <v/>
      </c>
      <c r="C482" s="6" t="str">
        <f>IF(A482="","",HYPERLINK("#الاصناف!G"&amp;MATCH(LEFT(A482,FIND("|",A482)-1),الاصناف!E:E,0),"💰 " &amp; RIGHT(A482,LEN(A482)-FIND("|",A482)) &amp; " $"))</f>
        <v/>
      </c>
    </row>
    <row r="483" spans="2:3">
      <c r="B483" s="6" t="str">
        <f>IF(A483="","",HYPERLINK("#الاصناف!E"&amp;MATCH(LEFT(A483,FIND("|",A483)-1),الاصناف!E:E,0),"✏️ " &amp; LEFT(A483,FIND("|",A483)-1)))</f>
        <v/>
      </c>
      <c r="C483" s="6" t="str">
        <f>IF(A483="","",HYPERLINK("#الاصناف!G"&amp;MATCH(LEFT(A483,FIND("|",A483)-1),الاصناف!E:E,0),"💰 " &amp; RIGHT(A483,LEN(A483)-FIND("|",A483)) &amp; " $"))</f>
        <v/>
      </c>
    </row>
    <row r="484" spans="2:3">
      <c r="B484" s="6" t="str">
        <f>IF(A484="","",HYPERLINK("#الاصناف!E"&amp;MATCH(LEFT(A484,FIND("|",A484)-1),الاصناف!E:E,0),"✏️ " &amp; LEFT(A484,FIND("|",A484)-1)))</f>
        <v/>
      </c>
      <c r="C484" s="6" t="str">
        <f>IF(A484="","",HYPERLINK("#الاصناف!G"&amp;MATCH(LEFT(A484,FIND("|",A484)-1),الاصناف!E:E,0),"💰 " &amp; RIGHT(A484,LEN(A484)-FIND("|",A484)) &amp; " $"))</f>
        <v/>
      </c>
    </row>
    <row r="485" spans="2:3">
      <c r="B485" s="6" t="str">
        <f>IF(A485="","",HYPERLINK("#الاصناف!E"&amp;MATCH(LEFT(A485,FIND("|",A485)-1),الاصناف!E:E,0),"✏️ " &amp; LEFT(A485,FIND("|",A485)-1)))</f>
        <v/>
      </c>
      <c r="C485" s="6" t="str">
        <f>IF(A485="","",HYPERLINK("#الاصناف!G"&amp;MATCH(LEFT(A485,FIND("|",A485)-1),الاصناف!E:E,0),"💰 " &amp; RIGHT(A485,LEN(A485)-FIND("|",A485)) &amp; " $"))</f>
        <v/>
      </c>
    </row>
    <row r="486" spans="2:3">
      <c r="B486" s="6" t="str">
        <f>IF(A486="","",HYPERLINK("#الاصناف!E"&amp;MATCH(LEFT(A486,FIND("|",A486)-1),الاصناف!E:E,0),"✏️ " &amp; LEFT(A486,FIND("|",A486)-1)))</f>
        <v/>
      </c>
      <c r="C486" s="6" t="str">
        <f>IF(A486="","",HYPERLINK("#الاصناف!G"&amp;MATCH(LEFT(A486,FIND("|",A486)-1),الاصناف!E:E,0),"💰 " &amp; RIGHT(A486,LEN(A486)-FIND("|",A486)) &amp; " $"))</f>
        <v/>
      </c>
    </row>
    <row r="487" spans="2:3">
      <c r="B487" s="6" t="str">
        <f>IF(A487="","",HYPERLINK("#الاصناف!E"&amp;MATCH(LEFT(A487,FIND("|",A487)-1),الاصناف!E:E,0),"✏️ " &amp; LEFT(A487,FIND("|",A487)-1)))</f>
        <v/>
      </c>
      <c r="C487" s="6" t="str">
        <f>IF(A487="","",HYPERLINK("#الاصناف!G"&amp;MATCH(LEFT(A487,FIND("|",A487)-1),الاصناف!E:E,0),"💰 " &amp; RIGHT(A487,LEN(A487)-FIND("|",A487)) &amp; " $"))</f>
        <v/>
      </c>
    </row>
    <row r="488" spans="2:3">
      <c r="B488" s="6" t="str">
        <f>IF(A488="","",HYPERLINK("#الاصناف!E"&amp;MATCH(LEFT(A488,FIND("|",A488)-1),الاصناف!E:E,0),"✏️ " &amp; LEFT(A488,FIND("|",A488)-1)))</f>
        <v/>
      </c>
      <c r="C488" s="6" t="str">
        <f>IF(A488="","",HYPERLINK("#الاصناف!G"&amp;MATCH(LEFT(A488,FIND("|",A488)-1),الاصناف!E:E,0),"💰 " &amp; RIGHT(A488,LEN(A488)-FIND("|",A488)) &amp; " $"))</f>
        <v/>
      </c>
    </row>
    <row r="489" spans="2:3">
      <c r="B489" s="6" t="str">
        <f>IF(A489="","",HYPERLINK("#الاصناف!E"&amp;MATCH(LEFT(A489,FIND("|",A489)-1),الاصناف!E:E,0),"✏️ " &amp; LEFT(A489,FIND("|",A489)-1)))</f>
        <v/>
      </c>
      <c r="C489" s="6" t="str">
        <f>IF(A489="","",HYPERLINK("#الاصناف!G"&amp;MATCH(LEFT(A489,FIND("|",A489)-1),الاصناف!E:E,0),"💰 " &amp; RIGHT(A489,LEN(A489)-FIND("|",A489)) &amp; " $"))</f>
        <v/>
      </c>
    </row>
    <row r="490" spans="2:3">
      <c r="B490" s="6" t="str">
        <f>IF(A490="","",HYPERLINK("#الاصناف!E"&amp;MATCH(LEFT(A490,FIND("|",A490)-1),الاصناف!E:E,0),"✏️ " &amp; LEFT(A490,FIND("|",A490)-1)))</f>
        <v/>
      </c>
      <c r="C490" s="6" t="str">
        <f>IF(A490="","",HYPERLINK("#الاصناف!G"&amp;MATCH(LEFT(A490,FIND("|",A490)-1),الاصناف!E:E,0),"💰 " &amp; RIGHT(A490,LEN(A490)-FIND("|",A490)) &amp; " $"))</f>
        <v/>
      </c>
    </row>
    <row r="491" spans="2:3">
      <c r="B491" s="6" t="str">
        <f>IF(A491="","",HYPERLINK("#الاصناف!E"&amp;MATCH(LEFT(A491,FIND("|",A491)-1),الاصناف!E:E,0),"✏️ " &amp; LEFT(A491,FIND("|",A491)-1)))</f>
        <v/>
      </c>
      <c r="C491" s="6" t="str">
        <f>IF(A491="","",HYPERLINK("#الاصناف!G"&amp;MATCH(LEFT(A491,FIND("|",A491)-1),الاصناف!E:E,0),"💰 " &amp; RIGHT(A491,LEN(A491)-FIND("|",A491)) &amp; " $"))</f>
        <v/>
      </c>
    </row>
    <row r="492" spans="2:3">
      <c r="B492" s="6" t="str">
        <f>IF(A492="","",HYPERLINK("#الاصناف!E"&amp;MATCH(LEFT(A492,FIND("|",A492)-1),الاصناف!E:E,0),"✏️ " &amp; LEFT(A492,FIND("|",A492)-1)))</f>
        <v/>
      </c>
      <c r="C492" s="6" t="str">
        <f>IF(A492="","",HYPERLINK("#الاصناف!G"&amp;MATCH(LEFT(A492,FIND("|",A492)-1),الاصناف!E:E,0),"💰 " &amp; RIGHT(A492,LEN(A492)-FIND("|",A492)) &amp; " $"))</f>
        <v/>
      </c>
    </row>
    <row r="493" spans="2:3">
      <c r="B493" s="6" t="str">
        <f>IF(A493="","",HYPERLINK("#الاصناف!E"&amp;MATCH(LEFT(A493,FIND("|",A493)-1),الاصناف!E:E,0),"✏️ " &amp; LEFT(A493,FIND("|",A493)-1)))</f>
        <v/>
      </c>
      <c r="C493" s="6" t="str">
        <f>IF(A493="","",HYPERLINK("#الاصناف!G"&amp;MATCH(LEFT(A493,FIND("|",A493)-1),الاصناف!E:E,0),"💰 " &amp; RIGHT(A493,LEN(A493)-FIND("|",A493)) &amp; " $"))</f>
        <v/>
      </c>
    </row>
    <row r="494" spans="2:3">
      <c r="B494" s="6" t="str">
        <f>IF(A494="","",HYPERLINK("#الاصناف!E"&amp;MATCH(LEFT(A494,FIND("|",A494)-1),الاصناف!E:E,0),"✏️ " &amp; LEFT(A494,FIND("|",A494)-1)))</f>
        <v/>
      </c>
      <c r="C494" s="6" t="str">
        <f>IF(A494="","",HYPERLINK("#الاصناف!G"&amp;MATCH(LEFT(A494,FIND("|",A494)-1),الاصناف!E:E,0),"💰 " &amp; RIGHT(A494,LEN(A494)-FIND("|",A494)) &amp; " $"))</f>
        <v/>
      </c>
    </row>
    <row r="495" spans="2:3">
      <c r="B495" s="6" t="str">
        <f>IF(A495="","",HYPERLINK("#الاصناف!E"&amp;MATCH(LEFT(A495,FIND("|",A495)-1),الاصناف!E:E,0),"✏️ " &amp; LEFT(A495,FIND("|",A495)-1)))</f>
        <v/>
      </c>
      <c r="C495" s="6" t="str">
        <f>IF(A495="","",HYPERLINK("#الاصناف!G"&amp;MATCH(LEFT(A495,FIND("|",A495)-1),الاصناف!E:E,0),"💰 " &amp; RIGHT(A495,LEN(A495)-FIND("|",A495)) &amp; " $"))</f>
        <v/>
      </c>
    </row>
    <row r="496" spans="2:3">
      <c r="B496" s="6" t="str">
        <f>IF(A496="","",HYPERLINK("#الاصناف!E"&amp;MATCH(LEFT(A496,FIND("|",A496)-1),الاصناف!E:E,0),"✏️ " &amp; LEFT(A496,FIND("|",A496)-1)))</f>
        <v/>
      </c>
      <c r="C496" s="6" t="str">
        <f>IF(A496="","",HYPERLINK("#الاصناف!G"&amp;MATCH(LEFT(A496,FIND("|",A496)-1),الاصناف!E:E,0),"💰 " &amp; RIGHT(A496,LEN(A496)-FIND("|",A496)) &amp; " $"))</f>
        <v/>
      </c>
    </row>
    <row r="497" spans="2:3">
      <c r="B497" s="6" t="str">
        <f>IF(A497="","",HYPERLINK("#الاصناف!E"&amp;MATCH(LEFT(A497,FIND("|",A497)-1),الاصناف!E:E,0),"✏️ " &amp; LEFT(A497,FIND("|",A497)-1)))</f>
        <v/>
      </c>
      <c r="C497" s="6" t="str">
        <f>IF(A497="","",HYPERLINK("#الاصناف!G"&amp;MATCH(LEFT(A497,FIND("|",A497)-1),الاصناف!E:E,0),"💰 " &amp; RIGHT(A497,LEN(A497)-FIND("|",A497)) &amp; " $"))</f>
        <v/>
      </c>
    </row>
    <row r="498" spans="2:3">
      <c r="B498" s="6" t="str">
        <f>IF(A498="","",HYPERLINK("#الاصناف!E"&amp;MATCH(LEFT(A498,FIND("|",A498)-1),الاصناف!E:E,0),"✏️ " &amp; LEFT(A498,FIND("|",A498)-1)))</f>
        <v/>
      </c>
      <c r="C498" s="6" t="str">
        <f>IF(A498="","",HYPERLINK("#الاصناف!G"&amp;MATCH(LEFT(A498,FIND("|",A498)-1),الاصناف!E:E,0),"💰 " &amp; RIGHT(A498,LEN(A498)-FIND("|",A498)) &amp; " $"))</f>
        <v/>
      </c>
    </row>
    <row r="499" spans="2:3">
      <c r="B499" s="6" t="str">
        <f>IF(A499="","",HYPERLINK("#الاصناف!E"&amp;MATCH(LEFT(A499,FIND("|",A499)-1),الاصناف!E:E,0),"✏️ " &amp; LEFT(A499,FIND("|",A499)-1)))</f>
        <v/>
      </c>
      <c r="C499" s="6" t="str">
        <f>IF(A499="","",HYPERLINK("#الاصناف!G"&amp;MATCH(LEFT(A499,FIND("|",A499)-1),الاصناف!E:E,0),"💰 " &amp; RIGHT(A499,LEN(A499)-FIND("|",A499)) &amp; " $"))</f>
        <v/>
      </c>
    </row>
    <row r="500" spans="2:3">
      <c r="B500" s="6" t="str">
        <f>IF(A500="","",HYPERLINK("#الاصناف!E"&amp;MATCH(LEFT(A500,FIND("|",A500)-1),الاصناف!E:E,0),"✏️ " &amp; LEFT(A500,FIND("|",A500)-1)))</f>
        <v/>
      </c>
      <c r="C500" s="6" t="str">
        <f>IF(A500="","",HYPERLINK("#الاصناف!G"&amp;MATCH(LEFT(A500,FIND("|",A500)-1),الاصناف!E:E,0),"💰 " &amp; RIGHT(A500,LEN(A500)-FIND("|",A500)) &amp; " $"))</f>
        <v/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55A3A-B410-421B-939B-B9024DA68E81}">
  <dimension ref="A1:B721"/>
  <sheetViews>
    <sheetView rightToLeft="1" topLeftCell="A708" zoomScale="175" zoomScaleNormal="175" workbookViewId="0">
      <selection activeCell="A4" sqref="A4"/>
    </sheetView>
  </sheetViews>
  <sheetFormatPr defaultRowHeight="14.45"/>
  <cols>
    <col min="1" max="1" width="54.28515625" style="10" customWidth="1"/>
  </cols>
  <sheetData>
    <row r="1" spans="1:2" s="3" customFormat="1" ht="15">
      <c r="A1" s="19" t="s">
        <v>4</v>
      </c>
      <c r="B1" s="19" t="s">
        <v>6</v>
      </c>
    </row>
    <row r="2" spans="1:2" ht="17.45" customHeight="1">
      <c r="A2" s="9" t="str" cm="1">
        <f t="array" ref="A2:B721">_xlfn.LET(
  _xlpm.data, _xlfn._xlws.FILTER(الاصناف!E2:G9992, الاصناف!G2:G9992&gt;0),
  IF(COUNTA(_xlpm.data)=0, "لا نتائج", _xlfn.CHOOSECOLS(_xlpm.data, 1, 3))
)</f>
        <v>LEO 2ACm150  2HP 220V موتير ليو توربين</v>
      </c>
      <c r="B2">
        <v>175</v>
      </c>
    </row>
    <row r="3" spans="1:2">
      <c r="A3" s="10" t="str">
        <v>LEO 4 ACM/60 طلمبة ماء صامته</v>
      </c>
      <c r="B3">
        <v>100</v>
      </c>
    </row>
    <row r="4" spans="1:2">
      <c r="A4" s="10" t="str">
        <v>LEO 4 ACM/75 طلمبة ماء صامتة</v>
      </c>
      <c r="B4">
        <v>125</v>
      </c>
    </row>
    <row r="5" spans="1:2">
      <c r="A5" s="10" t="str">
        <v>LEO PQ50E طلمبة ماء اتوماتيك مع غطاء</v>
      </c>
      <c r="B5">
        <v>80</v>
      </c>
    </row>
    <row r="6" spans="1:2">
      <c r="A6" s="10" t="str">
        <v>LEO PRESS CONTROL</v>
      </c>
      <c r="B6">
        <v>25</v>
      </c>
    </row>
    <row r="7" spans="1:2">
      <c r="A7" s="10" t="str">
        <v>LEO موتير 0.5 حصان صامت ليو  3ACM45</v>
      </c>
      <c r="B7">
        <v>85</v>
      </c>
    </row>
    <row r="8" spans="1:2">
      <c r="A8" s="10" t="str">
        <v>LEO موتير 0.5 حصان ليو ACM37 TURBINE</v>
      </c>
      <c r="B8">
        <v>75</v>
      </c>
    </row>
    <row r="9" spans="1:2">
      <c r="A9" s="10" t="str">
        <v>LEO موتير 0.5 حصان ليو APM37</v>
      </c>
      <c r="B9">
        <v>35</v>
      </c>
    </row>
    <row r="10" spans="1:2">
      <c r="A10" s="10" t="str">
        <v>LEO موتير 0.75 حصان ليو APM 60</v>
      </c>
      <c r="B10">
        <v>55</v>
      </c>
    </row>
    <row r="11" spans="1:2">
      <c r="A11" s="10" t="str">
        <v>LEO موتير 1 حصان صامت ليو</v>
      </c>
      <c r="B11">
        <v>120</v>
      </c>
    </row>
    <row r="12" spans="1:2">
      <c r="A12" s="10" t="str">
        <v>LEO موتير 1 حصان ليو APM 90 طلمبة ماء</v>
      </c>
      <c r="B12">
        <v>95</v>
      </c>
    </row>
    <row r="13" spans="1:2">
      <c r="A13" s="10" t="str">
        <v>LEO موتير 1.5 حصان ليو APM 110 طلمبة ماء عادي</v>
      </c>
      <c r="B13">
        <v>145</v>
      </c>
    </row>
    <row r="14" spans="1:2">
      <c r="A14" s="10" t="str">
        <v>LEO موتير اتوماتيك ليو XKSM13O طرمبة مع برس كنترول</v>
      </c>
      <c r="B14">
        <v>75</v>
      </c>
    </row>
    <row r="15" spans="1:2">
      <c r="A15" s="10" t="str">
        <v>اتوماتيك موتير وستن WSTN</v>
      </c>
      <c r="B15">
        <v>5</v>
      </c>
    </row>
    <row r="16" spans="1:2">
      <c r="A16" s="10" t="str">
        <v>اسافين 6 ملم</v>
      </c>
      <c r="B16">
        <v>3.5</v>
      </c>
    </row>
    <row r="17" spans="1:2">
      <c r="A17" s="10" t="str">
        <v>اسافين بلاط احمر</v>
      </c>
      <c r="B17">
        <v>2.75</v>
      </c>
    </row>
    <row r="18" spans="1:2">
      <c r="A18" s="10" t="str">
        <v>اسافين دق 6 ملم</v>
      </c>
      <c r="B18">
        <v>3</v>
      </c>
    </row>
    <row r="19" spans="1:2">
      <c r="A19" s="10" t="str">
        <v>اسافين دق 8 ملم</v>
      </c>
      <c r="B19">
        <v>3</v>
      </c>
    </row>
    <row r="20" spans="1:2">
      <c r="A20" s="10" t="str">
        <v>اصبع تلزيق</v>
      </c>
      <c r="B20">
        <v>1</v>
      </c>
    </row>
    <row r="21" spans="1:2">
      <c r="A21" s="10" t="str">
        <v>ايزي فليكس 1 1/2 تركي</v>
      </c>
      <c r="B21">
        <v>1.5</v>
      </c>
    </row>
    <row r="22" spans="1:2">
      <c r="A22" s="10" t="str">
        <v>ايزي فليكس 1 1/2 صيني</v>
      </c>
      <c r="B22">
        <v>1</v>
      </c>
    </row>
    <row r="23" spans="1:2">
      <c r="A23" s="10" t="str">
        <v>ايزي فليكس 1 1/4 تركي</v>
      </c>
      <c r="B23">
        <v>1.5</v>
      </c>
    </row>
    <row r="24" spans="1:2">
      <c r="A24" s="10" t="str">
        <v>ايزي فليكس 1 1/4 صيني</v>
      </c>
      <c r="B24">
        <v>1</v>
      </c>
    </row>
    <row r="25" spans="1:2">
      <c r="A25" s="10" t="str">
        <v>ايزي فليكس مع صباب 1 1/4 تركي</v>
      </c>
      <c r="B25">
        <v>1.5</v>
      </c>
    </row>
    <row r="26" spans="1:2">
      <c r="A26" s="10" t="str">
        <v>بار دوش دوبل غروهي صيني</v>
      </c>
      <c r="B26">
        <v>50</v>
      </c>
    </row>
    <row r="27" spans="1:2">
      <c r="A27" s="10" t="str">
        <v>بار دوش شاور بانل دوبل رمادي تركي</v>
      </c>
      <c r="B27">
        <v>35</v>
      </c>
    </row>
    <row r="28" spans="1:2">
      <c r="A28" s="10" t="str">
        <v>بار دوش شاور بانل دوبل طاسة كبيرة ابيض تركي بريفا PRIVA</v>
      </c>
      <c r="B28">
        <v>35</v>
      </c>
    </row>
    <row r="29" spans="1:2">
      <c r="A29" s="10" t="str">
        <v>بار دوش شاور بانل دوبل كروم اسود تركي بريفا PRIVA</v>
      </c>
      <c r="B29">
        <v>35</v>
      </c>
    </row>
    <row r="30" spans="1:2">
      <c r="A30" s="10" t="str">
        <v>بار دوش غروهي صيني</v>
      </c>
      <c r="B30">
        <v>18</v>
      </c>
    </row>
    <row r="31" spans="1:2">
      <c r="A31" s="10" t="str">
        <v>باكس المنيوم 16 ملم سعر المتر</v>
      </c>
      <c r="B31">
        <v>0.5</v>
      </c>
    </row>
    <row r="32" spans="1:2">
      <c r="A32" s="10" t="str">
        <v>باكس المنيوم 18 ملم سعر المتر</v>
      </c>
      <c r="B32">
        <v>0.65</v>
      </c>
    </row>
    <row r="33" spans="1:2">
      <c r="A33" s="10" t="str">
        <v>باكس المنيوم 20 ملم سعر المتر</v>
      </c>
      <c r="B33">
        <v>0.75</v>
      </c>
    </row>
    <row r="34" spans="1:2">
      <c r="A34" s="10" t="str">
        <v>باكس المنيوم 25 ملم سعر المتر</v>
      </c>
      <c r="B34">
        <v>1.75</v>
      </c>
    </row>
    <row r="35" spans="1:2">
      <c r="A35" s="10" t="str">
        <v>برس كونترول كومت COMET</v>
      </c>
      <c r="B35">
        <v>20</v>
      </c>
    </row>
    <row r="36" spans="1:2">
      <c r="A36" s="10" t="str">
        <v>برس كونترول ليو LEO</v>
      </c>
      <c r="B36">
        <v>25</v>
      </c>
    </row>
    <row r="37" spans="1:2">
      <c r="A37" s="10" t="str">
        <v>برس كونترول من فوق مونرو MONRO</v>
      </c>
      <c r="B37">
        <v>25</v>
      </c>
    </row>
    <row r="38" spans="1:2">
      <c r="A38" s="10" t="str">
        <v>برميل اندركود مائي</v>
      </c>
      <c r="B38">
        <v>45</v>
      </c>
    </row>
    <row r="39" spans="1:2">
      <c r="A39" s="10" t="str">
        <v>برميل طرش نص كاوتشوك ابيض 100 بريمو PRIMO</v>
      </c>
      <c r="B39">
        <v>35</v>
      </c>
    </row>
    <row r="40" spans="1:2">
      <c r="A40" s="10" t="str">
        <v>برميل طرش نص كاوتشوك ابيض ماكس MAX</v>
      </c>
      <c r="B40">
        <v>20</v>
      </c>
    </row>
    <row r="41" spans="1:2">
      <c r="A41" s="10" t="str">
        <v>برميل طرش نص كاوتشوك اوف وايت 101 بريمو PRIMO</v>
      </c>
      <c r="B41">
        <v>35</v>
      </c>
    </row>
    <row r="42" spans="1:2">
      <c r="A42" s="10" t="str">
        <v>برميل طرش نص كاوتشوك اوف وايت ماكس MAX</v>
      </c>
      <c r="B42">
        <v>20</v>
      </c>
    </row>
    <row r="43" spans="1:2">
      <c r="A43" s="10" t="str">
        <v>برميل طرش نص كاوتشوك عاج 105 بريمو PRIMO</v>
      </c>
      <c r="B43">
        <v>35</v>
      </c>
    </row>
    <row r="44" spans="1:2">
      <c r="A44" s="10" t="str">
        <v>برميل طرش نص كاوتشوك عاج خفيف 104 بريمو PRIMO</v>
      </c>
      <c r="B44">
        <v>35</v>
      </c>
    </row>
    <row r="45" spans="1:2">
      <c r="A45" s="10" t="str">
        <v>برميل طرش نص كاوتشوك غاردينا 102 بريمو PRIMO</v>
      </c>
      <c r="B45">
        <v>35</v>
      </c>
    </row>
    <row r="46" spans="1:2">
      <c r="A46" s="10" t="str">
        <v>برميل طرش نص كاوتشوك كريم ماكس MAX</v>
      </c>
      <c r="B46">
        <v>20</v>
      </c>
    </row>
    <row r="47" spans="1:2">
      <c r="A47" s="10" t="str">
        <v>برميل عازل ابيض ماكس MAX</v>
      </c>
      <c r="B47">
        <v>37</v>
      </c>
    </row>
    <row r="48" spans="1:2">
      <c r="A48" s="10" t="str">
        <v>برميل معجونة سماكات ماكس MAX</v>
      </c>
      <c r="B48">
        <v>8</v>
      </c>
    </row>
    <row r="49" spans="1:2">
      <c r="A49" s="10" t="str">
        <v>برميل معجونة ناعمة ماكس MAX</v>
      </c>
      <c r="B49">
        <v>8</v>
      </c>
    </row>
    <row r="50" spans="1:2">
      <c r="A50" s="10" t="str">
        <v>برميل نفط</v>
      </c>
      <c r="B50">
        <v>15</v>
      </c>
    </row>
    <row r="51" spans="1:2">
      <c r="A51" s="10" t="str">
        <v>تحويلة عامود دوش مع نربيج 1/2*1/2*3/4</v>
      </c>
      <c r="B51">
        <v>5</v>
      </c>
    </row>
    <row r="52" spans="1:2">
      <c r="A52" s="10" t="str">
        <v>تحويلة كرسي 6سم تركي</v>
      </c>
      <c r="B52">
        <v>3.5</v>
      </c>
    </row>
    <row r="53" spans="1:2">
      <c r="A53" s="10" t="str">
        <v>تطويلة عنق متحركة مع فلتر</v>
      </c>
      <c r="B53">
        <v>2.75</v>
      </c>
    </row>
    <row r="54" spans="1:2">
      <c r="A54" s="10" t="str">
        <v>تعليقة صابون بلاستيك ابيض</v>
      </c>
      <c r="B54">
        <v>10</v>
      </c>
    </row>
    <row r="55" spans="1:2">
      <c r="A55" s="10" t="str">
        <v>تعليقة ورق بلاستيك ابيض</v>
      </c>
      <c r="B55">
        <v>3.5</v>
      </c>
    </row>
    <row r="56" spans="1:2">
      <c r="A56" s="10" t="str">
        <v>تفلون صغير 1-3</v>
      </c>
      <c r="B56">
        <v>0.25</v>
      </c>
    </row>
    <row r="57" spans="1:2">
      <c r="A57" s="10" t="str">
        <v>تفلون كبير خفيف 1-1 0.25g</v>
      </c>
      <c r="B57">
        <v>0.75</v>
      </c>
    </row>
    <row r="58" spans="1:2">
      <c r="A58" s="10" t="str">
        <v>تفلون كبير سميك 1-2 0.42g</v>
      </c>
      <c r="B58">
        <v>1</v>
      </c>
    </row>
    <row r="59" spans="1:2">
      <c r="A59" s="10" t="str">
        <v>تلزيق اسود عريض</v>
      </c>
      <c r="B59">
        <v>1</v>
      </c>
    </row>
    <row r="60" spans="1:2">
      <c r="A60" s="10" t="str">
        <v>تلزيق بلاستيك 1 كيلو امريكي</v>
      </c>
      <c r="B60">
        <v>10</v>
      </c>
    </row>
    <row r="61" spans="1:2">
      <c r="A61" s="10" t="str">
        <v>تلزيق بلاستيك 1/2 كيلو امريكي</v>
      </c>
      <c r="B61">
        <v>5</v>
      </c>
    </row>
    <row r="62" spans="1:2">
      <c r="A62" s="10" t="str">
        <v>تلزيق بلاستيك 1/4 كيلو امريكي</v>
      </c>
      <c r="B62">
        <v>3.25</v>
      </c>
    </row>
    <row r="63" spans="1:2">
      <c r="A63" s="10" t="str">
        <v>تيه اف بلاستيك 1</v>
      </c>
      <c r="B63">
        <v>0.75</v>
      </c>
    </row>
    <row r="64" spans="1:2">
      <c r="A64" s="10" t="str">
        <v>تيه اف بلاستيك 1 1/2</v>
      </c>
      <c r="B64">
        <v>0.75</v>
      </c>
    </row>
    <row r="65" spans="1:2">
      <c r="A65" s="10" t="str">
        <v>تيه اف بلاستيك 1 1/4</v>
      </c>
      <c r="B65">
        <v>0.65</v>
      </c>
    </row>
    <row r="66" spans="1:2">
      <c r="A66" s="10" t="str">
        <v>تيه اف بلاستيك 1 KOKO</v>
      </c>
      <c r="B66">
        <v>0.75</v>
      </c>
    </row>
    <row r="67" spans="1:2">
      <c r="A67" s="10" t="str">
        <v>تيه اف بلاستيك 1/2</v>
      </c>
      <c r="B67">
        <v>0.35</v>
      </c>
    </row>
    <row r="68" spans="1:2">
      <c r="A68" s="10" t="str">
        <v>تيه اف بلاستيك 1/2 KOKO</v>
      </c>
      <c r="B68">
        <v>0.5</v>
      </c>
    </row>
    <row r="69" spans="1:2">
      <c r="A69" s="10" t="str">
        <v>تيه اف بلاستيك 2</v>
      </c>
      <c r="B69">
        <v>1</v>
      </c>
    </row>
    <row r="70" spans="1:2">
      <c r="A70" s="10" t="str">
        <v>تيه اف بلاستيك 3</v>
      </c>
      <c r="B70">
        <v>1.5</v>
      </c>
    </row>
    <row r="71" spans="1:2">
      <c r="A71" s="10" t="str">
        <v>تيه اف بلاستيك 3/4 KOKO</v>
      </c>
      <c r="B71">
        <v>0.65</v>
      </c>
    </row>
    <row r="72" spans="1:2">
      <c r="A72" s="10" t="str">
        <v>تيه اف بلاستيك 4</v>
      </c>
      <c r="B72">
        <v>1.75</v>
      </c>
    </row>
    <row r="73" spans="1:2">
      <c r="A73" s="10" t="str">
        <v>تيه اف بلاستيك بجوان تركي 110 ملم</v>
      </c>
      <c r="B73">
        <v>4.5</v>
      </c>
    </row>
    <row r="74" spans="1:2">
      <c r="A74" s="10" t="str">
        <v>تيه اف بلاستيك بجوان تركي 50 ملم</v>
      </c>
      <c r="B74">
        <v>1.75</v>
      </c>
    </row>
    <row r="75" spans="1:2">
      <c r="A75" s="10" t="str">
        <v>تيه اف بلاستيك بجوان تركي 75 ملم</v>
      </c>
      <c r="B75">
        <v>2.75</v>
      </c>
    </row>
    <row r="76" spans="1:2">
      <c r="A76" s="10" t="str">
        <v>تيه اكرك بلاستيك 2</v>
      </c>
      <c r="B76">
        <v>1</v>
      </c>
    </row>
    <row r="77" spans="1:2">
      <c r="A77" s="10" t="str">
        <v>تيه اكرك بلاستيك 3</v>
      </c>
      <c r="B77">
        <v>1.5</v>
      </c>
    </row>
    <row r="78" spans="1:2">
      <c r="A78" s="10" t="str">
        <v>تيه اكرك بلاستيك 4</v>
      </c>
      <c r="B78">
        <v>1.75</v>
      </c>
    </row>
    <row r="79" spans="1:2">
      <c r="A79" s="10" t="str">
        <v>تيه اكرك بلاستيك بجوان تركي 110 ملم</v>
      </c>
      <c r="B79">
        <v>5.5</v>
      </c>
    </row>
    <row r="80" spans="1:2">
      <c r="A80" s="10" t="str">
        <v>تيه اكرك بلاستيك بجوان تركي 50 ملم</v>
      </c>
      <c r="B80">
        <v>1.75</v>
      </c>
    </row>
    <row r="81" spans="1:2">
      <c r="A81" s="10" t="str">
        <v>تيه اكرك بلاستيك بجوان تركي 75 ملم</v>
      </c>
      <c r="B81">
        <v>2.75</v>
      </c>
    </row>
    <row r="82" spans="1:2">
      <c r="A82" s="10" t="str">
        <v>تيه انتاية كروم 16*1/2</v>
      </c>
      <c r="B82">
        <v>2</v>
      </c>
    </row>
    <row r="83" spans="1:2">
      <c r="A83" s="10" t="str">
        <v>تيه انتاية كروم 18*1/2</v>
      </c>
      <c r="B83">
        <v>2.75</v>
      </c>
    </row>
    <row r="84" spans="1:2">
      <c r="A84" s="10" t="str">
        <v>تيه انتاية كروم 20*1/2</v>
      </c>
      <c r="B84">
        <v>4</v>
      </c>
    </row>
    <row r="85" spans="1:2">
      <c r="A85" s="10" t="str">
        <v>تيه بسن انتاية 20*1/2 زراعي</v>
      </c>
      <c r="B85">
        <v>1.5</v>
      </c>
    </row>
    <row r="86" spans="1:2">
      <c r="A86" s="10" t="str">
        <v>تيه بسن انتاية 25*3/4 زراعي</v>
      </c>
      <c r="B86">
        <v>2</v>
      </c>
    </row>
    <row r="87" spans="1:2">
      <c r="A87" s="10" t="str">
        <v>تيه بسن انتاية 32*1 زراعي</v>
      </c>
      <c r="B87">
        <v>2.75</v>
      </c>
    </row>
    <row r="88" spans="1:2">
      <c r="A88" s="10" t="str">
        <v>تيه بسن انتاية تلحيم 20*1/2 ابيض تركي</v>
      </c>
      <c r="B88">
        <v>1.35</v>
      </c>
    </row>
    <row r="89" spans="1:2">
      <c r="A89" s="10" t="str">
        <v>تيه بسن انتاية تلحيم 20*1/2 اخضر تركي</v>
      </c>
      <c r="B89">
        <v>1.35</v>
      </c>
    </row>
    <row r="90" spans="1:2">
      <c r="A90" s="10" t="str">
        <v>تيه بسن انتاية تلحيم 25*1/2 ابيض تركي</v>
      </c>
      <c r="B90">
        <v>1.5</v>
      </c>
    </row>
    <row r="91" spans="1:2">
      <c r="A91" s="10" t="str">
        <v>تيه بسن انتاية تلحيم 25*1/2 اخضر تركي</v>
      </c>
      <c r="B91">
        <v>1.5</v>
      </c>
    </row>
    <row r="92" spans="1:2">
      <c r="A92" s="10" t="str">
        <v>تيه بسن انتاية تلحيم 25*3/4 ابيض تركي</v>
      </c>
      <c r="B92">
        <v>2</v>
      </c>
    </row>
    <row r="93" spans="1:2">
      <c r="A93" s="10" t="str">
        <v>تيه بسن انتاية تلحيم 25*3/4 اخضر تركي</v>
      </c>
      <c r="B93">
        <v>2</v>
      </c>
    </row>
    <row r="94" spans="1:2">
      <c r="A94" s="10" t="str">
        <v>تيه بسن انتاية تلحيم 32*1 اخضر تركي</v>
      </c>
      <c r="B94">
        <v>3.5</v>
      </c>
    </row>
    <row r="95" spans="1:2">
      <c r="A95" s="10" t="str">
        <v>تيه بسن انتاية تلحيم 32*1/2 اخضر تركي</v>
      </c>
      <c r="B95">
        <v>3.5</v>
      </c>
    </row>
    <row r="96" spans="1:2">
      <c r="A96" s="10" t="str">
        <v>تيه بسن انتاية تلحيم 32*3/4 ابيض تركي</v>
      </c>
      <c r="B96">
        <v>3.5</v>
      </c>
    </row>
    <row r="97" spans="1:2">
      <c r="A97" s="10" t="str">
        <v>تيه بسن انتاية تلحيم 32*3/4 اخضر تركي</v>
      </c>
      <c r="B97">
        <v>3.5</v>
      </c>
    </row>
    <row r="98" spans="1:2">
      <c r="A98" s="10" t="str">
        <v>تيه بسن ذكر تلحيم 25*1/2 اخضر تركي</v>
      </c>
      <c r="B98">
        <v>1.5</v>
      </c>
    </row>
    <row r="99" spans="1:2">
      <c r="A99" s="10" t="str">
        <v>تيه بسن ذكر تلحيم 25*3/4 اخضر تركي</v>
      </c>
      <c r="B99">
        <v>2</v>
      </c>
    </row>
    <row r="100" spans="1:2">
      <c r="A100" s="10" t="str">
        <v>تيه تلحيم 20 ملم ابيض تركي</v>
      </c>
      <c r="B100">
        <v>0.25</v>
      </c>
    </row>
    <row r="101" spans="1:2">
      <c r="A101" s="10" t="str">
        <v>تيه تلحيم 20 ملم اخضر تركي</v>
      </c>
      <c r="B101">
        <v>0.25</v>
      </c>
    </row>
    <row r="102" spans="1:2">
      <c r="A102" s="10" t="str">
        <v>تيه تلحيم 25 ملم ابيض تركي</v>
      </c>
      <c r="B102">
        <v>0.3</v>
      </c>
    </row>
    <row r="103" spans="1:2">
      <c r="A103" s="10" t="str">
        <v>تيه تلحيم 25 ملم اخضر تركي</v>
      </c>
      <c r="B103">
        <v>0.3</v>
      </c>
    </row>
    <row r="104" spans="1:2">
      <c r="A104" s="10" t="str">
        <v>تيه تلحيم 32 ملم اخضر تركي</v>
      </c>
      <c r="B104">
        <v>0.65</v>
      </c>
    </row>
    <row r="105" spans="1:2">
      <c r="A105" s="10" t="str">
        <v>تيه تلحيم 40 ملم اخضر تركي</v>
      </c>
      <c r="B105">
        <v>1</v>
      </c>
    </row>
    <row r="106" spans="1:2">
      <c r="A106" s="10" t="str">
        <v>تيه حديد مزيبق 1 HE</v>
      </c>
      <c r="B106">
        <v>1.5</v>
      </c>
    </row>
    <row r="107" spans="1:2">
      <c r="A107" s="10" t="str">
        <v>تيه حديد مزيبق 1/2 HE</v>
      </c>
      <c r="B107">
        <v>0.7</v>
      </c>
    </row>
    <row r="108" spans="1:2">
      <c r="A108" s="10" t="str">
        <v>تيه حديد مزيبق 3/4 HE</v>
      </c>
      <c r="B108">
        <v>1</v>
      </c>
    </row>
    <row r="109" spans="1:2">
      <c r="A109" s="10" t="str">
        <v>تيه دوبل 20*20*20 زراعي</v>
      </c>
      <c r="B109">
        <v>1.5</v>
      </c>
    </row>
    <row r="110" spans="1:2">
      <c r="A110" s="10" t="str">
        <v>تيه دوبل 25*25*25 زراعي</v>
      </c>
      <c r="B110">
        <v>2</v>
      </c>
    </row>
    <row r="111" spans="1:2">
      <c r="A111" s="10" t="str">
        <v>تيه دوبل 32*32*32 زراعي</v>
      </c>
      <c r="B111">
        <v>2.75</v>
      </c>
    </row>
    <row r="112" spans="1:2">
      <c r="A112" s="10" t="str">
        <v>تيه دوبل كروم 16*16*16</v>
      </c>
      <c r="B112">
        <v>2</v>
      </c>
    </row>
    <row r="113" spans="1:2">
      <c r="A113" s="10" t="str">
        <v>تيه دوبل كروم 18*18*18</v>
      </c>
      <c r="B113">
        <v>2.75</v>
      </c>
    </row>
    <row r="114" spans="1:2">
      <c r="A114" s="10" t="str">
        <v>تيه دوبل كروم 20*20*20</v>
      </c>
      <c r="B114">
        <v>4</v>
      </c>
    </row>
    <row r="115" spans="1:2">
      <c r="A115" s="10" t="str">
        <v>تيه ذكر كروم 16*1/2</v>
      </c>
      <c r="B115">
        <v>2</v>
      </c>
    </row>
    <row r="116" spans="1:2">
      <c r="A116" s="10" t="str">
        <v>تيه ذكر كروم 18*1/2</v>
      </c>
      <c r="B116">
        <v>2.75</v>
      </c>
    </row>
    <row r="117" spans="1:2">
      <c r="A117" s="10" t="str">
        <v>تيه سنتير بلاستيك 4</v>
      </c>
      <c r="B117">
        <v>1.75</v>
      </c>
    </row>
    <row r="118" spans="1:2">
      <c r="A118" s="10" t="str">
        <v>تيه مخالف تلحيم 25*20*25 ملم اخضر تركي</v>
      </c>
      <c r="B118">
        <v>0.4</v>
      </c>
    </row>
    <row r="119" spans="1:2">
      <c r="A119" s="10" t="str">
        <v>تيه مخالف تلحيم 25*25*20 ملم اخضر تركي</v>
      </c>
      <c r="B119">
        <v>0.4</v>
      </c>
    </row>
    <row r="120" spans="1:2">
      <c r="A120" s="10" t="str">
        <v>تيه مخالف تلحيم 32*20*20 ملم اخضر تركي</v>
      </c>
      <c r="B120">
        <v>0.7</v>
      </c>
    </row>
    <row r="121" spans="1:2">
      <c r="A121" s="10" t="str">
        <v>تيه مخالف تلحيم 32*20*32 ملم اخضر تركي</v>
      </c>
      <c r="B121">
        <v>0.7</v>
      </c>
    </row>
    <row r="122" spans="1:2">
      <c r="A122" s="10" t="str">
        <v>تيه مخالف تلحيم 32*25*25 ملم اخضر تركي</v>
      </c>
      <c r="B122">
        <v>0.7</v>
      </c>
    </row>
    <row r="123" spans="1:2">
      <c r="A123" s="10" t="str">
        <v>تيه مخالف تلحيم 32*25*32 ملم اخضر تركي</v>
      </c>
      <c r="B123">
        <v>0.7</v>
      </c>
    </row>
    <row r="124" spans="1:2">
      <c r="A124" s="10" t="str">
        <v>تيه مخالف تلحيم 40*20*40 ملم اخضر تركي</v>
      </c>
      <c r="B124">
        <v>1</v>
      </c>
    </row>
    <row r="125" spans="1:2">
      <c r="A125" s="10" t="str">
        <v>تيه مخالف تلحيم 40*25*40 ملم اخضر تركي</v>
      </c>
      <c r="B125">
        <v>1</v>
      </c>
    </row>
    <row r="126" spans="1:2">
      <c r="A126" s="10" t="str">
        <v>تيه مخالف تلحيم 40*32*40 ملم اخضر تركي</v>
      </c>
      <c r="B126">
        <v>1</v>
      </c>
    </row>
    <row r="127" spans="1:2">
      <c r="A127" s="10" t="str">
        <v>تيه مخالف حديد مزيبق 1/2*1 HE</v>
      </c>
      <c r="B127">
        <v>1.5</v>
      </c>
    </row>
    <row r="128" spans="1:2">
      <c r="A128" s="10" t="str">
        <v>تيه مخالف حديد مزيبق 3/4*1 HE</v>
      </c>
      <c r="B128">
        <v>1.5</v>
      </c>
    </row>
    <row r="129" spans="1:2">
      <c r="A129" s="10" t="str">
        <v>جرن مجلى غميق 50*40</v>
      </c>
      <c r="B129">
        <v>25</v>
      </c>
    </row>
    <row r="130" spans="1:2">
      <c r="A130" s="10" t="str">
        <v>حبل غسيل ملبس 1 كغ</v>
      </c>
      <c r="B130">
        <v>2</v>
      </c>
    </row>
    <row r="131" spans="1:2">
      <c r="A131" s="10" t="str">
        <v>حنفية غلة بلاستيك 1/2 مسكة اورنج</v>
      </c>
      <c r="B131">
        <v>1.35</v>
      </c>
    </row>
    <row r="132" spans="1:2">
      <c r="A132" s="10" t="str">
        <v>حنفية غلة بلاستيك قصير 1/2</v>
      </c>
      <c r="B132">
        <v>0.75</v>
      </c>
    </row>
    <row r="133" spans="1:2">
      <c r="A133" s="10" t="str">
        <v>حنفية فيتاس قصيرة تركي</v>
      </c>
      <c r="B133">
        <v>8</v>
      </c>
    </row>
    <row r="134" spans="1:2">
      <c r="A134" s="10" t="str">
        <v>حنفية لوكس برم عنق طويل سينيور SENIOR</v>
      </c>
      <c r="B134">
        <v>5</v>
      </c>
    </row>
    <row r="135" spans="1:2">
      <c r="A135" s="10" t="str">
        <v>حنفية مجلى حائط برم توليدو TOLIDO 1014</v>
      </c>
      <c r="B135">
        <v>5</v>
      </c>
    </row>
    <row r="136" spans="1:2">
      <c r="A136" s="10" t="str">
        <v>حنفية مجلى حائط فيتاس تركي بريفا BRIVA</v>
      </c>
      <c r="B136">
        <v>13</v>
      </c>
    </row>
    <row r="137" spans="1:2">
      <c r="A137" s="10" t="str">
        <v>حنفية مجلى شك برم تركي بريفا BRIVA</v>
      </c>
      <c r="B137">
        <v>10</v>
      </c>
    </row>
    <row r="138" spans="1:2">
      <c r="A138" s="10" t="str">
        <v>حنفية مجلى شك فيتاس تركي بريفا BRIVA</v>
      </c>
      <c r="B138">
        <v>13</v>
      </c>
    </row>
    <row r="139" spans="1:2">
      <c r="A139" s="10" t="str">
        <v>خزان ماء بلاستيك سومو بطح 400 لتر</v>
      </c>
      <c r="B139">
        <v>77</v>
      </c>
    </row>
    <row r="140" spans="1:2">
      <c r="A140" s="10" t="str">
        <v>خزان ماء بلاستيك سومو صهريج 1000 لتر</v>
      </c>
      <c r="B140">
        <v>140</v>
      </c>
    </row>
    <row r="141" spans="1:2">
      <c r="A141" s="10" t="str">
        <v>خزان ماء بلاستيك سومو مبروم 1000 لتر HD</v>
      </c>
      <c r="B141">
        <v>70</v>
      </c>
    </row>
    <row r="142" spans="1:2">
      <c r="A142" s="10" t="str">
        <v>خزان ماء بلاستيك سومو مبروم 2000 لتر HD</v>
      </c>
      <c r="B142">
        <v>130</v>
      </c>
    </row>
    <row r="143" spans="1:2">
      <c r="A143" s="10" t="str">
        <v>خزان ماء بلاستيك سومو مبروم طويل 1000 لتر</v>
      </c>
      <c r="B143">
        <v>130</v>
      </c>
    </row>
    <row r="144" spans="1:2">
      <c r="A144" s="10" t="str">
        <v>خلاط دوش برم بلاستيك مرخم</v>
      </c>
      <c r="B144">
        <v>14</v>
      </c>
    </row>
    <row r="145" spans="1:2">
      <c r="A145" s="10" t="str">
        <v>خلاط دوش برم توليدو TOLIDO 1012</v>
      </c>
      <c r="B145">
        <v>15</v>
      </c>
    </row>
    <row r="146" spans="1:2">
      <c r="A146" s="10" t="str">
        <v>خلاط دوش فيتاس اسود افجيلار AVGILAR</v>
      </c>
      <c r="B146">
        <v>35</v>
      </c>
    </row>
    <row r="147" spans="1:2">
      <c r="A147" s="10" t="str">
        <v>خلاط دوش فيتاس تركيAVGILAR</v>
      </c>
      <c r="B147">
        <v>30</v>
      </c>
    </row>
    <row r="148" spans="1:2">
      <c r="A148" s="10" t="str">
        <v>خلاط دوش فيتاس غروهي صيني Z</v>
      </c>
      <c r="B148">
        <v>30</v>
      </c>
    </row>
    <row r="149" spans="1:2">
      <c r="A149" s="10" t="str">
        <v>خلاط دوش فيتاس غروهي يوروسمارت</v>
      </c>
      <c r="B149">
        <v>85</v>
      </c>
    </row>
    <row r="150" spans="1:2">
      <c r="A150" s="10" t="str">
        <v>خلاط دوش فيتاس مرخم</v>
      </c>
      <c r="B150">
        <v>15</v>
      </c>
    </row>
    <row r="151" spans="1:2">
      <c r="A151" s="10" t="str">
        <v>خلاط دوش فيتاس نحاس صيني</v>
      </c>
      <c r="B151">
        <v>30</v>
      </c>
    </row>
    <row r="152" spans="1:2">
      <c r="A152" s="10" t="str">
        <v>خلاط دوش كلاسيك تركي</v>
      </c>
      <c r="B152">
        <v>22</v>
      </c>
    </row>
    <row r="153" spans="1:2">
      <c r="A153" s="10" t="str">
        <v>خلاط شطافة فيتاس داملا DAMLA</v>
      </c>
      <c r="B153">
        <v>30</v>
      </c>
    </row>
    <row r="154" spans="1:2">
      <c r="A154" s="10" t="str">
        <v>خلاط مجلى حائط برم LCP</v>
      </c>
      <c r="B154">
        <v>14</v>
      </c>
    </row>
    <row r="155" spans="1:2">
      <c r="A155" s="10" t="str">
        <v>خلاط مجلى حائط برم بلاستيك</v>
      </c>
      <c r="B155">
        <v>8</v>
      </c>
    </row>
    <row r="156" spans="1:2">
      <c r="A156" s="10" t="str">
        <v>خلاط مجلى حائط برم توليدو TOLIDO 1011</v>
      </c>
      <c r="B156">
        <v>14</v>
      </c>
    </row>
    <row r="157" spans="1:2">
      <c r="A157" s="10" t="str">
        <v>خلاط مجلى حائط فيتاس غروهي صيني</v>
      </c>
      <c r="B157">
        <v>35</v>
      </c>
    </row>
    <row r="158" spans="1:2">
      <c r="A158" s="10" t="str">
        <v>خلاط مجلى حائط كلاسيك تركي</v>
      </c>
      <c r="B158">
        <v>18</v>
      </c>
    </row>
    <row r="159" spans="1:2">
      <c r="A159" s="10" t="str">
        <v>خلاط مجلى شك برم بلاستيك</v>
      </c>
      <c r="B159">
        <v>8</v>
      </c>
    </row>
    <row r="160" spans="1:2">
      <c r="A160" s="10" t="str">
        <v>خلاط مجلى شك فيتاس بلاستيك مرخم</v>
      </c>
      <c r="B160">
        <v>14</v>
      </c>
    </row>
    <row r="161" spans="1:2">
      <c r="A161" s="10" t="str">
        <v>خلاط مجلى شك فيتاس تركي</v>
      </c>
      <c r="B161">
        <v>30</v>
      </c>
    </row>
    <row r="162" spans="1:2">
      <c r="A162" s="10" t="str">
        <v>خلاط مجلى شك فيتاس غروهي يوروسمارت</v>
      </c>
      <c r="B162">
        <v>95</v>
      </c>
    </row>
    <row r="163" spans="1:2">
      <c r="A163" s="10" t="str">
        <v>خلاط مجلى شك فيتاس هانس تركي HANS</v>
      </c>
      <c r="B163">
        <v>25</v>
      </c>
    </row>
    <row r="164" spans="1:2">
      <c r="A164" s="10" t="str">
        <v>خلاط مجلى شك كلاسيك تركي</v>
      </c>
      <c r="B164">
        <v>18</v>
      </c>
    </row>
    <row r="165" spans="1:2">
      <c r="A165" s="10" t="str">
        <v>خلاط مغسلة برم بلاستيك</v>
      </c>
      <c r="B165">
        <v>8</v>
      </c>
    </row>
    <row r="166" spans="1:2">
      <c r="A166" s="10" t="str">
        <v>خلاط مغسلة ظاهر ثقبين برم توليدو TOLIDO 1015</v>
      </c>
      <c r="B166">
        <v>17</v>
      </c>
    </row>
    <row r="167" spans="1:2">
      <c r="A167" s="10" t="str">
        <v>خلاط مغسلة فيتاس بلاستيك</v>
      </c>
      <c r="B167">
        <v>15</v>
      </c>
    </row>
    <row r="168" spans="1:2">
      <c r="A168" s="10" t="str">
        <v>خلاط مغسلة فيتاس تركي</v>
      </c>
      <c r="B168">
        <v>30</v>
      </c>
    </row>
    <row r="169" spans="1:2">
      <c r="A169" s="10" t="str">
        <v>خلاط مغسلة فيتاس غروهي صيني</v>
      </c>
      <c r="B169">
        <v>35</v>
      </c>
    </row>
    <row r="170" spans="1:2">
      <c r="A170" s="10" t="str">
        <v>خلاط مغسلة فيتاس غروهي صيني Z</v>
      </c>
      <c r="B170">
        <v>30</v>
      </c>
    </row>
    <row r="171" spans="1:2">
      <c r="A171" s="10" t="str">
        <v>خلاط مغسلة فيتاس غروهي يوروسمارت</v>
      </c>
      <c r="B171">
        <v>75</v>
      </c>
    </row>
    <row r="172" spans="1:2">
      <c r="A172" s="10" t="str">
        <v>خلاط مغسلة فيتاس نحاس صيني</v>
      </c>
      <c r="B172">
        <v>25</v>
      </c>
    </row>
    <row r="173" spans="1:2">
      <c r="A173" s="10" t="str">
        <v>خلاط مغسلة كلاسيك تركي</v>
      </c>
      <c r="B173">
        <v>18</v>
      </c>
    </row>
    <row r="174" spans="1:2">
      <c r="A174" s="10" t="str">
        <v>خلاط مغسلة مونو برم تركي AVGILAR</v>
      </c>
      <c r="B174">
        <v>18</v>
      </c>
    </row>
    <row r="175" spans="1:2">
      <c r="A175" s="10" t="str">
        <v>خلاط مغسلة مونو برم توليدو TOLIDO 1013</v>
      </c>
      <c r="B175">
        <v>14</v>
      </c>
    </row>
    <row r="176" spans="1:2">
      <c r="A176" s="10" t="str">
        <v>خلاط مغسلة مونو برم ثابت AZR</v>
      </c>
      <c r="B176">
        <v>20</v>
      </c>
    </row>
    <row r="177" spans="1:2">
      <c r="A177" s="10" t="str">
        <v>داخون 5" 1.5 م</v>
      </c>
      <c r="B177">
        <v>6</v>
      </c>
    </row>
    <row r="178" spans="1:2">
      <c r="A178" s="10" t="str">
        <v>داخون 5" 3 م</v>
      </c>
      <c r="B178">
        <v>12</v>
      </c>
    </row>
    <row r="179" spans="1:2">
      <c r="A179" s="10" t="str">
        <v>راس صباب كبس 1 1/4 بافاريا BAVARYA</v>
      </c>
      <c r="B179">
        <v>4</v>
      </c>
    </row>
    <row r="180" spans="1:2">
      <c r="A180" s="10" t="str">
        <v>راس صباب كبس 1 1/4 ستانلس</v>
      </c>
      <c r="B180">
        <v>4</v>
      </c>
    </row>
    <row r="181" spans="1:2">
      <c r="A181" s="10" t="str">
        <v>رف 50سم ابيض</v>
      </c>
      <c r="B181">
        <v>11</v>
      </c>
    </row>
    <row r="182" spans="1:2">
      <c r="A182" s="10" t="str">
        <v>رف 60سم ابيض</v>
      </c>
      <c r="B182">
        <v>11</v>
      </c>
    </row>
    <row r="183" spans="1:2">
      <c r="A183" s="10" t="str">
        <v>رف بلاستيك 50 سم</v>
      </c>
      <c r="B183">
        <v>5.5</v>
      </c>
    </row>
    <row r="184" spans="1:2">
      <c r="A184" s="10" t="str">
        <v>ركور انتاية 20*1/2 زراعي</v>
      </c>
      <c r="B184">
        <v>0.75</v>
      </c>
    </row>
    <row r="185" spans="1:2">
      <c r="A185" s="10" t="str">
        <v>ركور انتاية 25*3/4 زراعي</v>
      </c>
      <c r="B185">
        <v>1</v>
      </c>
    </row>
    <row r="186" spans="1:2">
      <c r="A186" s="10" t="str">
        <v>ركور انتاية 32*1 زراعي</v>
      </c>
      <c r="B186">
        <v>2</v>
      </c>
    </row>
    <row r="187" spans="1:2">
      <c r="A187" s="10" t="str">
        <v>ركور انتاية 40*1 1/4 زراعي</v>
      </c>
      <c r="B187">
        <v>2.75</v>
      </c>
    </row>
    <row r="188" spans="1:2">
      <c r="A188" s="10" t="str">
        <v>ركور انتاية كروم 16*1/2</v>
      </c>
      <c r="B188">
        <v>1</v>
      </c>
    </row>
    <row r="189" spans="1:2">
      <c r="A189" s="10" t="str">
        <v>ركور انتاية كروم 18*1/2</v>
      </c>
      <c r="B189">
        <v>1.35</v>
      </c>
    </row>
    <row r="190" spans="1:2">
      <c r="A190" s="10" t="str">
        <v>ركور انتاية كروم 18*3/4</v>
      </c>
      <c r="B190">
        <v>1.75</v>
      </c>
    </row>
    <row r="191" spans="1:2">
      <c r="A191" s="10" t="str">
        <v>ركور انتاية كروم 20*1/2</v>
      </c>
      <c r="B191">
        <v>1.75</v>
      </c>
    </row>
    <row r="192" spans="1:2">
      <c r="A192" s="10" t="str">
        <v>ركور انتاية كروم 20*3/4</v>
      </c>
      <c r="B192">
        <v>2</v>
      </c>
    </row>
    <row r="193" spans="1:2">
      <c r="A193" s="10" t="str">
        <v>ركور دوبل 20*20 زراعي</v>
      </c>
      <c r="B193">
        <v>1.5</v>
      </c>
    </row>
    <row r="194" spans="1:2">
      <c r="A194" s="10" t="str">
        <v>ركور دوبل 25*25 زراعي</v>
      </c>
      <c r="B194">
        <v>2</v>
      </c>
    </row>
    <row r="195" spans="1:2">
      <c r="A195" s="10" t="str">
        <v>ركور دوبل 32*32 زراعي</v>
      </c>
      <c r="B195">
        <v>2.75</v>
      </c>
    </row>
    <row r="196" spans="1:2">
      <c r="A196" s="10" t="str">
        <v>ركور دوبل كروم 16*16</v>
      </c>
      <c r="B196">
        <v>1.65</v>
      </c>
    </row>
    <row r="197" spans="1:2">
      <c r="A197" s="10" t="str">
        <v>ركور دوبل كروم 18*18</v>
      </c>
      <c r="B197">
        <v>2.5</v>
      </c>
    </row>
    <row r="198" spans="1:2">
      <c r="A198" s="10" t="str">
        <v>ركور دوبل كروم 20*20</v>
      </c>
      <c r="B198">
        <v>2.75</v>
      </c>
    </row>
    <row r="199" spans="1:2">
      <c r="A199" s="10" t="str">
        <v>ركور ذكر 20*1/2 زراعي</v>
      </c>
      <c r="B199">
        <v>0.75</v>
      </c>
    </row>
    <row r="200" spans="1:2">
      <c r="A200" s="10" t="str">
        <v>ركور ذكر 25*3/4 زراعي</v>
      </c>
      <c r="B200">
        <v>1</v>
      </c>
    </row>
    <row r="201" spans="1:2">
      <c r="A201" s="10" t="str">
        <v>ركور ذكر 32*1 زراعي</v>
      </c>
      <c r="B201">
        <v>2</v>
      </c>
    </row>
    <row r="202" spans="1:2">
      <c r="A202" s="10" t="str">
        <v>ركور ذكر 40*1 1/4 زراعي</v>
      </c>
      <c r="B202">
        <v>2.75</v>
      </c>
    </row>
    <row r="203" spans="1:2">
      <c r="A203" s="10" t="str">
        <v>ركور ذكر كروم 16*1/2</v>
      </c>
      <c r="B203">
        <v>1</v>
      </c>
    </row>
    <row r="204" spans="1:2">
      <c r="A204" s="10" t="str">
        <v>ركور ذكر كروم 18*1/2</v>
      </c>
      <c r="B204">
        <v>1.35</v>
      </c>
    </row>
    <row r="205" spans="1:2">
      <c r="A205" s="10" t="str">
        <v>ركور ذكر كروم 18*3/4</v>
      </c>
      <c r="B205">
        <v>1.75</v>
      </c>
    </row>
    <row r="206" spans="1:2">
      <c r="A206" s="10" t="str">
        <v>ركور ذكر كروم 20*1/2</v>
      </c>
      <c r="B206">
        <v>1.65</v>
      </c>
    </row>
    <row r="207" spans="1:2">
      <c r="A207" s="10" t="str">
        <v>ركور ذكر كروم 20*3/4</v>
      </c>
      <c r="B207">
        <v>2</v>
      </c>
    </row>
    <row r="208" spans="1:2">
      <c r="A208" s="10" t="str">
        <v>رولو خرطوشة طرش 9"</v>
      </c>
      <c r="B208">
        <v>1.35</v>
      </c>
    </row>
    <row r="209" spans="1:2">
      <c r="A209" s="10" t="str">
        <v>ريغار 4*8 بلاستيك</v>
      </c>
      <c r="B209">
        <v>4</v>
      </c>
    </row>
    <row r="210" spans="1:2">
      <c r="A210" s="10" t="str">
        <v>سدة انتاية حديد مزيبق 1 1/2 HE</v>
      </c>
      <c r="B210">
        <v>1.5</v>
      </c>
    </row>
    <row r="211" spans="1:2">
      <c r="A211" s="10" t="str">
        <v>سدة انتاية حديد مزيبق 1 1/4 HE</v>
      </c>
      <c r="B211">
        <v>0.75</v>
      </c>
    </row>
    <row r="212" spans="1:2">
      <c r="A212" s="10" t="str">
        <v>سدة انتاية حديد مزيبق 1 HE</v>
      </c>
      <c r="B212">
        <v>0.5</v>
      </c>
    </row>
    <row r="213" spans="1:2">
      <c r="A213" s="10" t="str">
        <v>سدة انتاية حديد مزيبق 1/2 HE</v>
      </c>
      <c r="B213">
        <v>0.35</v>
      </c>
    </row>
    <row r="214" spans="1:2">
      <c r="A214" s="10" t="str">
        <v>سدة انتاية حديد مزيبق 3/4 HE</v>
      </c>
      <c r="B214">
        <v>0.5</v>
      </c>
    </row>
    <row r="215" spans="1:2">
      <c r="A215" s="10" t="str">
        <v>سدة بسن بلاستيك 2</v>
      </c>
      <c r="B215">
        <v>1.25</v>
      </c>
    </row>
    <row r="216" spans="1:2">
      <c r="A216" s="10" t="str">
        <v>سدة بسن بلاستيك 3</v>
      </c>
      <c r="B216">
        <v>1.5</v>
      </c>
    </row>
    <row r="217" spans="1:2">
      <c r="A217" s="10" t="str">
        <v>سدة بسن بلاستيك 4</v>
      </c>
      <c r="B217">
        <v>1.75</v>
      </c>
    </row>
    <row r="218" spans="1:2">
      <c r="A218" s="10" t="str">
        <v>سدة بسن بلاستيك بجوان تركي 75 ملم</v>
      </c>
      <c r="B218">
        <v>2.75</v>
      </c>
    </row>
    <row r="219" spans="1:2">
      <c r="A219" s="10" t="str">
        <v>سدة تلحيم 20 ملم اخضر تركي</v>
      </c>
      <c r="B219">
        <v>0.2</v>
      </c>
    </row>
    <row r="220" spans="1:2">
      <c r="A220" s="10" t="str">
        <v>سدة تلحيم 25 ملم اخضر تركي</v>
      </c>
      <c r="B220">
        <v>0.25</v>
      </c>
    </row>
    <row r="221" spans="1:2">
      <c r="A221" s="10" t="str">
        <v>سدة تلحيم 32 ملم اخضر تركي</v>
      </c>
      <c r="B221">
        <v>0.35</v>
      </c>
    </row>
    <row r="222" spans="1:2">
      <c r="A222" s="10" t="str">
        <v>سدة تلحيم 40 ملم اخضر تركي</v>
      </c>
      <c r="B222">
        <v>0.5</v>
      </c>
    </row>
    <row r="223" spans="1:2">
      <c r="A223" s="10" t="str">
        <v>سدة ذكر تلحيم 20 ملم ابيض تركي</v>
      </c>
      <c r="B223">
        <v>0.2</v>
      </c>
    </row>
    <row r="224" spans="1:2">
      <c r="A224" s="10" t="str">
        <v>سدة ذكر تلحيم 25 ملم ابيض تركي</v>
      </c>
      <c r="B224">
        <v>0.25</v>
      </c>
    </row>
    <row r="225" spans="1:2">
      <c r="A225" s="10" t="str">
        <v>سدة ذكر حديد مزيبق 1 1/2 HE</v>
      </c>
      <c r="B225">
        <v>1.5</v>
      </c>
    </row>
    <row r="226" spans="1:2">
      <c r="A226" s="10" t="str">
        <v>سدة ذكر حديد مزيبق 1 1/4 HE</v>
      </c>
      <c r="B226">
        <v>1</v>
      </c>
    </row>
    <row r="227" spans="1:2">
      <c r="A227" s="10" t="str">
        <v>سدة ذكر حديد مزيبق 1 HE</v>
      </c>
      <c r="B227">
        <v>0.75</v>
      </c>
    </row>
    <row r="228" spans="1:2">
      <c r="A228" s="10" t="str">
        <v>سدة ذكر حديد مزيبق 1/2 HE</v>
      </c>
      <c r="B228">
        <v>0.35</v>
      </c>
    </row>
    <row r="229" spans="1:2">
      <c r="A229" s="10" t="str">
        <v>سدة ذكر حديد مزيبق 2 HE</v>
      </c>
      <c r="B229">
        <v>2</v>
      </c>
    </row>
    <row r="230" spans="1:2">
      <c r="A230" s="10" t="str">
        <v>سدة ذكر حديد مزيبق 3/4 HE</v>
      </c>
      <c r="B230">
        <v>0.5</v>
      </c>
    </row>
    <row r="231" spans="1:2">
      <c r="A231" s="10" t="str">
        <v>سدة ريغار 5*8 بلاستيك</v>
      </c>
      <c r="B231">
        <v>2.5</v>
      </c>
    </row>
    <row r="232" spans="1:2">
      <c r="A232" s="10" t="str">
        <v>سدة طويل تلحيم 1/2 اخضر تركي</v>
      </c>
      <c r="B232">
        <v>0.35</v>
      </c>
    </row>
    <row r="233" spans="1:2">
      <c r="A233" s="10" t="str">
        <v>سكر انكستريه تلحيم 20 ملم اخضر تركي</v>
      </c>
      <c r="B233">
        <v>7</v>
      </c>
    </row>
    <row r="234" spans="1:2">
      <c r="A234" s="10" t="str">
        <v>سكر انكستريه تلحيم 25 ملم اخضر تركي</v>
      </c>
      <c r="B234">
        <v>8</v>
      </c>
    </row>
    <row r="235" spans="1:2">
      <c r="A235" s="10" t="str">
        <v>سكر انكستريه تلحيم 32 ملم اخضر تركي</v>
      </c>
      <c r="B235">
        <v>10</v>
      </c>
    </row>
    <row r="236" spans="1:2">
      <c r="A236" s="10" t="str">
        <v>سكر زاوية 1/2 ايطالي</v>
      </c>
      <c r="B236">
        <v>5.5</v>
      </c>
    </row>
    <row r="237" spans="1:2">
      <c r="A237" s="10" t="str">
        <v>سكر زاوية تركي 1/2</v>
      </c>
      <c r="B237">
        <v>2.5</v>
      </c>
    </row>
    <row r="238" spans="1:2">
      <c r="A238" s="10" t="str">
        <v>سكر غلة 1 جسم نحاس غلة نحاس المجد ALMAJD</v>
      </c>
      <c r="B238">
        <v>6.5</v>
      </c>
    </row>
    <row r="239" spans="1:2">
      <c r="A239" s="10" t="str">
        <v>سكر غلة 1/2 BSL</v>
      </c>
      <c r="B239">
        <v>2</v>
      </c>
    </row>
    <row r="240" spans="1:2">
      <c r="A240" s="10" t="str">
        <v>سكر غلة 1/2 جسم نحاس غلة نحاس المجد ALMAJD</v>
      </c>
      <c r="B240">
        <v>2.75</v>
      </c>
    </row>
    <row r="241" spans="1:2">
      <c r="A241" s="10" t="str">
        <v>سكر غلة 20*1/2 زراعي</v>
      </c>
      <c r="B241">
        <v>3</v>
      </c>
    </row>
    <row r="242" spans="1:2">
      <c r="A242" s="10" t="str">
        <v>سكر غلة 20*20 زراعي</v>
      </c>
      <c r="B242">
        <v>3</v>
      </c>
    </row>
    <row r="243" spans="1:2">
      <c r="A243" s="10" t="str">
        <v>سكر غلة 25*25 زراعي</v>
      </c>
      <c r="B243">
        <v>3.5</v>
      </c>
    </row>
    <row r="244" spans="1:2">
      <c r="A244" s="10" t="str">
        <v>سكر غلة 25*3/4 زراعي</v>
      </c>
      <c r="B244">
        <v>3.5</v>
      </c>
    </row>
    <row r="245" spans="1:2">
      <c r="A245" s="10" t="str">
        <v>سكر غلة 3/4 جسم نحاس غلة نحاس المجد ALMAJD</v>
      </c>
      <c r="B245">
        <v>4.5</v>
      </c>
    </row>
    <row r="246" spans="1:2">
      <c r="A246" s="10" t="str">
        <v>سكر غلة 32*1 زراعي</v>
      </c>
      <c r="B246">
        <v>7</v>
      </c>
    </row>
    <row r="247" spans="1:2">
      <c r="A247" s="10" t="str">
        <v>سكر غلة 32*32 زراعي</v>
      </c>
      <c r="B247">
        <v>7</v>
      </c>
    </row>
    <row r="248" spans="1:2">
      <c r="A248" s="10" t="str">
        <v>سكر غلة 40*40 زراعي</v>
      </c>
      <c r="B248">
        <v>8</v>
      </c>
    </row>
    <row r="249" spans="1:2">
      <c r="A249" s="10" t="str">
        <v>سكر غلة 50*50 زراعي</v>
      </c>
      <c r="B249">
        <v>13</v>
      </c>
    </row>
    <row r="250" spans="1:2">
      <c r="A250" s="10" t="str">
        <v>سكر غلة تلحيم 20 ملم ابيض تركي</v>
      </c>
      <c r="B250">
        <v>2.75</v>
      </c>
    </row>
    <row r="251" spans="1:2">
      <c r="A251" s="10" t="str">
        <v>سكر غلة تلحيم 20 ملم اخضر تركي</v>
      </c>
      <c r="B251">
        <v>2.75</v>
      </c>
    </row>
    <row r="252" spans="1:2">
      <c r="A252" s="10" t="str">
        <v>سكر غلة تلحيم 25 ملم ابيض تركي</v>
      </c>
      <c r="B252">
        <v>3.5</v>
      </c>
    </row>
    <row r="253" spans="1:2">
      <c r="A253" s="10" t="str">
        <v>سكر غلة تلحيم 25 ملم اخضر تركي</v>
      </c>
      <c r="B253">
        <v>3.5</v>
      </c>
    </row>
    <row r="254" spans="1:2">
      <c r="A254" s="10" t="str">
        <v>سكر غلة تلحيم 32 ملم اخضر تركي</v>
      </c>
      <c r="B254">
        <v>6.5</v>
      </c>
    </row>
    <row r="255" spans="1:2">
      <c r="A255" s="10" t="str">
        <v>سكر ميني 1/2</v>
      </c>
      <c r="B255">
        <v>2</v>
      </c>
    </row>
    <row r="256" spans="1:2">
      <c r="A256" s="10" t="str">
        <v>سيفون باركيه 2 بلاستيك</v>
      </c>
      <c r="B256">
        <v>2</v>
      </c>
    </row>
    <row r="257" spans="1:2">
      <c r="A257" s="10" t="str">
        <v>سيفون باركيه 3 بلاستيك</v>
      </c>
      <c r="B257">
        <v>3.5</v>
      </c>
    </row>
    <row r="258" spans="1:2">
      <c r="A258" s="10" t="str">
        <v>سيفون براندا 2 بلاستيك قصير</v>
      </c>
      <c r="B258">
        <v>2</v>
      </c>
    </row>
    <row r="259" spans="1:2">
      <c r="A259" s="10" t="str">
        <v>سيفون براندا 3 بلاستيك قصير</v>
      </c>
      <c r="B259">
        <v>2.75</v>
      </c>
    </row>
    <row r="260" spans="1:2">
      <c r="A260" s="10" t="str">
        <v>سيفون صليب 2*5 بلاستيك</v>
      </c>
      <c r="B260">
        <v>2.5</v>
      </c>
    </row>
    <row r="261" spans="1:2">
      <c r="A261" s="10" t="str">
        <v>سيفون صليب 3*4 بلاستيك</v>
      </c>
      <c r="B261">
        <v>3.5</v>
      </c>
    </row>
    <row r="262" spans="1:2">
      <c r="A262" s="10" t="str">
        <v>سيفون صليب 3*5 بلاستيك</v>
      </c>
      <c r="B262">
        <v>3.5</v>
      </c>
    </row>
    <row r="263" spans="1:2">
      <c r="A263" s="10" t="str">
        <v>سيليكون بدون اسيد</v>
      </c>
      <c r="B263">
        <v>2</v>
      </c>
    </row>
    <row r="264" spans="1:2">
      <c r="A264" s="10" t="str">
        <v>شريط بعزقة حديد مزيبق 1 1/2 HE</v>
      </c>
      <c r="B264">
        <v>1.5</v>
      </c>
    </row>
    <row r="265" spans="1:2">
      <c r="A265" s="10" t="str">
        <v>شريط بعزقة حديد مزيبق 1 1/4 HE</v>
      </c>
      <c r="B265">
        <v>1</v>
      </c>
    </row>
    <row r="266" spans="1:2">
      <c r="A266" s="10" t="str">
        <v>شريط بعزقة حديد مزيبق 1 HE</v>
      </c>
      <c r="B266">
        <v>0.75</v>
      </c>
    </row>
    <row r="267" spans="1:2">
      <c r="A267" s="10" t="str">
        <v>شريط بعزقة حديد مزيبق 1/2 HE</v>
      </c>
      <c r="B267">
        <v>0.35</v>
      </c>
    </row>
    <row r="268" spans="1:2">
      <c r="A268" s="10" t="str">
        <v>شريط بعزقة حديد مزيبق 3/4 HE</v>
      </c>
      <c r="B268">
        <v>0.65</v>
      </c>
    </row>
    <row r="269" spans="1:2">
      <c r="A269" s="10" t="str">
        <v>طرمبة ضغط مع غطاء COMET</v>
      </c>
      <c r="B269">
        <v>75</v>
      </c>
    </row>
    <row r="270" spans="1:2">
      <c r="A270" s="10" t="str">
        <v>شريط مخالف حديد مزيبق 1 1/2*2 HE</v>
      </c>
      <c r="B270">
        <v>2.5</v>
      </c>
    </row>
    <row r="271" spans="1:2">
      <c r="A271" s="10" t="str">
        <v>شريط مخالف حديد مزيبق 1 1/4*1 1/2 HE</v>
      </c>
      <c r="B271">
        <v>2</v>
      </c>
    </row>
    <row r="272" spans="1:2">
      <c r="A272" s="10" t="str">
        <v>شريط مخالف حديد مزيبق 1 1/4*2 HE</v>
      </c>
      <c r="B272">
        <v>2.5</v>
      </c>
    </row>
    <row r="273" spans="1:2">
      <c r="A273" s="10" t="str">
        <v>شريط مخالف حديد مزيبق 1*1 1/2 HE</v>
      </c>
      <c r="B273">
        <v>1.75</v>
      </c>
    </row>
    <row r="274" spans="1:2">
      <c r="A274" s="10" t="str">
        <v>شريط مخالف حديد مزيبق 1*1 1/4 HE</v>
      </c>
      <c r="B274">
        <v>1.5</v>
      </c>
    </row>
    <row r="275" spans="1:2">
      <c r="A275" s="10" t="str">
        <v>شريط مخالف حديد مزيبق 1*2 HE</v>
      </c>
      <c r="B275">
        <v>2.5</v>
      </c>
    </row>
    <row r="276" spans="1:2">
      <c r="A276" s="10" t="str">
        <v>شريط مخالف حديد مزيبق 1/2*1 HE</v>
      </c>
      <c r="B276">
        <v>0.75</v>
      </c>
    </row>
    <row r="277" spans="1:2">
      <c r="A277" s="10" t="str">
        <v>شريط مخالف حديد مزيبق 1/2*2 HE</v>
      </c>
      <c r="B277">
        <v>2.5</v>
      </c>
    </row>
    <row r="278" spans="1:2">
      <c r="A278" s="10" t="str">
        <v>شريط مخالف حديد مزيبق 1/2*3/4 HE</v>
      </c>
      <c r="B278">
        <v>0.5</v>
      </c>
    </row>
    <row r="279" spans="1:2">
      <c r="A279" s="10" t="str">
        <v>شريط مخالف حديد مزيبق 3/4*1 HE</v>
      </c>
      <c r="B279">
        <v>0.75</v>
      </c>
    </row>
    <row r="280" spans="1:2">
      <c r="A280" s="10" t="str">
        <v>شريط مخالف حديد مزيبق 3/4*2 HE</v>
      </c>
      <c r="B280">
        <v>2.5</v>
      </c>
    </row>
    <row r="281" spans="1:2">
      <c r="A281" s="10" t="str">
        <v>شريط مشكل حديد مزيبق 1 1/2 10سم HE</v>
      </c>
      <c r="B281">
        <v>1.75</v>
      </c>
    </row>
    <row r="282" spans="1:2">
      <c r="A282" s="10" t="str">
        <v>شريط مشكل حديد مزيبق 1 1/4 10سم HE</v>
      </c>
      <c r="B282">
        <v>1.35</v>
      </c>
    </row>
    <row r="283" spans="1:2">
      <c r="A283" s="10" t="str">
        <v>شريط مشكل حديد مزيبق 1 10سم HE</v>
      </c>
      <c r="B283">
        <v>1</v>
      </c>
    </row>
    <row r="284" spans="1:2">
      <c r="A284" s="10" t="str">
        <v>شريط مشكل حديد مزيبق 1/2 10سم HE</v>
      </c>
      <c r="B284">
        <v>0.65</v>
      </c>
    </row>
    <row r="285" spans="1:2">
      <c r="A285" s="10" t="str">
        <v>شريط مشكل حديد مزيبق 1/2 15سم HE</v>
      </c>
      <c r="B285">
        <v>1</v>
      </c>
    </row>
    <row r="286" spans="1:2">
      <c r="A286" s="10" t="str">
        <v>شريط مشكل حديد مزيبق 2 10سم HE</v>
      </c>
      <c r="B286">
        <v>2.5</v>
      </c>
    </row>
    <row r="287" spans="1:2">
      <c r="A287" s="10" t="str">
        <v>شريط مشكل حديد مزيبق 3/4 10سم HE</v>
      </c>
      <c r="B287">
        <v>0.75</v>
      </c>
    </row>
    <row r="288" spans="1:2">
      <c r="A288" s="10" t="str">
        <v>شريط مشكل حديد مزيبق 3/4 15سم HE</v>
      </c>
      <c r="B288">
        <v>1.5</v>
      </c>
    </row>
    <row r="289" spans="1:2">
      <c r="A289" s="10" t="str">
        <v>شريط مشكل حديد مزيبق 3/4 20سم HE</v>
      </c>
      <c r="B289">
        <v>2</v>
      </c>
    </row>
    <row r="290" spans="1:2">
      <c r="A290" s="10" t="str">
        <v>صباب كلابيه 1 1/2 ايطالي</v>
      </c>
      <c r="B290">
        <v>27</v>
      </c>
    </row>
    <row r="291" spans="1:2">
      <c r="A291" s="10" t="str">
        <v>صباب كلابيه 1 1/4 ايطالي</v>
      </c>
      <c r="B291">
        <v>17</v>
      </c>
    </row>
    <row r="292" spans="1:2">
      <c r="A292" s="10" t="str">
        <v>صندوق اطلنتس ابيض</v>
      </c>
      <c r="B292">
        <v>30</v>
      </c>
    </row>
    <row r="293" spans="1:2">
      <c r="A293" s="10" t="str">
        <v>كرسي مع صندوق زغرتا ابيض</v>
      </c>
      <c r="B293">
        <v>100</v>
      </c>
    </row>
    <row r="294" spans="1:2">
      <c r="A294" s="10" t="str">
        <v>طابة 1/2 عيتاني</v>
      </c>
      <c r="B294">
        <v>4.5</v>
      </c>
    </row>
    <row r="295" spans="1:2">
      <c r="A295" s="10" t="str">
        <v>طابة 1/2 فتحة واسعة عيتاني</v>
      </c>
      <c r="B295">
        <v>5</v>
      </c>
    </row>
    <row r="296" spans="1:2">
      <c r="A296" s="10" t="str">
        <v>طابة 3/4 عيتاني</v>
      </c>
      <c r="B296">
        <v>7.5</v>
      </c>
    </row>
    <row r="297" spans="1:2">
      <c r="A297" s="10" t="str">
        <v>طابة اتوماتيك صينية</v>
      </c>
      <c r="B297">
        <v>4</v>
      </c>
    </row>
    <row r="298" spans="1:2">
      <c r="A298" s="10" t="str">
        <v>طابة بلاستيك واقفة متحركة سن نحاس 1/2 بريفا BRIVA PA12</v>
      </c>
      <c r="B298">
        <v>7</v>
      </c>
    </row>
    <row r="299" spans="1:2">
      <c r="A299" s="10" t="str">
        <v>طابة بلاستيك واقفة متحركة سن نحاس 3/8 بريفا BRIVA PA38</v>
      </c>
      <c r="B299">
        <v>7</v>
      </c>
    </row>
    <row r="300" spans="1:2">
      <c r="A300" s="10" t="str">
        <v>طابة جنب 3/8 عيتاني</v>
      </c>
      <c r="B300">
        <v>6.5</v>
      </c>
    </row>
    <row r="301" spans="1:2">
      <c r="A301" s="10" t="str">
        <v>طابة صندوق جنب 3/8 تركي هاكرسن HAKERSAN</v>
      </c>
      <c r="B301">
        <v>4</v>
      </c>
    </row>
    <row r="302" spans="1:2">
      <c r="A302" s="10" t="str">
        <v>طابة واقفة اماراتية 1/2</v>
      </c>
      <c r="B302">
        <v>4.5</v>
      </c>
    </row>
    <row r="303" spans="1:2">
      <c r="A303" s="10" t="str">
        <v>طاسة دوش بلاستيك ابيض</v>
      </c>
      <c r="B303">
        <v>1</v>
      </c>
    </row>
    <row r="304" spans="1:2">
      <c r="A304" s="10" t="str">
        <v>طقم ارجل شاسيه خزان غروهي</v>
      </c>
      <c r="B304">
        <v>10</v>
      </c>
    </row>
    <row r="305" spans="1:2">
      <c r="A305" s="10" t="str">
        <v>ظهر جمل تلحيم 20 ملم ابيض تركي</v>
      </c>
      <c r="B305">
        <v>0.75</v>
      </c>
    </row>
    <row r="306" spans="1:2">
      <c r="A306" s="10" t="str">
        <v>ظهر جمل تلحيم 20 ملم اخضر تركي</v>
      </c>
      <c r="B306">
        <v>0.75</v>
      </c>
    </row>
    <row r="307" spans="1:2">
      <c r="A307" s="10" t="str">
        <v>ظهر جمل تلحيم 25 ملم ابيض تركي</v>
      </c>
      <c r="B307">
        <v>1</v>
      </c>
    </row>
    <row r="308" spans="1:2">
      <c r="A308" s="10" t="str">
        <v>ظهر جمل تلحيم 25 ملم اخضر تركي</v>
      </c>
      <c r="B308">
        <v>1</v>
      </c>
    </row>
    <row r="309" spans="1:2">
      <c r="A309" s="10" t="str">
        <v>ظهر جمل قصير تلحيم 20 ملم ابيض تركي</v>
      </c>
      <c r="B309">
        <v>0.75</v>
      </c>
    </row>
    <row r="310" spans="1:2">
      <c r="A310" s="10" t="str">
        <v>ظهر جمل قصير تلحيم 20 ملم اخضر تركي</v>
      </c>
      <c r="B310">
        <v>0.75</v>
      </c>
    </row>
    <row r="311" spans="1:2">
      <c r="A311" s="10" t="str">
        <v>ظهر جمل قصير تلحيم 25 ملم ابيض تركي</v>
      </c>
      <c r="B311">
        <v>1</v>
      </c>
    </row>
    <row r="312" spans="1:2">
      <c r="A312" s="10" t="str">
        <v>ظهر جمل قصير تلحيم 25 ملم اخضر تركي</v>
      </c>
      <c r="B312">
        <v>1</v>
      </c>
    </row>
    <row r="313" spans="1:2">
      <c r="A313" s="10" t="str">
        <v>عامود دوش نحاس</v>
      </c>
      <c r="B313">
        <v>9</v>
      </c>
    </row>
    <row r="314" spans="1:2">
      <c r="A314" s="10" t="str">
        <v>عامود صيني ابيض</v>
      </c>
      <c r="B314">
        <v>15</v>
      </c>
    </row>
    <row r="315" spans="1:2">
      <c r="A315" s="10" t="str">
        <v>عدة صندوق سحب من فوق عيتاني نحاس</v>
      </c>
      <c r="B315">
        <v>15</v>
      </c>
    </row>
    <row r="316" spans="1:2">
      <c r="A316" s="10" t="str">
        <v>عدة صندوق كبس تركي هاكرسن HAKERSAN</v>
      </c>
      <c r="B316">
        <v>7</v>
      </c>
    </row>
    <row r="317" spans="1:2">
      <c r="A317" s="10" t="str">
        <v>عدة صندوق كبس صيني</v>
      </c>
      <c r="B317">
        <v>6</v>
      </c>
    </row>
    <row r="318" spans="1:2">
      <c r="A318" s="10" t="str">
        <v>عدة صندوق كبس عيتاني</v>
      </c>
      <c r="B318">
        <v>14</v>
      </c>
    </row>
    <row r="319" spans="1:2">
      <c r="A319" s="10" t="str">
        <v>عدة صندوق نفخ ايطالي ترمولادا TERMOLADA</v>
      </c>
      <c r="B319">
        <v>18</v>
      </c>
    </row>
    <row r="320" spans="1:2">
      <c r="A320" s="10" t="str">
        <v>عنق خلاط مجلى حائط من فوق</v>
      </c>
      <c r="B320">
        <v>1.5</v>
      </c>
    </row>
    <row r="321" spans="1:2">
      <c r="A321" s="10" t="str">
        <v>عنق خلاط مغسلة برم</v>
      </c>
      <c r="B321">
        <v>1.5</v>
      </c>
    </row>
    <row r="322" spans="1:2">
      <c r="A322" s="10" t="str">
        <v>غالون نفط</v>
      </c>
      <c r="B322">
        <v>3.5</v>
      </c>
    </row>
    <row r="323" spans="1:2">
      <c r="A323" s="10" t="str">
        <v>غطاء زغرتا ابيض بلاستيك</v>
      </c>
      <c r="B323">
        <v>9</v>
      </c>
    </row>
    <row r="324" spans="1:2">
      <c r="A324" s="10" t="str">
        <v>غطاء زغرتا ازرق بلاستيك</v>
      </c>
      <c r="B324">
        <v>10</v>
      </c>
    </row>
    <row r="325" spans="1:2">
      <c r="A325" s="10" t="str">
        <v>غطاء زغرتا باج بلاستيك</v>
      </c>
      <c r="B325">
        <v>10</v>
      </c>
    </row>
    <row r="326" spans="1:2">
      <c r="A326" s="10" t="str">
        <v>غطاء زغرتا زيتوني بلاستيك</v>
      </c>
      <c r="B326">
        <v>10</v>
      </c>
    </row>
    <row r="327" spans="1:2">
      <c r="A327" s="10" t="str">
        <v>غطاء زغرتا عاج بلاستيك</v>
      </c>
      <c r="B327">
        <v>10</v>
      </c>
    </row>
    <row r="328" spans="1:2">
      <c r="A328" s="10" t="str">
        <v>غطاء غاردينيا ابيض بلاستيك</v>
      </c>
      <c r="B328">
        <v>13</v>
      </c>
    </row>
    <row r="329" spans="1:2">
      <c r="A329" s="10" t="str">
        <v>غطاء غاردينيا عاج بلاستيك</v>
      </c>
      <c r="B329">
        <v>15</v>
      </c>
    </row>
    <row r="330" spans="1:2">
      <c r="A330" s="10" t="str">
        <v>غطاء فينيسيا باج بلاستيك</v>
      </c>
      <c r="B330">
        <v>9</v>
      </c>
    </row>
    <row r="331" spans="1:2">
      <c r="A331" s="10" t="str">
        <v>غطاء فينيسيا صيدون ابيض بلاستيك</v>
      </c>
      <c r="B331">
        <v>8</v>
      </c>
    </row>
    <row r="332" spans="1:2">
      <c r="A332" s="10" t="str">
        <v>غطاء فينيسيا صيدون ازرق بلاستيك</v>
      </c>
      <c r="B332">
        <v>9</v>
      </c>
    </row>
    <row r="333" spans="1:2">
      <c r="A333" s="10" t="str">
        <v>غطاء فينيسيا صيدون رمادي بلاستيك</v>
      </c>
      <c r="B333">
        <v>9</v>
      </c>
    </row>
    <row r="334" spans="1:2">
      <c r="A334" s="10" t="str">
        <v>غطاء فينيسيا صيدون زهر بلاستيك</v>
      </c>
      <c r="B334">
        <v>9</v>
      </c>
    </row>
    <row r="335" spans="1:2">
      <c r="A335" s="10" t="str">
        <v>غطاء فينيسيا صيدون عاج بلاستيك</v>
      </c>
      <c r="B335">
        <v>9</v>
      </c>
    </row>
    <row r="336" spans="1:2">
      <c r="A336" s="10" t="str">
        <v>غطاء كرسي هيدروليك تركي</v>
      </c>
      <c r="B336">
        <v>8</v>
      </c>
    </row>
    <row r="337" spans="1:2">
      <c r="A337" s="10" t="str">
        <v>غطاء مصفاية 15*15 AZ</v>
      </c>
      <c r="B337">
        <v>4</v>
      </c>
    </row>
    <row r="338" spans="1:2">
      <c r="A338" s="10" t="str">
        <v>غطاء مصفاية 15*15 بافاريا BAVARYA 201</v>
      </c>
      <c r="B338">
        <v>3</v>
      </c>
    </row>
    <row r="339" spans="1:2">
      <c r="A339" s="10" t="str">
        <v>غطاء مصفاية 15*15 برونزو BRONZO</v>
      </c>
      <c r="B339">
        <v>5</v>
      </c>
    </row>
    <row r="340" spans="1:2">
      <c r="A340" s="10" t="str">
        <v>غطاء مصفاية 20*20 برونزو BRONZO</v>
      </c>
      <c r="B340">
        <v>8</v>
      </c>
    </row>
    <row r="341" spans="1:2">
      <c r="A341" s="10" t="str">
        <v>غطاء مصفاية بلاستيك ابيض 10*10</v>
      </c>
      <c r="B341">
        <v>2.5</v>
      </c>
    </row>
    <row r="342" spans="1:2">
      <c r="A342" s="10" t="str">
        <v>غطاء مصفاية بلاستيك رمادي 10*10</v>
      </c>
      <c r="B342">
        <v>2.5</v>
      </c>
    </row>
    <row r="343" spans="1:2">
      <c r="A343" s="10" t="str">
        <v>غطاء مصفاية بلاطة 15*15 برونزو BRONZO</v>
      </c>
      <c r="B343">
        <v>9</v>
      </c>
    </row>
    <row r="344" spans="1:2">
      <c r="A344" s="10" t="str">
        <v>فلتر مفرد 10 انش 3/4 ايطالي اطلس ATLAS</v>
      </c>
      <c r="B344">
        <v>15</v>
      </c>
    </row>
    <row r="345" spans="1:2">
      <c r="A345" s="10" t="str">
        <v>قازان 50 لتر تيرمو TERMO</v>
      </c>
      <c r="B345">
        <v>65</v>
      </c>
    </row>
    <row r="346" spans="1:2">
      <c r="A346" s="10" t="str">
        <v>قازان 80 لتر تيرمو TERMO</v>
      </c>
      <c r="B346">
        <v>75</v>
      </c>
    </row>
    <row r="347" spans="1:2">
      <c r="A347" s="10" t="str">
        <v>قازان غاز 10 لتر ابيض اوزالو OZALLO</v>
      </c>
      <c r="B347">
        <v>80</v>
      </c>
    </row>
    <row r="348" spans="1:2">
      <c r="A348" s="10" t="str">
        <v>قازان فيلوكس 100 لتر</v>
      </c>
      <c r="B348">
        <v>115</v>
      </c>
    </row>
    <row r="349" spans="1:2">
      <c r="A349" s="10" t="str">
        <v>قازان فيلوكس 50 لتر</v>
      </c>
      <c r="B349">
        <v>85</v>
      </c>
    </row>
    <row r="350" spans="1:2">
      <c r="A350" s="10" t="str">
        <v>قازان فيلوكس 80 لتر</v>
      </c>
      <c r="B350">
        <v>105</v>
      </c>
    </row>
    <row r="351" spans="1:2">
      <c r="A351" s="10" t="str">
        <v>قسطل بلاستيك 1 1/2</v>
      </c>
      <c r="B351">
        <v>7.5</v>
      </c>
    </row>
    <row r="352" spans="1:2">
      <c r="A352" s="10" t="str">
        <v>قسطل بلاستيك 1 1/4</v>
      </c>
      <c r="B352">
        <v>7</v>
      </c>
    </row>
    <row r="353" spans="1:2">
      <c r="A353" s="10" t="str">
        <v>قسطل بلاستيك 1 كوكو KOKO</v>
      </c>
      <c r="B353">
        <v>7</v>
      </c>
    </row>
    <row r="354" spans="1:2">
      <c r="A354" s="10" t="str">
        <v>قسطل بلاستيك 2</v>
      </c>
      <c r="B354">
        <v>9</v>
      </c>
    </row>
    <row r="355" spans="1:2">
      <c r="A355" s="10" t="str">
        <v>قسطل بلاستيك 3</v>
      </c>
      <c r="B355">
        <v>11</v>
      </c>
    </row>
    <row r="356" spans="1:2">
      <c r="A356" s="10" t="str">
        <v>قسطل بلاستيك 3/4 كوكو KOKO</v>
      </c>
      <c r="B356">
        <v>6.5</v>
      </c>
    </row>
    <row r="357" spans="1:2">
      <c r="A357" s="10" t="str">
        <v>قسطل بلاستيك 4</v>
      </c>
      <c r="B357">
        <v>15</v>
      </c>
    </row>
    <row r="358" spans="1:2">
      <c r="A358" s="10" t="str">
        <v>قسطل بلاستيك اوروبي 50 كوكو KOKO</v>
      </c>
      <c r="B358">
        <v>12</v>
      </c>
    </row>
    <row r="359" spans="1:2">
      <c r="A359" s="10" t="str">
        <v>قسطل بلاستيك بجوان تركي 110 ملم</v>
      </c>
      <c r="B359">
        <v>24</v>
      </c>
    </row>
    <row r="360" spans="1:2">
      <c r="A360" s="10" t="str">
        <v>قسطل بلاستيك بجوان تركي 50 ملم</v>
      </c>
      <c r="B360">
        <v>12</v>
      </c>
    </row>
    <row r="361" spans="1:2">
      <c r="A361" s="10" t="str">
        <v>قسطل بلاستيك بجوان تركي 75 ملم</v>
      </c>
      <c r="B361">
        <v>18</v>
      </c>
    </row>
    <row r="362" spans="1:2">
      <c r="A362" s="10" t="str">
        <v>قسطل تلحيم 20 ملم ابيض تركي</v>
      </c>
      <c r="B362">
        <v>2.75</v>
      </c>
    </row>
    <row r="363" spans="1:2">
      <c r="A363" s="10" t="str">
        <v>قسطل تلحيم 20 ملم اخضر تركي</v>
      </c>
      <c r="B363">
        <v>2.75</v>
      </c>
    </row>
    <row r="364" spans="1:2">
      <c r="A364" s="10" t="str">
        <v>قسطل تلحيم 25 ملم اخضر تركي</v>
      </c>
      <c r="B364">
        <v>3.5</v>
      </c>
    </row>
    <row r="365" spans="1:2">
      <c r="A365" s="10" t="str">
        <v>قسطل تلحيم 25 ملم اسود تركي</v>
      </c>
      <c r="B365">
        <v>4</v>
      </c>
    </row>
    <row r="366" spans="1:2">
      <c r="A366" s="10" t="str">
        <v>قسطل تلحيم 32 ملم اخضر تركي</v>
      </c>
      <c r="B366">
        <v>5.5</v>
      </c>
    </row>
    <row r="367" spans="1:2">
      <c r="A367" s="10" t="str">
        <v>قسطل تلحيم 40 ملم اخضر تركي</v>
      </c>
      <c r="B367">
        <v>9</v>
      </c>
    </row>
    <row r="368" spans="1:2">
      <c r="A368" s="10" t="str">
        <v>قسطل تلحيم 50 ملم اخضر تركي</v>
      </c>
      <c r="B368">
        <v>13</v>
      </c>
    </row>
    <row r="369" spans="1:2">
      <c r="A369" s="10" t="str">
        <v>قسطل تلحيم 63 ملم اخضر تركي</v>
      </c>
      <c r="B369">
        <v>23</v>
      </c>
    </row>
    <row r="370" spans="1:2">
      <c r="A370" s="10" t="str">
        <v>قطع وصل انتاية تلحيم 20*1/2 اخضر تركي</v>
      </c>
      <c r="B370">
        <v>2.75</v>
      </c>
    </row>
    <row r="371" spans="1:2">
      <c r="A371" s="10" t="str">
        <v>قطع وصل انتاية تلحيم 25*3/4 اخضر تركي</v>
      </c>
      <c r="B371">
        <v>3.5</v>
      </c>
    </row>
    <row r="372" spans="1:2">
      <c r="A372" s="10" t="str">
        <v>قطع وصل انتاية تلحيم 32*1 اخضر تركي</v>
      </c>
      <c r="B372">
        <v>4.5</v>
      </c>
    </row>
    <row r="373" spans="1:2">
      <c r="A373" s="10" t="str">
        <v>قطع وصل انتاية تلحيم 40*1 1/4 اخضر تركي</v>
      </c>
      <c r="B373">
        <v>9</v>
      </c>
    </row>
    <row r="374" spans="1:2">
      <c r="A374" s="10" t="str">
        <v>قطع وصل حديدمزيبق2 HE</v>
      </c>
      <c r="B374">
        <v>5.5</v>
      </c>
    </row>
    <row r="375" spans="1:2">
      <c r="A375" s="10" t="str">
        <v>قطع وصل حديد مزيبق 3/4 HE</v>
      </c>
      <c r="B375">
        <v>2</v>
      </c>
    </row>
    <row r="376" spans="1:2">
      <c r="A376" s="10" t="str">
        <v>قطع وصل ذكر تلحيم 20*1/2 اخضر تركي</v>
      </c>
      <c r="B376">
        <v>2.75</v>
      </c>
    </row>
    <row r="377" spans="1:2">
      <c r="A377" s="10" t="str">
        <v>قطع وصل ذكر تلحيم 25*3/4 اخضر تركي</v>
      </c>
      <c r="B377">
        <v>3.5</v>
      </c>
    </row>
    <row r="378" spans="1:2">
      <c r="A378" s="10" t="str">
        <v>قطع وصل ذكر تلحيم 32*1 اخضر تركي</v>
      </c>
      <c r="B378">
        <v>4.5</v>
      </c>
    </row>
    <row r="379" spans="1:2">
      <c r="A379" s="10" t="str">
        <v>قفل موتسيك U</v>
      </c>
      <c r="B379">
        <v>6</v>
      </c>
    </row>
    <row r="380" spans="1:2">
      <c r="A380" s="10" t="str">
        <v>قلب خلاط فيتاس تركي</v>
      </c>
      <c r="B380">
        <v>3</v>
      </c>
    </row>
    <row r="381" spans="1:2">
      <c r="A381" s="10" t="str">
        <v>قلب مع مسكة تركي</v>
      </c>
      <c r="B381">
        <v>2.5</v>
      </c>
    </row>
    <row r="382" spans="1:2">
      <c r="A382" s="10" t="str">
        <v>قلب مع مسكة تركي بريفا PRIVA</v>
      </c>
      <c r="B382">
        <v>2.5</v>
      </c>
    </row>
    <row r="383" spans="1:2">
      <c r="A383" s="10" t="str">
        <v>قنينة ماء سخنة 100 لتر 2.5 ملم</v>
      </c>
      <c r="B383">
        <v>40</v>
      </c>
    </row>
    <row r="384" spans="1:2">
      <c r="A384" s="10" t="str">
        <v>قنينة ماء سخنة 100 لتر 3 ملم</v>
      </c>
      <c r="B384">
        <v>45</v>
      </c>
    </row>
    <row r="385" spans="1:2">
      <c r="A385" s="10" t="str">
        <v>قنينة ماء سخنة 100 لتر 4 ملم</v>
      </c>
      <c r="B385">
        <v>65</v>
      </c>
    </row>
    <row r="386" spans="1:2">
      <c r="A386" s="10" t="str">
        <v>قنينة ماء سخنة 150 لتر 3 ملم</v>
      </c>
      <c r="B386">
        <v>65</v>
      </c>
    </row>
    <row r="387" spans="1:2">
      <c r="A387" s="10" t="str">
        <v>قنينة ماء سخنة 150 لتر 4 ملم</v>
      </c>
      <c r="B387">
        <v>95</v>
      </c>
    </row>
    <row r="388" spans="1:2">
      <c r="A388" s="10" t="str">
        <v>قنينة ماء سخنة 200 لتر 3 ملم</v>
      </c>
      <c r="B388">
        <v>100</v>
      </c>
    </row>
    <row r="389" spans="1:2">
      <c r="A389" s="10" t="str">
        <v>قنينة ماء سخنة 200 لتر 4 ملم</v>
      </c>
      <c r="B389">
        <v>120</v>
      </c>
    </row>
    <row r="390" spans="1:2">
      <c r="A390" s="10" t="str">
        <v>قنينة ماء سخنة 50 لتر 3 ملم</v>
      </c>
      <c r="B390">
        <v>40</v>
      </c>
    </row>
    <row r="391" spans="1:2">
      <c r="A391" s="10" t="str">
        <v>قنينة ماء سخنة 50 لتر 4 ملم</v>
      </c>
      <c r="B391">
        <v>55</v>
      </c>
    </row>
    <row r="392" spans="1:2">
      <c r="A392" s="10" t="str">
        <v>قنينة ماي نار POWER DARIN</v>
      </c>
      <c r="B392">
        <v>2</v>
      </c>
    </row>
    <row r="393" spans="1:2">
      <c r="A393" s="10" t="str">
        <v>قنينة نفط</v>
      </c>
      <c r="B393">
        <v>2</v>
      </c>
    </row>
    <row r="394" spans="1:2">
      <c r="A394" s="10" t="str">
        <v>كتيت ناعم</v>
      </c>
      <c r="B394">
        <v>1</v>
      </c>
    </row>
    <row r="395" spans="1:2">
      <c r="A395" s="10" t="str">
        <v>كرتون</v>
      </c>
      <c r="B395">
        <v>3.5</v>
      </c>
    </row>
    <row r="396" spans="1:2">
      <c r="A396" s="10" t="str">
        <v>كرسي 040 ابيض</v>
      </c>
      <c r="B396">
        <v>80</v>
      </c>
    </row>
    <row r="397" spans="1:2">
      <c r="A397" s="10" t="str">
        <v>كرسي 2020 ابيض</v>
      </c>
      <c r="B397">
        <v>60</v>
      </c>
    </row>
    <row r="398" spans="1:2">
      <c r="A398" s="10" t="str">
        <v>كرسي اطلنتس ابيض</v>
      </c>
      <c r="B398">
        <v>55</v>
      </c>
    </row>
    <row r="399" spans="1:2">
      <c r="A399" s="10" t="str">
        <v>كرسي بدعسة ابيض هندي</v>
      </c>
      <c r="B399">
        <v>10</v>
      </c>
    </row>
    <row r="400" spans="1:2">
      <c r="A400" s="10" t="str">
        <v>كرسي بطة هندي</v>
      </c>
      <c r="B400">
        <v>17</v>
      </c>
    </row>
    <row r="401" spans="1:2">
      <c r="A401" s="10" t="str">
        <v>كرسي تعليق 040 ابيض</v>
      </c>
      <c r="B401">
        <v>75</v>
      </c>
    </row>
    <row r="402" spans="1:2">
      <c r="A402" s="10" t="str">
        <v>كرسي تعليق مبروم ابيض ESPANIA</v>
      </c>
      <c r="B402">
        <v>85</v>
      </c>
    </row>
    <row r="403" spans="1:2">
      <c r="A403" s="10" t="str">
        <v>كليبس ابيض 20 ملم تركي</v>
      </c>
      <c r="B403">
        <v>0.2</v>
      </c>
    </row>
    <row r="404" spans="1:2">
      <c r="A404" s="10" t="str">
        <v>كليبس ابيض 25 ملم تركي</v>
      </c>
      <c r="B404">
        <v>0.25</v>
      </c>
    </row>
    <row r="405" spans="1:2">
      <c r="A405" s="10" t="str">
        <v>كليبس اخضر 20 ملم تركي</v>
      </c>
      <c r="B405">
        <v>0.2</v>
      </c>
    </row>
    <row r="406" spans="1:2">
      <c r="A406" s="10" t="str">
        <v>كليبس اخضر 25 ملم تركي</v>
      </c>
      <c r="B406">
        <v>0.25</v>
      </c>
    </row>
    <row r="407" spans="1:2">
      <c r="A407" s="10" t="str">
        <v>كليبس اخضر 32 ملم تركي</v>
      </c>
      <c r="B407">
        <v>0.5</v>
      </c>
    </row>
    <row r="408" spans="1:2">
      <c r="A408" s="10" t="str">
        <v>كليبس بلاط 2 ملم</v>
      </c>
      <c r="B408">
        <v>2.5</v>
      </c>
    </row>
    <row r="409" spans="1:2">
      <c r="A409" s="10" t="str">
        <v>كليبس رباط 16 ملم الحبه</v>
      </c>
      <c r="B409">
        <v>0.15</v>
      </c>
    </row>
    <row r="410" spans="1:2">
      <c r="A410" s="10" t="str">
        <v>كلينر بلاستيك 1/2 كيلو امريكي</v>
      </c>
      <c r="B410">
        <v>5.5</v>
      </c>
    </row>
    <row r="411" spans="1:2">
      <c r="A411" s="10" t="str">
        <v>كوع انتاية كروم 16*1/2</v>
      </c>
      <c r="B411">
        <v>1.65</v>
      </c>
    </row>
    <row r="412" spans="1:2">
      <c r="A412" s="10" t="str">
        <v>كوع انتاية كروم 18*1/2</v>
      </c>
      <c r="B412">
        <v>2</v>
      </c>
    </row>
    <row r="413" spans="1:2">
      <c r="A413" s="10" t="str">
        <v>كوع بسن انتاية 20*1/2 زراعي</v>
      </c>
      <c r="B413">
        <v>1.5</v>
      </c>
    </row>
    <row r="414" spans="1:2">
      <c r="A414" s="10" t="str">
        <v>كوع بسن انتاية 25*3/4 زراعي</v>
      </c>
      <c r="B414">
        <v>2</v>
      </c>
    </row>
    <row r="415" spans="1:2">
      <c r="A415" s="10" t="str">
        <v>كوع بسن انتاية 32*1 زراعي</v>
      </c>
      <c r="B415">
        <v>2.75</v>
      </c>
    </row>
    <row r="416" spans="1:2">
      <c r="A416" s="10" t="str">
        <v>كوع بسن انتاية تلحيم 20*1/2 ابيض تركي</v>
      </c>
      <c r="B416">
        <v>1</v>
      </c>
    </row>
    <row r="417" spans="1:2">
      <c r="A417" s="10" t="str">
        <v>كوع بسن انتاية تلحيم 20*1/2 اخضر تركي</v>
      </c>
      <c r="B417">
        <v>1</v>
      </c>
    </row>
    <row r="418" spans="1:2">
      <c r="A418" s="10" t="str">
        <v>كوع بسن انتاية تلحيم 25*1/2 ابيض تركي</v>
      </c>
      <c r="B418">
        <v>1</v>
      </c>
    </row>
    <row r="419" spans="1:2">
      <c r="A419" s="10" t="str">
        <v>كوع بسن انتاية تلحيم 25*1/2 اخضر تركي</v>
      </c>
      <c r="B419">
        <v>1</v>
      </c>
    </row>
    <row r="420" spans="1:2">
      <c r="A420" s="10" t="str">
        <v>كوع بسن انتاية تلحيم 25*3/4 ابيض تركي</v>
      </c>
      <c r="B420">
        <v>1.75</v>
      </c>
    </row>
    <row r="421" spans="1:2">
      <c r="A421" s="10" t="str">
        <v>كوع بسن انتاية تلحيم 25*3/4 اخضر تركي</v>
      </c>
      <c r="B421">
        <v>1.75</v>
      </c>
    </row>
    <row r="422" spans="1:2">
      <c r="A422" s="10" t="str">
        <v>كوع بسن انتاية تلحيم 32*1 اخضر تركي</v>
      </c>
      <c r="B422">
        <v>3</v>
      </c>
    </row>
    <row r="423" spans="1:2">
      <c r="A423" s="10" t="str">
        <v>كوع بسن انتاية ثابت 20*1/2 زراعي</v>
      </c>
      <c r="B423">
        <v>1.5</v>
      </c>
    </row>
    <row r="424" spans="1:2">
      <c r="A424" s="10" t="str">
        <v>كوع بسن انتاية ثابت 25*3/4 زراعي</v>
      </c>
      <c r="B424">
        <v>2</v>
      </c>
    </row>
    <row r="425" spans="1:2">
      <c r="A425" s="10" t="str">
        <v>كوع بسن انتاية ثابت تلحيم 20*1/2 ابيض تركي</v>
      </c>
      <c r="B425">
        <v>1.35</v>
      </c>
    </row>
    <row r="426" spans="1:2">
      <c r="A426" s="10" t="str">
        <v>كوع بسن انتاية ثابت تلحيم 20*1/2 اخضر تركي</v>
      </c>
      <c r="B426">
        <v>1.35</v>
      </c>
    </row>
    <row r="427" spans="1:2">
      <c r="A427" s="10" t="str">
        <v>كوع بسن انتاية ثابت تلحيم 25*1/2 ابيض تركي</v>
      </c>
      <c r="B427">
        <v>1.5</v>
      </c>
    </row>
    <row r="428" spans="1:2">
      <c r="A428" s="10" t="str">
        <v>كوع بسن انتاية ثابت تلحيم 25*1/2 اخضر تركي</v>
      </c>
      <c r="B428">
        <v>1.5</v>
      </c>
    </row>
    <row r="429" spans="1:2">
      <c r="A429" s="10" t="str">
        <v>كوع ثابت كروم 16*1/2</v>
      </c>
      <c r="B429">
        <v>1.65</v>
      </c>
    </row>
    <row r="430" spans="1:2">
      <c r="A430" s="10" t="str">
        <v>كوع ثابت كروم 18*1/2</v>
      </c>
      <c r="B430">
        <v>2.5</v>
      </c>
    </row>
    <row r="431" spans="1:2">
      <c r="A431" s="10" t="str">
        <v>كوع ثابت كروم 20*1/2</v>
      </c>
      <c r="B431">
        <v>3</v>
      </c>
    </row>
    <row r="432" spans="1:2">
      <c r="A432" s="10" t="str">
        <v>كوع حديد مزيبق 1 HE</v>
      </c>
      <c r="B432">
        <v>1</v>
      </c>
    </row>
    <row r="433" spans="1:2">
      <c r="A433" s="10" t="str">
        <v>كوع حديد مزيبق 1/2 HE</v>
      </c>
      <c r="B433">
        <v>0.5</v>
      </c>
    </row>
    <row r="434" spans="1:2">
      <c r="A434" s="10" t="str">
        <v>كوع حديد مزيبق 3/4 HE</v>
      </c>
      <c r="B434">
        <v>0.75</v>
      </c>
    </row>
    <row r="435" spans="1:2">
      <c r="A435" s="10" t="str">
        <v>كوع دوبل 20*20 زراعي</v>
      </c>
      <c r="B435">
        <v>1.5</v>
      </c>
    </row>
    <row r="436" spans="1:2">
      <c r="A436" s="10" t="str">
        <v>كوع دوبل 25*25 زراعي</v>
      </c>
      <c r="B436">
        <v>2</v>
      </c>
    </row>
    <row r="437" spans="1:2">
      <c r="A437" s="10" t="str">
        <v>كوع دوبل 32*32 زراعي</v>
      </c>
      <c r="B437">
        <v>2.75</v>
      </c>
    </row>
    <row r="438" spans="1:2">
      <c r="A438" s="10" t="str">
        <v>كوع دوبل كروم 16*16</v>
      </c>
      <c r="B438">
        <v>1.65</v>
      </c>
    </row>
    <row r="439" spans="1:2">
      <c r="A439" s="10" t="str">
        <v>كوع دوبل كروم 18*18</v>
      </c>
      <c r="B439">
        <v>2.5</v>
      </c>
    </row>
    <row r="440" spans="1:2">
      <c r="A440" s="10" t="str">
        <v>كوع ذكر حديد مزيبق 1 HE</v>
      </c>
      <c r="B440">
        <v>1</v>
      </c>
    </row>
    <row r="441" spans="1:2">
      <c r="A441" s="10" t="str">
        <v>كوع ذكر حديد مزيبق 1/2 HE</v>
      </c>
      <c r="B441">
        <v>0.5</v>
      </c>
    </row>
    <row r="442" spans="1:2">
      <c r="A442" s="10" t="str">
        <v>كوع ذكر حديد مزيبق 3/4 HE</v>
      </c>
      <c r="B442">
        <v>0.75</v>
      </c>
    </row>
    <row r="443" spans="1:2">
      <c r="A443" s="10" t="str">
        <v>كوع ذكر كروم 16*1/2</v>
      </c>
      <c r="B443">
        <v>1.65</v>
      </c>
    </row>
    <row r="444" spans="1:2">
      <c r="A444" s="10" t="str">
        <v>كوع ذكر كروم 18*1/2</v>
      </c>
      <c r="B444">
        <v>2.5</v>
      </c>
    </row>
    <row r="445" spans="1:2">
      <c r="A445" s="10" t="str">
        <v>كوع زاوية بلاستيك 1 1/2</v>
      </c>
      <c r="B445">
        <v>0.5</v>
      </c>
    </row>
    <row r="446" spans="1:2">
      <c r="A446" s="10" t="str">
        <v>كوع زاوية بلاستيك 1 1/4</v>
      </c>
      <c r="B446">
        <v>0.5</v>
      </c>
    </row>
    <row r="447" spans="1:2">
      <c r="A447" s="10" t="str">
        <v>كوع زاوية بلاستيك 1 كوكو KOKO</v>
      </c>
      <c r="B447">
        <v>0.75</v>
      </c>
    </row>
    <row r="448" spans="1:2">
      <c r="A448" s="10" t="str">
        <v>كوع زاوية بلاستيك 1/2</v>
      </c>
      <c r="B448">
        <v>0.35</v>
      </c>
    </row>
    <row r="449" spans="1:2">
      <c r="A449" s="10" t="str">
        <v>كوع زاوية بلاستيك 2</v>
      </c>
      <c r="B449">
        <v>0.65</v>
      </c>
    </row>
    <row r="450" spans="1:2">
      <c r="A450" s="10" t="str">
        <v>كوع زاوية بلاستيك 3</v>
      </c>
      <c r="B450">
        <v>0.75</v>
      </c>
    </row>
    <row r="451" spans="1:2">
      <c r="A451" s="10" t="str">
        <v>كوع زاوية بلاستيك 3/4 كوكو KOKO</v>
      </c>
      <c r="B451">
        <v>0.65</v>
      </c>
    </row>
    <row r="452" spans="1:2">
      <c r="A452" s="10" t="str">
        <v>كوع زاوية بلاستيك 4</v>
      </c>
      <c r="B452">
        <v>1</v>
      </c>
    </row>
    <row r="453" spans="1:2">
      <c r="A453" s="10" t="str">
        <v>كوع زاوية بلاستيك بجوان تركي 110 ملم</v>
      </c>
      <c r="B453">
        <v>2.5</v>
      </c>
    </row>
    <row r="454" spans="1:2">
      <c r="A454" s="10" t="str">
        <v>كوع زاوية بلاستيك بجوان تركي 50 ملم</v>
      </c>
      <c r="B454">
        <v>1</v>
      </c>
    </row>
    <row r="455" spans="1:2">
      <c r="A455" s="10" t="str">
        <v>كوع زاوية بلاستيك بجوان تركي 75 ملم</v>
      </c>
      <c r="B455">
        <v>1.75</v>
      </c>
    </row>
    <row r="456" spans="1:2">
      <c r="A456" s="10" t="str">
        <v>كوع زاوية تلحيم 20 ملم ابيض تركي</v>
      </c>
      <c r="B456">
        <v>0.2</v>
      </c>
    </row>
    <row r="457" spans="1:2">
      <c r="A457" s="10" t="str">
        <v>كوع زاوية تلحيم 20 ملم اخضر تركي</v>
      </c>
      <c r="B457">
        <v>0.2</v>
      </c>
    </row>
    <row r="458" spans="1:2">
      <c r="A458" s="10" t="str">
        <v>كوع زاوية تلحيم 25 ملم ابيض تركي</v>
      </c>
      <c r="B458">
        <v>0.25</v>
      </c>
    </row>
    <row r="459" spans="1:2">
      <c r="A459" s="10" t="str">
        <v>كوع زاوية تلحيم 25 ملم اخضر تركي</v>
      </c>
      <c r="B459">
        <v>0.25</v>
      </c>
    </row>
    <row r="460" spans="1:2">
      <c r="A460" s="10" t="str">
        <v>كوع زاوية تلحيم 32 ملم ابيض تركي</v>
      </c>
      <c r="B460">
        <v>0.35</v>
      </c>
    </row>
    <row r="461" spans="1:2">
      <c r="A461" s="10" t="str">
        <v>كوع زاوية تلحيم 40 ملم اخضر تركي</v>
      </c>
      <c r="B461">
        <v>0.5</v>
      </c>
    </row>
    <row r="462" spans="1:2">
      <c r="A462" s="10" t="str">
        <v>كوع زاوية تلحيم 50 ملم اخضر تركي</v>
      </c>
      <c r="B462">
        <v>1.5</v>
      </c>
    </row>
    <row r="463" spans="1:2">
      <c r="A463" s="10" t="str">
        <v>كوع زاوية تلحيم 63 ملم اخضر تركي</v>
      </c>
      <c r="B463">
        <v>2</v>
      </c>
    </row>
    <row r="464" spans="1:2">
      <c r="A464" s="10" t="str">
        <v>كوع زاوية ذكر 50 ملم تلزيق</v>
      </c>
      <c r="B464">
        <v>1.35</v>
      </c>
    </row>
    <row r="465" spans="1:2">
      <c r="A465" s="10" t="str">
        <v>كوع طويل بلاستيك 2</v>
      </c>
      <c r="B465">
        <v>1</v>
      </c>
    </row>
    <row r="466" spans="1:2">
      <c r="A466" s="10" t="str">
        <v>كوع طويل بلاستيك 2 KOKO</v>
      </c>
      <c r="B466">
        <v>0.9</v>
      </c>
    </row>
    <row r="467" spans="1:2">
      <c r="A467" s="10" t="str">
        <v>كوع فاتح بلاستيك 1 1/2</v>
      </c>
      <c r="B467">
        <v>0.5</v>
      </c>
    </row>
    <row r="468" spans="1:2">
      <c r="A468" s="10" t="str">
        <v>كوع فاتح بلاستيك 1 1/4</v>
      </c>
      <c r="B468">
        <v>0.5</v>
      </c>
    </row>
    <row r="469" spans="1:2">
      <c r="A469" s="10" t="str">
        <v>كوع فاتح بلاستيك 1 KOKO</v>
      </c>
      <c r="B469">
        <v>0.7</v>
      </c>
    </row>
    <row r="470" spans="1:2">
      <c r="A470" s="10" t="str">
        <v>كوع فاتح بلاستيك 1/2</v>
      </c>
      <c r="B470">
        <v>0.35</v>
      </c>
    </row>
    <row r="471" spans="1:2">
      <c r="A471" s="10" t="str">
        <v>كوع فاتح بلاستيك 2</v>
      </c>
      <c r="B471">
        <v>0.65</v>
      </c>
    </row>
    <row r="472" spans="1:2">
      <c r="A472" s="10" t="str">
        <v>كوع فاتح بلاستيك 2 KOKO</v>
      </c>
      <c r="B472">
        <v>0.9</v>
      </c>
    </row>
    <row r="473" spans="1:2">
      <c r="A473" s="10" t="str">
        <v>كوع فاتح بلاستيك 3</v>
      </c>
      <c r="B473">
        <v>0.75</v>
      </c>
    </row>
    <row r="474" spans="1:2">
      <c r="A474" s="10" t="str">
        <v>كوع فاتح بلاستيك 3/4</v>
      </c>
      <c r="B474">
        <v>0.65</v>
      </c>
    </row>
    <row r="475" spans="1:2">
      <c r="A475" s="10" t="str">
        <v>كوع فاتح بلاستيك 3/4 KOKO</v>
      </c>
      <c r="B475">
        <v>0.65</v>
      </c>
    </row>
    <row r="476" spans="1:2">
      <c r="A476" s="10" t="str">
        <v>كوع فاتح بلاستيك 4</v>
      </c>
      <c r="B476">
        <v>1</v>
      </c>
    </row>
    <row r="477" spans="1:2">
      <c r="A477" s="10" t="str">
        <v>كوع فاتح تلحيم 20 ملم ابيض تركي</v>
      </c>
      <c r="B477">
        <v>0.2</v>
      </c>
    </row>
    <row r="478" spans="1:2">
      <c r="A478" s="10" t="str">
        <v>كوع فاتح تلحيم 20 ملم اخضر تركي</v>
      </c>
      <c r="B478">
        <v>0.2</v>
      </c>
    </row>
    <row r="479" spans="1:2">
      <c r="A479" s="10" t="str">
        <v>كوع فاتح تلحيم 25 ملم ابيض تركي</v>
      </c>
      <c r="B479">
        <v>0.25</v>
      </c>
    </row>
    <row r="480" spans="1:2">
      <c r="A480" s="10" t="str">
        <v>كوع فاتح تلحيم 25 ملم اخضر تركي</v>
      </c>
      <c r="B480">
        <v>0.25</v>
      </c>
    </row>
    <row r="481" spans="1:2">
      <c r="A481" s="10" t="str">
        <v>كوع فاتح تلحيم 32 ملم اخضر تركي</v>
      </c>
      <c r="B481">
        <v>0.5</v>
      </c>
    </row>
    <row r="482" spans="1:2">
      <c r="A482" s="10" t="str">
        <v>كوع فاتح تلحيم 40 ملم اخضر تركي</v>
      </c>
      <c r="B482">
        <v>0.5</v>
      </c>
    </row>
    <row r="483" spans="1:2">
      <c r="A483" s="10" t="str">
        <v>كوع مخالف بلاستيك 5*4</v>
      </c>
      <c r="B483">
        <v>1.75</v>
      </c>
    </row>
    <row r="484" spans="1:2">
      <c r="A484" s="10" t="str">
        <v>كوع مخالف حديد مزيبق 1/2*3/4 HE</v>
      </c>
      <c r="B484">
        <v>1</v>
      </c>
    </row>
    <row r="485" spans="1:2">
      <c r="A485" s="10" t="str">
        <v>كوع مخالف حديد مزيبق 3/4*1 HE</v>
      </c>
      <c r="B485">
        <v>1.5</v>
      </c>
    </row>
    <row r="486" spans="1:2">
      <c r="A486" s="10" t="str">
        <v>كوع مدفع بلاستيك 4</v>
      </c>
      <c r="B486">
        <v>3</v>
      </c>
    </row>
    <row r="487" spans="1:2">
      <c r="A487" s="10" t="str">
        <v>كوع مدفع بلاستيك بجوان تركي 110 ملم</v>
      </c>
      <c r="B487">
        <v>8</v>
      </c>
    </row>
    <row r="488" spans="1:2">
      <c r="A488" s="10" t="str">
        <v>مجراية 50 سم بلاطة سوبر دريم SUPER DREAM</v>
      </c>
      <c r="B488">
        <v>30</v>
      </c>
    </row>
    <row r="489" spans="1:2">
      <c r="A489" s="10" t="str">
        <v>مجلى ستانلس 100*50</v>
      </c>
      <c r="B489">
        <v>10</v>
      </c>
    </row>
    <row r="490" spans="1:2">
      <c r="A490" s="10" t="str">
        <v>مجموع شطافة م.ايطالي ميرو MERO</v>
      </c>
      <c r="B490">
        <v>4</v>
      </c>
    </row>
    <row r="491" spans="1:2">
      <c r="A491" s="10" t="str">
        <v>مجموعة دوش بلاستيك ابيض</v>
      </c>
      <c r="B491">
        <v>4.5</v>
      </c>
    </row>
    <row r="492" spans="1:2">
      <c r="A492" s="10" t="str">
        <v>مجموعة دوش دائري ابيض بريفا BRIVA BL03</v>
      </c>
      <c r="B492">
        <v>5</v>
      </c>
    </row>
    <row r="493" spans="1:2">
      <c r="A493" s="10" t="str">
        <v>مجموعة دوش دائري ازرق بريفا BRIVA BL04</v>
      </c>
      <c r="B493">
        <v>5</v>
      </c>
    </row>
    <row r="494" spans="1:2">
      <c r="A494" s="10" t="str">
        <v>مجموعة دوش دائري كروم بريفا BRIVA BL02</v>
      </c>
      <c r="B494">
        <v>5</v>
      </c>
    </row>
    <row r="495" spans="1:2">
      <c r="A495" s="10" t="str">
        <v>مجموعة دوش مربع دائري رمادي بريفا BRIVA BL01</v>
      </c>
      <c r="B495">
        <v>5</v>
      </c>
    </row>
    <row r="496" spans="1:2">
      <c r="A496" s="10" t="str">
        <v>مجموعة دوش مربع رمادي بريفا BRIVA BL06</v>
      </c>
      <c r="B496">
        <v>5</v>
      </c>
    </row>
    <row r="497" spans="1:2">
      <c r="A497" s="10" t="str">
        <v>مجموعة دوش مرسيدس بريفا BRIVA BL05</v>
      </c>
      <c r="B497">
        <v>5</v>
      </c>
    </row>
    <row r="498" spans="1:2">
      <c r="A498" s="10" t="str">
        <v>مجموعة شطافة بريفا BRIVA</v>
      </c>
      <c r="B498">
        <v>4</v>
      </c>
    </row>
    <row r="499" spans="1:2">
      <c r="A499" s="10" t="str">
        <v>مجموعة شطافة غروهي صيني TEMPESTA</v>
      </c>
      <c r="B499">
        <v>8</v>
      </c>
    </row>
    <row r="500" spans="1:2">
      <c r="A500" s="10" t="str">
        <v>مجموعة شطافة كروم بالكيس</v>
      </c>
      <c r="B500">
        <v>4</v>
      </c>
    </row>
    <row r="501" spans="1:2">
      <c r="A501" s="10" t="str">
        <v>مجموعة شطافة ماليزي</v>
      </c>
      <c r="B501">
        <v>4.5</v>
      </c>
    </row>
    <row r="502" spans="1:2">
      <c r="A502" s="10" t="str">
        <v>مسكة شطافة ابيض 1$</v>
      </c>
      <c r="B502">
        <v>1</v>
      </c>
    </row>
    <row r="503" spans="1:2">
      <c r="A503" s="10" t="str">
        <v>مسكة شطافة كروم تركي</v>
      </c>
      <c r="B503">
        <v>2.5</v>
      </c>
    </row>
    <row r="504" spans="1:2">
      <c r="A504" s="10" t="str">
        <v>مسكة شطافة كروم صيني</v>
      </c>
      <c r="B504">
        <v>1.5</v>
      </c>
    </row>
    <row r="505" spans="1:2">
      <c r="A505" s="10" t="str">
        <v>مصفاية خلاط انتاية</v>
      </c>
      <c r="B505">
        <v>0.5</v>
      </c>
    </row>
    <row r="506" spans="1:2">
      <c r="A506" s="10" t="str">
        <v>مصفاية خلاط ذكر نحاس</v>
      </c>
      <c r="B506">
        <v>0.5</v>
      </c>
    </row>
    <row r="507" spans="1:2">
      <c r="A507" s="10" t="str">
        <v>مغسلة 040 ابيض</v>
      </c>
      <c r="B507">
        <v>45</v>
      </c>
    </row>
    <row r="508" spans="1:2">
      <c r="A508" s="10" t="str">
        <v>مغسلة 50 سم 2020 ابيض</v>
      </c>
      <c r="B508">
        <v>35</v>
      </c>
    </row>
    <row r="509" spans="1:2">
      <c r="A509" s="10" t="str">
        <v>مغسلة نوفا 45*36سم ابيض</v>
      </c>
      <c r="B509">
        <v>27</v>
      </c>
    </row>
    <row r="510" spans="1:2">
      <c r="A510" s="10" t="str">
        <v>مغسلة نوفا 45*36سم عاج</v>
      </c>
      <c r="B510">
        <v>27</v>
      </c>
    </row>
    <row r="511" spans="1:2">
      <c r="A511" s="10" t="str">
        <v>مكنة لحام PPR تركي كندان CANDAN</v>
      </c>
      <c r="B511">
        <v>45</v>
      </c>
    </row>
    <row r="512" spans="1:2">
      <c r="A512" s="10" t="str">
        <v>موتير 0.5 حصان بدرلو Pedrollo PKM60</v>
      </c>
      <c r="B512">
        <v>60</v>
      </c>
    </row>
    <row r="513" spans="1:2">
      <c r="A513" s="10" t="str">
        <v>موتير 0.5 حصان بينتاكس Pentax PM45</v>
      </c>
      <c r="B513">
        <v>55</v>
      </c>
    </row>
    <row r="514" spans="1:2">
      <c r="A514" s="10" t="str">
        <v>موتير 0.5 حصان داب DAB</v>
      </c>
      <c r="B514">
        <v>55</v>
      </c>
    </row>
    <row r="515" spans="1:2">
      <c r="A515" s="10" t="str">
        <v>موتير 0.5 حصان سارق ليو LEO AJM 30</v>
      </c>
      <c r="B515">
        <v>80</v>
      </c>
    </row>
    <row r="516" spans="1:2">
      <c r="A516" s="10" t="str">
        <v>موتير 0.5 حصان صامت بينتاكس Pentax U3-50/2</v>
      </c>
      <c r="B516">
        <v>150</v>
      </c>
    </row>
    <row r="517" spans="1:2">
      <c r="A517" s="10" t="str">
        <v>موتير 0.5 حصان صامت ليو LEO 3ACM45</v>
      </c>
      <c r="B517">
        <v>85</v>
      </c>
    </row>
    <row r="518" spans="1:2">
      <c r="A518" s="10" t="str">
        <v>موتير 0.5 حصان ليو LEO ACM37 TURBINE</v>
      </c>
      <c r="B518">
        <v>75</v>
      </c>
    </row>
    <row r="519" spans="1:2">
      <c r="A519" s="10" t="str">
        <v>موتير 0.5 حصان ليو LEO APM37</v>
      </c>
      <c r="B519">
        <v>35</v>
      </c>
    </row>
    <row r="520" spans="1:2">
      <c r="A520" s="10" t="str">
        <v>موتير 0.75 حصان بدرلو Pedrollo PKM65</v>
      </c>
      <c r="B520">
        <v>100</v>
      </c>
    </row>
    <row r="521" spans="1:2">
      <c r="A521" s="10" t="str">
        <v>موتير 0.75 حصان صامت بينتاكس Pentax U3-70/3</v>
      </c>
      <c r="B521">
        <v>185</v>
      </c>
    </row>
    <row r="522" spans="1:2">
      <c r="A522" s="10" t="str">
        <v>موتير 0.75 حصان صامت ليو LEO ACM60</v>
      </c>
      <c r="B522">
        <v>100</v>
      </c>
    </row>
    <row r="523" spans="1:2">
      <c r="A523" s="10" t="str">
        <v>موتير 0.75 حصان ليو LEO APM 60</v>
      </c>
      <c r="B523">
        <v>55</v>
      </c>
    </row>
    <row r="524" spans="1:2">
      <c r="A524" s="10" t="str">
        <v>موتير 1 حصان بدرلو Pedrollo PKM80</v>
      </c>
      <c r="B524">
        <v>145</v>
      </c>
    </row>
    <row r="525" spans="1:2">
      <c r="A525" s="10" t="str">
        <v>موتير 1 حصان سارق ليو LEO AJM 75</v>
      </c>
      <c r="B525">
        <v>120</v>
      </c>
    </row>
    <row r="526" spans="1:2">
      <c r="A526" s="10" t="str">
        <v>موتير 1 حصان صامت ليو LEO</v>
      </c>
      <c r="B526">
        <v>120</v>
      </c>
    </row>
    <row r="527" spans="1:2">
      <c r="A527" s="10" t="str">
        <v>موتير 1 حصان ليو LEO ACM75 TURBINE</v>
      </c>
      <c r="B527">
        <v>120</v>
      </c>
    </row>
    <row r="528" spans="1:2">
      <c r="A528" s="10" t="str">
        <v>موتير 1 حصان ليو LEO APM 75</v>
      </c>
      <c r="B528">
        <v>65</v>
      </c>
    </row>
    <row r="529" spans="1:2">
      <c r="A529" s="10" t="str">
        <v>موتير 1 حصان ليو LEO APM 90</v>
      </c>
      <c r="B529">
        <v>95</v>
      </c>
    </row>
    <row r="530" spans="1:2">
      <c r="A530" s="10" t="str">
        <v>موتير 1 حصان ماء صامته ستانلس LEO 4XCM 120C</v>
      </c>
      <c r="B530">
        <v>125</v>
      </c>
    </row>
    <row r="531" spans="1:2">
      <c r="A531" s="10" t="str">
        <v>موتير 1.36 حصان داب DAB</v>
      </c>
      <c r="B531">
        <v>110</v>
      </c>
    </row>
    <row r="532" spans="1:2">
      <c r="A532" s="10" t="str">
        <v>موتير 1.5 حصان دوبل توربين ليو LEO</v>
      </c>
      <c r="B532">
        <v>175</v>
      </c>
    </row>
    <row r="533" spans="1:2">
      <c r="A533" s="10" t="str">
        <v>موتير 1.5 حصان ليو LEO APM 110</v>
      </c>
      <c r="B533">
        <v>145</v>
      </c>
    </row>
    <row r="534" spans="1:2">
      <c r="A534" s="10" t="str">
        <v>موتير 2 حصان بدرلو Pedrollo 2CPM25/14 A</v>
      </c>
      <c r="B534">
        <v>410</v>
      </c>
    </row>
    <row r="535" spans="1:2">
      <c r="A535" s="10" t="str">
        <v>موتير اتوماتيك مع برس كنترول ليو LEO XKSM13O</v>
      </c>
      <c r="B535">
        <v>75</v>
      </c>
    </row>
    <row r="536" spans="1:2">
      <c r="A536" s="10" t="str">
        <v>موتير اتوماتيك وستن WSTN</v>
      </c>
      <c r="B536">
        <v>30</v>
      </c>
    </row>
    <row r="537" spans="1:2">
      <c r="A537" s="10" t="str">
        <v>موتير اتوماتيك وستن WSTN ECO 15G-10</v>
      </c>
      <c r="B537">
        <v>30</v>
      </c>
    </row>
    <row r="538" spans="1:2">
      <c r="A538" s="10" t="str">
        <v>موتير اتوماتيك وستن WSTN ECO 15G-15</v>
      </c>
      <c r="B538">
        <v>40</v>
      </c>
    </row>
    <row r="539" spans="1:2">
      <c r="A539" s="10" t="str">
        <v>موتير مع برس كونترول مع غطاء كومت COMET MQS138B</v>
      </c>
      <c r="B539">
        <v>65</v>
      </c>
    </row>
    <row r="540" spans="1:2">
      <c r="A540" s="10" t="str">
        <v>نايلون ستريتش لفة</v>
      </c>
      <c r="B540">
        <v>3.5</v>
      </c>
    </row>
    <row r="541" spans="1:2">
      <c r="A541" s="10" t="str">
        <v>نايلون 10*4</v>
      </c>
      <c r="B541">
        <v>2</v>
      </c>
    </row>
    <row r="542" spans="1:2">
      <c r="A542" s="10" t="str">
        <v>نربيج دوش 150 سم</v>
      </c>
      <c r="B542">
        <v>2.75</v>
      </c>
    </row>
    <row r="543" spans="1:2">
      <c r="A543" s="10" t="str">
        <v>نربيج دوش 200 سم</v>
      </c>
      <c r="B543">
        <v>5</v>
      </c>
    </row>
    <row r="544" spans="1:2">
      <c r="A544" s="10" t="str">
        <v>نربيج زراعي 1 1/2" 50 ملم 50 متر اسود</v>
      </c>
      <c r="B544">
        <v>60</v>
      </c>
    </row>
    <row r="545" spans="1:2">
      <c r="A545" s="10" t="str">
        <v>نربيج زراعي 1 1/4" 40 ملم 50 متر اسود</v>
      </c>
      <c r="B545">
        <v>45</v>
      </c>
    </row>
    <row r="546" spans="1:2">
      <c r="A546" s="10" t="str">
        <v>نربيج زراعي 1" 32 ملم 100 متر اسود 16 بار</v>
      </c>
      <c r="B546">
        <v>90</v>
      </c>
    </row>
    <row r="547" spans="1:2">
      <c r="A547" s="10" t="str">
        <v>نربيج زراعي 1" 32 ملم 50 متر اسود</v>
      </c>
      <c r="B547">
        <v>25</v>
      </c>
    </row>
    <row r="548" spans="1:2">
      <c r="A548" s="10" t="str">
        <v>نربيج زراعي 1" 32 ملم 50 متر اسود 16 بار</v>
      </c>
      <c r="B548">
        <v>45</v>
      </c>
    </row>
    <row r="549" spans="1:2">
      <c r="A549" s="10" t="str">
        <v>نربيج زراعي 1/2" 20 ملم 100 متر اسود</v>
      </c>
      <c r="B549">
        <v>20</v>
      </c>
    </row>
    <row r="550" spans="1:2">
      <c r="A550" s="10" t="str">
        <v>نربيج زراعي 1/2" 20 ملم 100 متر اسود 16 بار</v>
      </c>
      <c r="B550">
        <v>32</v>
      </c>
    </row>
    <row r="551" spans="1:2">
      <c r="A551" s="10" t="str">
        <v>نربيج زراعي 1/2" 20 ملم 50 متر اسود</v>
      </c>
      <c r="B551">
        <v>10</v>
      </c>
    </row>
    <row r="552" spans="1:2">
      <c r="A552" s="10" t="str">
        <v>نربيج زراعي 1/2" 20 ملم 50 متر اسود 16 بار</v>
      </c>
      <c r="B552">
        <v>16</v>
      </c>
    </row>
    <row r="553" spans="1:2">
      <c r="A553" s="10" t="str">
        <v>نربيج زراعي 3/4" 25 ملم 50 متر اسود</v>
      </c>
      <c r="B553">
        <v>13</v>
      </c>
    </row>
    <row r="554" spans="1:2">
      <c r="A554" s="10" t="str">
        <v>نربيج شطافة بزبوزة كروم</v>
      </c>
      <c r="B554">
        <v>2.75</v>
      </c>
    </row>
    <row r="555" spans="1:2">
      <c r="A555" s="10" t="str">
        <v>نربيج شطافة كروم 120 سم نابولي</v>
      </c>
      <c r="B555">
        <v>2.5</v>
      </c>
    </row>
    <row r="556" spans="1:2">
      <c r="A556" s="10" t="str">
        <v>نربيج غسالة دخول 1.5 متر</v>
      </c>
      <c r="B556">
        <v>2.5</v>
      </c>
    </row>
    <row r="557" spans="1:2">
      <c r="A557" s="10" t="str">
        <v>نربيج فليكسيبل بولاد 100 سم</v>
      </c>
      <c r="B557">
        <v>3</v>
      </c>
    </row>
    <row r="558" spans="1:2">
      <c r="A558" s="10" t="str">
        <v>نربيج فليكسيبل بولاد 40 سم</v>
      </c>
      <c r="B558">
        <v>1</v>
      </c>
    </row>
    <row r="559" spans="1:2">
      <c r="A559" s="10" t="str">
        <v>نربيج فليكسيبل بولاد 40 سم بلجيكي</v>
      </c>
      <c r="B559">
        <v>2.5</v>
      </c>
    </row>
    <row r="560" spans="1:2">
      <c r="A560" s="10" t="str">
        <v>نربيج فليكسيبل بولاد 50 سم</v>
      </c>
      <c r="B560">
        <v>1.5</v>
      </c>
    </row>
    <row r="561" spans="1:2">
      <c r="A561" s="10" t="str">
        <v>نربيج فليكسيبل بولاد 50 سم بلجيكي</v>
      </c>
      <c r="B561">
        <v>2.75</v>
      </c>
    </row>
    <row r="562" spans="1:2">
      <c r="A562" s="10" t="str">
        <v>نربيج فليكسيبل بولاد 60 سم</v>
      </c>
      <c r="B562">
        <v>1.75</v>
      </c>
    </row>
    <row r="563" spans="1:2">
      <c r="A563" s="10" t="str">
        <v>نقاص مخالف بلاستيك اوروبي 100*110 كوكو KOKO</v>
      </c>
      <c r="B563">
        <v>2.5</v>
      </c>
    </row>
    <row r="564" spans="1:2">
      <c r="A564" s="10" t="str">
        <v>نقاص مخالف بلاستيك تلزيق تركي 50*110 ملم</v>
      </c>
      <c r="B564">
        <v>3.5</v>
      </c>
    </row>
    <row r="565" spans="1:2">
      <c r="A565" s="10" t="str">
        <v>نقاص مخالف بلاستيك تلزيق تركي 50*75 ملم</v>
      </c>
      <c r="B565">
        <v>2.75</v>
      </c>
    </row>
    <row r="566" spans="1:2">
      <c r="A566" s="10" t="str">
        <v>نقاص مخالف بلاستيك تلزيق تركي 75*110 ملم</v>
      </c>
      <c r="B566">
        <v>3.5</v>
      </c>
    </row>
    <row r="567" spans="1:2">
      <c r="A567" s="10" t="str">
        <v>وصل بسن انتاية تلحيم 20*1/2 ابيض تركي</v>
      </c>
      <c r="B567">
        <v>1.35</v>
      </c>
    </row>
    <row r="568" spans="1:2">
      <c r="A568" s="10" t="str">
        <v>وصل بسن انتاية تلحيم 20*1/2 اخضر تركي</v>
      </c>
      <c r="B568">
        <v>1.35</v>
      </c>
    </row>
    <row r="569" spans="1:2">
      <c r="A569" s="10" t="str">
        <v>وصل بسن انتاية تلحيم 25*1/2 ابيض تركي</v>
      </c>
      <c r="B569">
        <v>1.5</v>
      </c>
    </row>
    <row r="570" spans="1:2">
      <c r="A570" s="10" t="str">
        <v>وصل بسن انتاية تلحيم 25*1/2 اخضر تركي</v>
      </c>
      <c r="B570">
        <v>1.5</v>
      </c>
    </row>
    <row r="571" spans="1:2">
      <c r="A571" s="10" t="str">
        <v>وصل بسن انتاية تلحيم 25*3/4 ابيض تركي</v>
      </c>
      <c r="B571">
        <v>1.75</v>
      </c>
    </row>
    <row r="572" spans="1:2">
      <c r="A572" s="10" t="str">
        <v>وصل بسن انتاية تلحيم 25*3/4 اخضر تركي</v>
      </c>
      <c r="B572">
        <v>1.75</v>
      </c>
    </row>
    <row r="573" spans="1:2">
      <c r="A573" s="10" t="str">
        <v>وصل بسن انتاية تلحيم 32*1 اخضر تركي</v>
      </c>
      <c r="B573">
        <v>3</v>
      </c>
    </row>
    <row r="574" spans="1:2">
      <c r="A574" s="10" t="str">
        <v>وصل بسن انتاية تلحيم 40*1 1/4 اخضر تركي</v>
      </c>
      <c r="B574">
        <v>7</v>
      </c>
    </row>
    <row r="575" spans="1:2">
      <c r="A575" s="10" t="str">
        <v>وصل بسن انتاية تلحيم 40*1 اخضر تركي</v>
      </c>
      <c r="B575">
        <v>7</v>
      </c>
    </row>
    <row r="576" spans="1:2">
      <c r="A576" s="10" t="str">
        <v>وصل بسن ذكر تلحيم 20*1/2 ابيض تركي</v>
      </c>
      <c r="B576">
        <v>1.35</v>
      </c>
    </row>
    <row r="577" spans="1:2">
      <c r="A577" s="10" t="str">
        <v>وصل بسن ذكر تلحيم 20*1/2 اخضر تركي</v>
      </c>
      <c r="B577">
        <v>1.35</v>
      </c>
    </row>
    <row r="578" spans="1:2">
      <c r="A578" s="10" t="str">
        <v>وصل بسن ذكر تلحيم 25*1/2 ابيض تركي</v>
      </c>
      <c r="B578">
        <v>1.5</v>
      </c>
    </row>
    <row r="579" spans="1:2">
      <c r="A579" s="10" t="str">
        <v>وصل بسن ذكر تلحيم 25*1/2 اخضر تركي</v>
      </c>
      <c r="B579">
        <v>1.5</v>
      </c>
    </row>
    <row r="580" spans="1:2">
      <c r="A580" s="10" t="str">
        <v>وصل بسن ذكر تلحيم 25*3/4 ابيض تركي</v>
      </c>
      <c r="B580">
        <v>1.75</v>
      </c>
    </row>
    <row r="581" spans="1:2">
      <c r="A581" s="10" t="str">
        <v>وصل بسن ذكر تلحيم 25*3/4 اخضر تركي</v>
      </c>
      <c r="B581">
        <v>1.75</v>
      </c>
    </row>
    <row r="582" spans="1:2">
      <c r="A582" s="10" t="str">
        <v>وصل بسن ذكر تلحيم 32*1 اخضر تركي</v>
      </c>
      <c r="B582">
        <v>3</v>
      </c>
    </row>
    <row r="583" spans="1:2">
      <c r="A583" s="10" t="str">
        <v>وصل بسن ذكر تلحيم 40*1 1/4 اخضر تركي</v>
      </c>
      <c r="B583">
        <v>7</v>
      </c>
    </row>
    <row r="584" spans="1:2">
      <c r="A584" s="10" t="str">
        <v>وصل بسن ذكر تلحيم 63*2 اخضر تركي</v>
      </c>
      <c r="B584">
        <v>18</v>
      </c>
    </row>
    <row r="585" spans="1:2">
      <c r="A585" s="10" t="str">
        <v>وصل بلاستيك 1 1/2</v>
      </c>
      <c r="B585">
        <v>0.5</v>
      </c>
    </row>
    <row r="586" spans="1:2">
      <c r="A586" s="10" t="str">
        <v>وصل بلاستيك 1 1/4</v>
      </c>
      <c r="B586">
        <v>0.5</v>
      </c>
    </row>
    <row r="587" spans="1:2">
      <c r="A587" s="10" t="str">
        <v>وصل بلاستيك 1 كوكو KOKO</v>
      </c>
      <c r="B587">
        <v>0.65</v>
      </c>
    </row>
    <row r="588" spans="1:2">
      <c r="A588" s="10" t="str">
        <v>وصل بلاستيك 1/2</v>
      </c>
      <c r="B588">
        <v>0.35</v>
      </c>
    </row>
    <row r="589" spans="1:2">
      <c r="A589" s="10" t="str">
        <v>وصل بلاستيك 2</v>
      </c>
      <c r="B589">
        <v>0.65</v>
      </c>
    </row>
    <row r="590" spans="1:2">
      <c r="A590" s="10" t="str">
        <v>وصل بلاستيك 2 كوكو KOKO</v>
      </c>
      <c r="B590">
        <v>0.9</v>
      </c>
    </row>
    <row r="591" spans="1:2">
      <c r="A591" s="10" t="str">
        <v>وصل بلاستيك 3</v>
      </c>
      <c r="B591">
        <v>7.4999999999999997E-2</v>
      </c>
    </row>
    <row r="592" spans="1:2">
      <c r="A592" s="10" t="str">
        <v>وصل بلاستيك 3/4 كوكو KOKO</v>
      </c>
      <c r="B592">
        <v>0.65</v>
      </c>
    </row>
    <row r="593" spans="1:2">
      <c r="A593" s="10" t="str">
        <v>وصل بلاستيك 4</v>
      </c>
      <c r="B593">
        <v>1</v>
      </c>
    </row>
    <row r="594" spans="1:2">
      <c r="A594" s="10" t="str">
        <v>وصل بلاستيك 4 كوكو KOKO</v>
      </c>
      <c r="B594">
        <v>1</v>
      </c>
    </row>
    <row r="595" spans="1:2">
      <c r="A595" s="10" t="str">
        <v>وصل بلاستيك بجوان تركي 110 ملم</v>
      </c>
      <c r="B595">
        <v>2.5</v>
      </c>
    </row>
    <row r="596" spans="1:2">
      <c r="A596" s="10" t="str">
        <v>وصل بلاستيك بجوان تركي 50 ملم</v>
      </c>
      <c r="B596">
        <v>1</v>
      </c>
    </row>
    <row r="597" spans="1:2">
      <c r="A597" s="10" t="str">
        <v>وصل بلاستيك بجوان تركي 75 ملم</v>
      </c>
      <c r="B597">
        <v>1.5</v>
      </c>
    </row>
    <row r="598" spans="1:2">
      <c r="A598" s="10" t="str">
        <v>وصل تلحيم 20 ملم ابيض تركي</v>
      </c>
      <c r="B598">
        <v>0.2</v>
      </c>
    </row>
    <row r="599" spans="1:2">
      <c r="A599" s="10" t="str">
        <v>وصل تلحيم 20 ملم اخضر تركي</v>
      </c>
      <c r="B599">
        <v>0.2</v>
      </c>
    </row>
    <row r="600" spans="1:2">
      <c r="A600" s="10" t="str">
        <v>وصل تلحيم 25 ملم ابيض تركي</v>
      </c>
      <c r="B600">
        <v>0.25</v>
      </c>
    </row>
    <row r="601" spans="1:2">
      <c r="A601" s="10" t="str">
        <v>وصل تلحيم 25 ملم اخضر تركي</v>
      </c>
      <c r="B601">
        <v>0.25</v>
      </c>
    </row>
    <row r="602" spans="1:2">
      <c r="A602" s="10" t="str">
        <v>وصل تلحيم 32 ملم اخضر تركي</v>
      </c>
      <c r="B602">
        <v>0.35</v>
      </c>
    </row>
    <row r="603" spans="1:2">
      <c r="A603" s="10" t="str">
        <v>وصل تلحيم 40 ملم اخضر تركي</v>
      </c>
      <c r="B603">
        <v>0.5</v>
      </c>
    </row>
    <row r="604" spans="1:2">
      <c r="A604" s="10" t="str">
        <v>وصل ذكر حديد مزيبق 1/2 HE</v>
      </c>
      <c r="B604">
        <v>0.5</v>
      </c>
    </row>
    <row r="605" spans="1:2">
      <c r="A605" s="10" t="str">
        <v>وصل ذكر حديد مزيبق 3/4 HE</v>
      </c>
      <c r="B605">
        <v>0.75</v>
      </c>
    </row>
    <row r="606" spans="1:2">
      <c r="A606" s="10" t="str">
        <v>وصل ذكر طويل نحاس 1/2</v>
      </c>
      <c r="B606">
        <v>0.75</v>
      </c>
    </row>
    <row r="607" spans="1:2">
      <c r="A607" s="10" t="str">
        <v>وصل ذكر قصير نحاس 1/2</v>
      </c>
      <c r="B607">
        <v>0.65</v>
      </c>
    </row>
    <row r="608" spans="1:2">
      <c r="A608" s="10" t="str">
        <v>وصل عادي لحام حديد مزيبق 1 1/2 HE</v>
      </c>
      <c r="B608">
        <v>1.5</v>
      </c>
    </row>
    <row r="609" spans="1:2">
      <c r="A609" s="10" t="str">
        <v>وصل عادي لحام حديد مزيبق 1 1/4 HE</v>
      </c>
      <c r="B609">
        <v>1.35</v>
      </c>
    </row>
    <row r="610" spans="1:2">
      <c r="A610" s="10" t="str">
        <v>وصل عادي لحام حديد مزيبق 1 HE</v>
      </c>
      <c r="B610">
        <v>0.75</v>
      </c>
    </row>
    <row r="611" spans="1:2">
      <c r="A611" s="10" t="str">
        <v>وصل عادي لحام حديد مزيبق 1/2 HE</v>
      </c>
      <c r="B611">
        <v>0.5</v>
      </c>
    </row>
    <row r="612" spans="1:2">
      <c r="A612" s="10" t="str">
        <v>وصل عادي لحام حديد مزيبق 2 HE</v>
      </c>
      <c r="B612">
        <v>2.5</v>
      </c>
    </row>
    <row r="613" spans="1:2">
      <c r="A613" s="10" t="str">
        <v>وصل عادي لحام حديد مزيبق 3/4 HE</v>
      </c>
      <c r="B613">
        <v>0.65</v>
      </c>
    </row>
    <row r="614" spans="1:2">
      <c r="A614" s="10" t="str">
        <v>وصل مخالف بلاستيك 1</v>
      </c>
      <c r="B614">
        <v>0.65</v>
      </c>
    </row>
    <row r="615" spans="1:2">
      <c r="A615" s="10" t="str">
        <v>وصل مخالف بلاستيك 1 1/2</v>
      </c>
      <c r="B615">
        <v>0.75</v>
      </c>
    </row>
    <row r="616" spans="1:2">
      <c r="A616" s="10" t="str">
        <v>وصل مخالف بلاستيك 1 1/4</v>
      </c>
      <c r="B616">
        <v>7.4999999999999997E-2</v>
      </c>
    </row>
    <row r="617" spans="1:2">
      <c r="A617" s="10" t="str">
        <v>وصل مخالف بلاستيك 1/2</v>
      </c>
      <c r="B617">
        <v>0.75</v>
      </c>
    </row>
    <row r="618" spans="1:2">
      <c r="A618" s="10" t="str">
        <v>وصل مخالف بلاستيك 2</v>
      </c>
      <c r="B618">
        <v>0.75</v>
      </c>
    </row>
    <row r="619" spans="1:2">
      <c r="A619" s="10" t="str">
        <v>وصل مخالف بلاستيك 2*3</v>
      </c>
      <c r="B619">
        <v>1</v>
      </c>
    </row>
    <row r="620" spans="1:2">
      <c r="A620" s="10" t="str">
        <v>وصل مخالف بلاستيك 2*4</v>
      </c>
      <c r="B620">
        <v>1</v>
      </c>
    </row>
    <row r="621" spans="1:2">
      <c r="A621" s="10" t="str">
        <v>وصل مخالف بلاستيك 3</v>
      </c>
      <c r="B621">
        <v>1</v>
      </c>
    </row>
    <row r="622" spans="1:2">
      <c r="A622" s="10" t="str">
        <v>وصل مخالف بلاستيك 3/4</v>
      </c>
      <c r="B622">
        <v>0.65</v>
      </c>
    </row>
    <row r="623" spans="1:2">
      <c r="A623" s="10" t="str">
        <v>وصل مخالف بلاستيك 4</v>
      </c>
      <c r="B623">
        <v>1</v>
      </c>
    </row>
    <row r="624" spans="1:2">
      <c r="A624" s="10" t="str">
        <v>وصل مخالف بلاستيك 4*5</v>
      </c>
      <c r="B624">
        <v>1.5</v>
      </c>
    </row>
    <row r="625" spans="1:2">
      <c r="A625" s="10" t="str">
        <v>وصل مخالف بلاستيك 5</v>
      </c>
      <c r="B625">
        <v>1.5</v>
      </c>
    </row>
    <row r="626" spans="1:2">
      <c r="A626" s="10" t="str">
        <v>وصل مخالف تلحيم 20*25 ملم ابيض تركي</v>
      </c>
      <c r="B626">
        <v>0.25</v>
      </c>
    </row>
    <row r="627" spans="1:2">
      <c r="A627" s="10" t="str">
        <v>وصل مخالف تلحيم 20*25 ملم اخضر تركي</v>
      </c>
      <c r="B627">
        <v>0.25</v>
      </c>
    </row>
    <row r="628" spans="1:2">
      <c r="A628" s="10" t="str">
        <v>وصل مخالف تلحيم 20*32 ملم ابيض تركي</v>
      </c>
      <c r="B628">
        <v>0.35</v>
      </c>
    </row>
    <row r="629" spans="1:2">
      <c r="A629" s="10" t="str">
        <v>وصل مخالف تلحيم 20*32 ملم اخضر تركي</v>
      </c>
      <c r="B629">
        <v>0.35</v>
      </c>
    </row>
    <row r="630" spans="1:2">
      <c r="A630" s="10" t="str">
        <v>وصل مخالف تلحيم 20*40 ملم ابيض تركي</v>
      </c>
      <c r="B630">
        <v>0.75</v>
      </c>
    </row>
    <row r="631" spans="1:2">
      <c r="A631" s="10" t="str">
        <v>وصل مخالف تلحيم 20*40 ملم اخضر تركي</v>
      </c>
      <c r="B631">
        <v>0.75</v>
      </c>
    </row>
    <row r="632" spans="1:2">
      <c r="A632" s="10" t="str">
        <v>وصل مخالف تلحيم 25*32 ملم ابيض تركي</v>
      </c>
      <c r="B632">
        <v>0.35</v>
      </c>
    </row>
    <row r="633" spans="1:2">
      <c r="A633" s="10" t="str">
        <v>وصل مخالف تلحيم 25*32 ملم اخضر تركي</v>
      </c>
      <c r="B633">
        <v>0.35</v>
      </c>
    </row>
    <row r="634" spans="1:2">
      <c r="A634" s="10" t="str">
        <v>وصل مخالف تلحيم 25*40 ملم ابيض تركي</v>
      </c>
      <c r="B634">
        <v>0.75</v>
      </c>
    </row>
    <row r="635" spans="1:2">
      <c r="A635" s="10" t="str">
        <v>وصل مخالف تلحيم 25*40 ملم اخضر تركي</v>
      </c>
      <c r="B635">
        <v>0.75</v>
      </c>
    </row>
    <row r="636" spans="1:2">
      <c r="A636" s="10" t="str">
        <v>وصل مخالف حديد مزيبق 1/2*1 HE</v>
      </c>
      <c r="B636">
        <v>1</v>
      </c>
    </row>
    <row r="637" spans="1:2">
      <c r="A637" s="10" t="str">
        <v>وصل مخالف حديد مزيبق 1/2*3/4 HE</v>
      </c>
      <c r="B637">
        <v>0.75</v>
      </c>
    </row>
    <row r="638" spans="1:2">
      <c r="A638" s="10" t="str">
        <v>وصل مخالف حديد مزيبق 3/4*1 HE</v>
      </c>
      <c r="B638">
        <v>1</v>
      </c>
    </row>
    <row r="639" spans="1:2">
      <c r="A639" s="10" t="str">
        <v>اصبع تلزيق</v>
      </c>
      <c r="B639">
        <v>1</v>
      </c>
    </row>
    <row r="640" spans="1:2">
      <c r="A640" s="10" t="str">
        <v>اكما ابيض</v>
      </c>
      <c r="B640">
        <v>3.5</v>
      </c>
    </row>
    <row r="641" spans="1:2">
      <c r="A641" s="10" t="str">
        <v>التكو</v>
      </c>
      <c r="B641">
        <v>0.5</v>
      </c>
    </row>
    <row r="642" spans="1:2">
      <c r="A642" s="10" t="str">
        <v>الكترود</v>
      </c>
      <c r="B642">
        <v>4</v>
      </c>
    </row>
    <row r="643" spans="1:2">
      <c r="A643" s="10" t="str">
        <v>بحص</v>
      </c>
      <c r="B643">
        <v>0.7</v>
      </c>
    </row>
    <row r="644" spans="1:2">
      <c r="A644" s="10" t="str">
        <v>بلاط</v>
      </c>
      <c r="B644">
        <v>6</v>
      </c>
    </row>
    <row r="645" spans="1:2">
      <c r="A645" s="10" t="str">
        <v>بنسه</v>
      </c>
      <c r="B645">
        <v>4</v>
      </c>
    </row>
    <row r="646" spans="1:2">
      <c r="A646" s="10" t="str">
        <v>بولارتان</v>
      </c>
      <c r="B646">
        <v>4.5</v>
      </c>
    </row>
    <row r="647" spans="1:2">
      <c r="A647" s="10" t="str">
        <v>كالون بويا MAX</v>
      </c>
      <c r="B647">
        <v>12</v>
      </c>
    </row>
    <row r="648" spans="1:2">
      <c r="A648" s="10" t="str">
        <v>تحويلة دوش</v>
      </c>
      <c r="B648">
        <v>5</v>
      </c>
    </row>
    <row r="649" spans="1:2">
      <c r="A649" s="10" t="str">
        <v>ترابة سريعة</v>
      </c>
      <c r="B649">
        <v>3.5</v>
      </c>
    </row>
    <row r="650" spans="1:2">
      <c r="A650" s="10" t="str">
        <v>تطويلة عنق مجلى بلاستيك</v>
      </c>
      <c r="B650">
        <v>1</v>
      </c>
    </row>
    <row r="651" spans="1:2">
      <c r="A651" s="10" t="str">
        <v>تعليقة دوش متحركه</v>
      </c>
      <c r="B651">
        <v>2</v>
      </c>
    </row>
    <row r="652" spans="1:2">
      <c r="A652" s="10" t="str">
        <v>تعليقة شطافة</v>
      </c>
      <c r="B652">
        <v>1</v>
      </c>
    </row>
    <row r="653" spans="1:2">
      <c r="A653" s="10" t="str">
        <v>تعليقة شنكل برنص كروم</v>
      </c>
      <c r="B653">
        <v>6.5</v>
      </c>
    </row>
    <row r="654" spans="1:2">
      <c r="A654" s="10" t="str">
        <v>تعليقة صابون كروم</v>
      </c>
      <c r="B654">
        <v>7</v>
      </c>
    </row>
    <row r="655" spans="1:2">
      <c r="A655" s="10" t="str">
        <v>تعليقة كباية كروم</v>
      </c>
      <c r="B655">
        <v>7</v>
      </c>
    </row>
    <row r="656" spans="1:2">
      <c r="A656" s="10" t="str">
        <v>تعليقة منشفة كروم</v>
      </c>
      <c r="B656">
        <v>7</v>
      </c>
    </row>
    <row r="657" spans="1:2">
      <c r="A657" s="10" t="str">
        <v>تعليقة منشفة مبرومة كروم</v>
      </c>
      <c r="B657">
        <v>7</v>
      </c>
    </row>
    <row r="658" spans="1:2">
      <c r="A658" s="10" t="str">
        <v>تعليقة ورق محارم كروم</v>
      </c>
      <c r="B658">
        <v>7</v>
      </c>
    </row>
    <row r="659" spans="1:2">
      <c r="A659" s="10" t="str">
        <v>تلزيق بلاط اسباني</v>
      </c>
      <c r="B659">
        <v>6</v>
      </c>
    </row>
    <row r="660" spans="1:2">
      <c r="A660" s="10" t="str">
        <v>تلزيق دنسل اسود عريض</v>
      </c>
      <c r="B660">
        <v>1</v>
      </c>
    </row>
    <row r="661" spans="1:2">
      <c r="A661" s="10" t="str">
        <v>تلزيق عريض شفاف</v>
      </c>
      <c r="B661">
        <v>0.65</v>
      </c>
    </row>
    <row r="662" spans="1:2">
      <c r="A662" s="10" t="str">
        <v>تلزيق كهرباء</v>
      </c>
      <c r="B662">
        <v>0.65</v>
      </c>
    </row>
    <row r="663" spans="1:2">
      <c r="A663" s="10" t="str">
        <v>تلزيق ورق عريض</v>
      </c>
      <c r="B663">
        <v>0.65</v>
      </c>
    </row>
    <row r="664" spans="1:2">
      <c r="A664" s="10" t="str">
        <v>تنديرصغيره</v>
      </c>
      <c r="B664">
        <v>0.5</v>
      </c>
    </row>
    <row r="665" spans="1:2">
      <c r="A665" s="10" t="str">
        <v>تنر  كالون</v>
      </c>
      <c r="B665">
        <v>3.5</v>
      </c>
    </row>
    <row r="666" spans="1:2">
      <c r="A666" s="10" t="str">
        <v>تنفيسة قازان صيني</v>
      </c>
      <c r="B666">
        <v>4</v>
      </c>
    </row>
    <row r="667" spans="1:2">
      <c r="A667" s="10" t="str">
        <v>تيج 6 ملم</v>
      </c>
      <c r="B667">
        <v>0.65</v>
      </c>
    </row>
    <row r="668" spans="1:2">
      <c r="A668" s="10" t="str">
        <v>تيج 8 ملم</v>
      </c>
      <c r="B668">
        <v>0.65</v>
      </c>
    </row>
    <row r="669" spans="1:2">
      <c r="A669" s="10" t="str">
        <v>جزمة</v>
      </c>
      <c r="B669">
        <v>8</v>
      </c>
    </row>
    <row r="670" spans="1:2">
      <c r="A670" s="10" t="str">
        <v>جوان كرسي كونيك</v>
      </c>
      <c r="B670">
        <v>1</v>
      </c>
    </row>
    <row r="671" spans="1:2">
      <c r="A671" s="10" t="str">
        <v>حبل غسيل</v>
      </c>
      <c r="B671">
        <v>2</v>
      </c>
    </row>
    <row r="672" spans="1:2">
      <c r="A672" s="10" t="str">
        <v>حجر 10 سم</v>
      </c>
      <c r="B672">
        <v>0.5</v>
      </c>
    </row>
    <row r="673" spans="1:2">
      <c r="A673" s="10" t="str">
        <v>حجر 12 سم</v>
      </c>
      <c r="B673">
        <v>0.65</v>
      </c>
    </row>
    <row r="674" spans="1:2">
      <c r="A674" s="10" t="str">
        <v>حجر 15 سم</v>
      </c>
      <c r="B674">
        <v>0.75</v>
      </c>
    </row>
    <row r="675" spans="1:2">
      <c r="A675" s="10" t="str">
        <v>حجر 20 سم</v>
      </c>
      <c r="B675">
        <v>1</v>
      </c>
    </row>
    <row r="676" spans="1:2">
      <c r="A676" s="10" t="str">
        <v>حجر 6 سم</v>
      </c>
      <c r="B676">
        <v>0.5</v>
      </c>
    </row>
    <row r="677" spans="1:2">
      <c r="A677" s="10" t="str">
        <v>حجر 8 سم</v>
      </c>
      <c r="B677">
        <v>0.5</v>
      </c>
    </row>
    <row r="678" spans="1:2">
      <c r="A678" s="10" t="str">
        <v xml:space="preserve">دلاية  خزان </v>
      </c>
      <c r="B678">
        <v>3.5</v>
      </c>
    </row>
    <row r="679" spans="1:2">
      <c r="A679" s="10" t="str">
        <v>دواء صراصير</v>
      </c>
      <c r="B679">
        <v>5</v>
      </c>
    </row>
    <row r="680" spans="1:2">
      <c r="A680" s="10" t="str">
        <v xml:space="preserve">دولاب عربايه نفخ </v>
      </c>
      <c r="B680">
        <v>9</v>
      </c>
    </row>
    <row r="681" spans="1:2">
      <c r="A681" s="10" t="str">
        <v>ديسك خشب 11.5 سم</v>
      </c>
      <c r="B681">
        <v>3</v>
      </c>
    </row>
    <row r="682" spans="1:2">
      <c r="A682" s="10" t="str">
        <v>ديسك سيراميك 11.5</v>
      </c>
      <c r="B682">
        <v>5</v>
      </c>
    </row>
    <row r="683" spans="1:2">
      <c r="A683" s="10" t="str">
        <v>ديسك غرانيت TURBO 11.5</v>
      </c>
      <c r="B683">
        <v>4</v>
      </c>
    </row>
    <row r="684" spans="1:2">
      <c r="A684" s="10" t="str">
        <v>رباط 16</v>
      </c>
      <c r="B684">
        <v>0.15</v>
      </c>
    </row>
    <row r="685" spans="1:2">
      <c r="A685" s="10" t="str">
        <v>رباط 18</v>
      </c>
      <c r="B685">
        <v>0.15</v>
      </c>
    </row>
    <row r="686" spans="1:2">
      <c r="A686" s="10" t="str">
        <v>رباط او كليبس بلاستيك 25</v>
      </c>
      <c r="B686">
        <v>0.25</v>
      </c>
    </row>
    <row r="687" spans="1:2">
      <c r="A687" s="10" t="str">
        <v>رباط غاز / شد</v>
      </c>
      <c r="B687">
        <v>0.35</v>
      </c>
    </row>
    <row r="688" spans="1:2">
      <c r="A688" s="10" t="str">
        <v>رصور مجرور 5 متر</v>
      </c>
      <c r="B688">
        <v>7</v>
      </c>
    </row>
    <row r="689" spans="1:2">
      <c r="A689" s="10" t="str">
        <v>ركور خلاط سن ناعم</v>
      </c>
      <c r="B689">
        <v>1.35</v>
      </c>
    </row>
    <row r="690" spans="1:2">
      <c r="A690" s="10" t="str">
        <v>روبة بلاط</v>
      </c>
      <c r="B690">
        <v>6.5</v>
      </c>
    </row>
    <row r="691" spans="1:2">
      <c r="A691" s="10" t="str">
        <v>رول دهان قطن 4</v>
      </c>
      <c r="B691">
        <v>1</v>
      </c>
    </row>
    <row r="692" spans="1:2">
      <c r="A692" s="10" t="str">
        <v>رول دهان قطن 9"</v>
      </c>
      <c r="B692">
        <v>1.35</v>
      </c>
    </row>
    <row r="693" spans="1:2">
      <c r="A693" s="10" t="str">
        <v>ريشه باطون 6 مل</v>
      </c>
      <c r="B693">
        <v>1.25</v>
      </c>
    </row>
    <row r="694" spans="1:2">
      <c r="A694" s="10" t="str">
        <v>ريكلاج او تحويلة كرسي 3 سم</v>
      </c>
      <c r="B694">
        <v>2.75</v>
      </c>
    </row>
    <row r="695" spans="1:2">
      <c r="A695" s="10" t="str">
        <v xml:space="preserve">تحويله كرسي 5 سم تركي </v>
      </c>
      <c r="B695">
        <v>3.5</v>
      </c>
    </row>
    <row r="696" spans="1:2">
      <c r="A696" s="10" t="str">
        <v>زاوية بلاط</v>
      </c>
      <c r="B696">
        <v>2.25</v>
      </c>
    </row>
    <row r="697" spans="1:2">
      <c r="A697" s="10" t="str">
        <v>ساعة غاز</v>
      </c>
      <c r="B697">
        <v>5</v>
      </c>
    </row>
    <row r="698" spans="1:2">
      <c r="A698" s="10" t="str">
        <v>سبراي بويا</v>
      </c>
      <c r="B698">
        <v>1.5</v>
      </c>
    </row>
    <row r="699" spans="1:2">
      <c r="A699" s="10" t="str">
        <v>سبراي صديء</v>
      </c>
      <c r="B699">
        <v>2</v>
      </c>
    </row>
    <row r="700" spans="1:2">
      <c r="A700" s="10" t="str">
        <v>سدة بانيو</v>
      </c>
      <c r="B700">
        <v>1</v>
      </c>
    </row>
    <row r="701" spans="1:2">
      <c r="A701" s="10" t="str">
        <v>سدة كرسي عربي</v>
      </c>
      <c r="B701">
        <v>1</v>
      </c>
    </row>
    <row r="702" spans="1:2">
      <c r="A702" s="10" t="str">
        <v>سدة مغسلة كروم</v>
      </c>
      <c r="B702">
        <v>1</v>
      </c>
    </row>
    <row r="703" spans="1:2">
      <c r="A703" s="10" t="str">
        <v>سطل عمار</v>
      </c>
      <c r="B703">
        <v>2.5</v>
      </c>
    </row>
    <row r="704" spans="1:2">
      <c r="A704" s="10" t="str">
        <v>سكر شوفاج</v>
      </c>
      <c r="B704">
        <v>10</v>
      </c>
    </row>
    <row r="705" spans="1:2">
      <c r="A705" s="10" t="str">
        <v>سكر غسالة</v>
      </c>
      <c r="B705">
        <v>2</v>
      </c>
    </row>
    <row r="706" spans="1:2">
      <c r="A706" s="10" t="str">
        <v>سم جردون</v>
      </c>
      <c r="B706">
        <v>2</v>
      </c>
    </row>
    <row r="707" spans="1:2">
      <c r="A707" s="10" t="str">
        <v>سيخ عدة</v>
      </c>
      <c r="B707">
        <v>3.5</v>
      </c>
    </row>
    <row r="708" spans="1:2">
      <c r="A708" s="10" t="str">
        <v>سيليكون ابيض</v>
      </c>
      <c r="B708">
        <v>2</v>
      </c>
    </row>
    <row r="709" spans="1:2">
      <c r="A709" s="10" t="str">
        <v>سيليكون اسود</v>
      </c>
      <c r="B709">
        <v>2</v>
      </c>
    </row>
    <row r="710" spans="1:2">
      <c r="A710" s="10" t="str">
        <v>سيليكون شفاف</v>
      </c>
      <c r="B710">
        <v>2</v>
      </c>
    </row>
    <row r="711" spans="1:2">
      <c r="A711" s="10" t="str">
        <v>سيليكون شفاف بدون اسيد</v>
      </c>
      <c r="B711">
        <v>2</v>
      </c>
    </row>
    <row r="712" spans="1:2">
      <c r="A712" s="10" t="str">
        <v>اكياس ردم الحبه</v>
      </c>
      <c r="B712">
        <v>0.1</v>
      </c>
    </row>
    <row r="713" spans="1:2">
      <c r="A713" s="10" t="str">
        <v>مسطرين</v>
      </c>
      <c r="B713">
        <v>2</v>
      </c>
    </row>
    <row r="714" spans="1:2">
      <c r="A714" s="10" t="str">
        <v>غطى فونت 60*60</v>
      </c>
      <c r="B714">
        <v>45</v>
      </c>
    </row>
    <row r="715" spans="1:2">
      <c r="A715" s="10" t="str">
        <v>خلاط خادمه فيتاس</v>
      </c>
      <c r="B715">
        <v>30</v>
      </c>
    </row>
    <row r="716" spans="1:2">
      <c r="A716" s="10" t="str">
        <v>عداد ماء 4\3 ايطالي</v>
      </c>
      <c r="B716">
        <v>35</v>
      </c>
    </row>
    <row r="717" spans="1:2">
      <c r="A717" s="10" t="str">
        <v>سكر غله مع قطع وصل 32*32 PPR</v>
      </c>
      <c r="B717">
        <v>12</v>
      </c>
    </row>
    <row r="718" spans="1:2">
      <c r="A718" s="10" t="str">
        <v xml:space="preserve">غطى خزان انثى نصار </v>
      </c>
      <c r="B718">
        <v>5</v>
      </c>
    </row>
    <row r="719" spans="1:2">
      <c r="A719" s="10" t="str">
        <v>دولاب عربايه صب</v>
      </c>
      <c r="B719">
        <v>9</v>
      </c>
    </row>
    <row r="720" spans="1:2">
      <c r="A720" s="10" t="str">
        <v>طرمبه غاطس فرامه LSWM100 LEO</v>
      </c>
      <c r="B720">
        <v>140</v>
      </c>
    </row>
    <row r="721" spans="1:2">
      <c r="A721" s="10" t="str">
        <v>رزستانس طاقه شمسيه 1 انش</v>
      </c>
      <c r="B721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2AAB77-EEA7-4424-BE74-12D749CAA4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Dabbous Basta</dc:creator>
  <cp:keywords/>
  <dc:description/>
  <cp:lastModifiedBy>Dabbous Basta</cp:lastModifiedBy>
  <cp:revision/>
  <dcterms:created xsi:type="dcterms:W3CDTF">2015-06-05T18:17:20Z</dcterms:created>
  <dcterms:modified xsi:type="dcterms:W3CDTF">2026-05-09T11:51:44Z</dcterms:modified>
  <cp:category/>
  <cp:contentStatus/>
</cp:coreProperties>
</file>